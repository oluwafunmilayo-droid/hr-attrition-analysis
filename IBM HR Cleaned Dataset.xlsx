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/>
  </bookViews>
  <sheets>
    <sheet name="HR Dataset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1471" i="1" l="1"/>
  <c r="AH1471" i="1"/>
  <c r="U1471" i="1"/>
  <c r="J1471" i="1"/>
  <c r="E1471" i="1"/>
  <c r="AJ1470" i="1"/>
  <c r="AH1470" i="1"/>
  <c r="U1470" i="1"/>
  <c r="J1470" i="1"/>
  <c r="E1470" i="1"/>
  <c r="AJ1469" i="1"/>
  <c r="AH1469" i="1"/>
  <c r="U1469" i="1"/>
  <c r="J1469" i="1"/>
  <c r="E1469" i="1"/>
  <c r="AJ1468" i="1"/>
  <c r="AH1468" i="1"/>
  <c r="U1468" i="1"/>
  <c r="J1468" i="1"/>
  <c r="E1468" i="1"/>
  <c r="AJ1467" i="1"/>
  <c r="AH1467" i="1"/>
  <c r="U1467" i="1"/>
  <c r="J1467" i="1"/>
  <c r="E1467" i="1"/>
  <c r="AJ1466" i="1"/>
  <c r="AH1466" i="1"/>
  <c r="U1466" i="1"/>
  <c r="J1466" i="1"/>
  <c r="E1466" i="1"/>
  <c r="AJ1465" i="1"/>
  <c r="AH1465" i="1"/>
  <c r="U1465" i="1"/>
  <c r="J1465" i="1"/>
  <c r="E1465" i="1"/>
  <c r="AJ1464" i="1"/>
  <c r="AH1464" i="1"/>
  <c r="U1464" i="1"/>
  <c r="J1464" i="1"/>
  <c r="E1464" i="1"/>
  <c r="AJ1463" i="1"/>
  <c r="AH1463" i="1"/>
  <c r="U1463" i="1"/>
  <c r="J1463" i="1"/>
  <c r="E1463" i="1"/>
  <c r="AJ1462" i="1"/>
  <c r="AH1462" i="1"/>
  <c r="U1462" i="1"/>
  <c r="J1462" i="1"/>
  <c r="E1462" i="1"/>
  <c r="AJ1461" i="1"/>
  <c r="AH1461" i="1"/>
  <c r="U1461" i="1"/>
  <c r="J1461" i="1"/>
  <c r="E1461" i="1"/>
  <c r="AJ1460" i="1"/>
  <c r="AH1460" i="1"/>
  <c r="U1460" i="1"/>
  <c r="J1460" i="1"/>
  <c r="E1460" i="1"/>
  <c r="AJ1459" i="1"/>
  <c r="AH1459" i="1"/>
  <c r="U1459" i="1"/>
  <c r="J1459" i="1"/>
  <c r="E1459" i="1"/>
  <c r="AJ1458" i="1"/>
  <c r="AH1458" i="1"/>
  <c r="U1458" i="1"/>
  <c r="J1458" i="1"/>
  <c r="E1458" i="1"/>
  <c r="AJ1457" i="1"/>
  <c r="AH1457" i="1"/>
  <c r="U1457" i="1"/>
  <c r="J1457" i="1"/>
  <c r="E1457" i="1"/>
  <c r="AJ1456" i="1"/>
  <c r="AH1456" i="1"/>
  <c r="U1456" i="1"/>
  <c r="J1456" i="1"/>
  <c r="E1456" i="1"/>
  <c r="AJ1455" i="1"/>
  <c r="AH1455" i="1"/>
  <c r="U1455" i="1"/>
  <c r="J1455" i="1"/>
  <c r="E1455" i="1"/>
  <c r="AJ1454" i="1"/>
  <c r="AH1454" i="1"/>
  <c r="U1454" i="1"/>
  <c r="J1454" i="1"/>
  <c r="E1454" i="1"/>
  <c r="AJ1453" i="1"/>
  <c r="AH1453" i="1"/>
  <c r="U1453" i="1"/>
  <c r="J1453" i="1"/>
  <c r="E1453" i="1"/>
  <c r="AJ1452" i="1"/>
  <c r="AH1452" i="1"/>
  <c r="U1452" i="1"/>
  <c r="J1452" i="1"/>
  <c r="E1452" i="1"/>
  <c r="AJ1451" i="1"/>
  <c r="AH1451" i="1"/>
  <c r="U1451" i="1"/>
  <c r="J1451" i="1"/>
  <c r="E1451" i="1"/>
  <c r="AJ1450" i="1"/>
  <c r="AH1450" i="1"/>
  <c r="U1450" i="1"/>
  <c r="J1450" i="1"/>
  <c r="E1450" i="1"/>
  <c r="AJ1449" i="1"/>
  <c r="AH1449" i="1"/>
  <c r="U1449" i="1"/>
  <c r="J1449" i="1"/>
  <c r="E1449" i="1"/>
  <c r="AJ1448" i="1"/>
  <c r="AH1448" i="1"/>
  <c r="U1448" i="1"/>
  <c r="J1448" i="1"/>
  <c r="E1448" i="1"/>
  <c r="AJ1447" i="1"/>
  <c r="AH1447" i="1"/>
  <c r="U1447" i="1"/>
  <c r="J1447" i="1"/>
  <c r="E1447" i="1"/>
  <c r="AJ1446" i="1"/>
  <c r="AH1446" i="1"/>
  <c r="U1446" i="1"/>
  <c r="J1446" i="1"/>
  <c r="E1446" i="1"/>
  <c r="AJ1445" i="1"/>
  <c r="AH1445" i="1"/>
  <c r="U1445" i="1"/>
  <c r="J1445" i="1"/>
  <c r="E1445" i="1"/>
  <c r="AJ1444" i="1"/>
  <c r="AH1444" i="1"/>
  <c r="U1444" i="1"/>
  <c r="J1444" i="1"/>
  <c r="E1444" i="1"/>
  <c r="AJ1443" i="1"/>
  <c r="AH1443" i="1"/>
  <c r="U1443" i="1"/>
  <c r="J1443" i="1"/>
  <c r="E1443" i="1"/>
  <c r="AJ1442" i="1"/>
  <c r="AH1442" i="1"/>
  <c r="U1442" i="1"/>
  <c r="J1442" i="1"/>
  <c r="E1442" i="1"/>
  <c r="AJ1441" i="1"/>
  <c r="AH1441" i="1"/>
  <c r="U1441" i="1"/>
  <c r="J1441" i="1"/>
  <c r="E1441" i="1"/>
  <c r="AJ1440" i="1"/>
  <c r="AH1440" i="1"/>
  <c r="U1440" i="1"/>
  <c r="J1440" i="1"/>
  <c r="E1440" i="1"/>
  <c r="AJ1439" i="1"/>
  <c r="AH1439" i="1"/>
  <c r="U1439" i="1"/>
  <c r="J1439" i="1"/>
  <c r="E1439" i="1"/>
  <c r="AJ1438" i="1"/>
  <c r="AH1438" i="1"/>
  <c r="U1438" i="1"/>
  <c r="J1438" i="1"/>
  <c r="E1438" i="1"/>
  <c r="AJ1437" i="1"/>
  <c r="AH1437" i="1"/>
  <c r="U1437" i="1"/>
  <c r="J1437" i="1"/>
  <c r="E1437" i="1"/>
  <c r="AJ1436" i="1"/>
  <c r="AH1436" i="1"/>
  <c r="U1436" i="1"/>
  <c r="J1436" i="1"/>
  <c r="E1436" i="1"/>
  <c r="AJ1435" i="1"/>
  <c r="AH1435" i="1"/>
  <c r="U1435" i="1"/>
  <c r="J1435" i="1"/>
  <c r="E1435" i="1"/>
  <c r="AJ1434" i="1"/>
  <c r="AH1434" i="1"/>
  <c r="U1434" i="1"/>
  <c r="J1434" i="1"/>
  <c r="E1434" i="1"/>
  <c r="AJ1433" i="1"/>
  <c r="AH1433" i="1"/>
  <c r="U1433" i="1"/>
  <c r="J1433" i="1"/>
  <c r="E1433" i="1"/>
  <c r="AJ1432" i="1"/>
  <c r="AH1432" i="1"/>
  <c r="U1432" i="1"/>
  <c r="J1432" i="1"/>
  <c r="E1432" i="1"/>
  <c r="AJ1431" i="1"/>
  <c r="AH1431" i="1"/>
  <c r="U1431" i="1"/>
  <c r="J1431" i="1"/>
  <c r="E1431" i="1"/>
  <c r="AJ1430" i="1"/>
  <c r="AH1430" i="1"/>
  <c r="U1430" i="1"/>
  <c r="J1430" i="1"/>
  <c r="E1430" i="1"/>
  <c r="AJ1429" i="1"/>
  <c r="AH1429" i="1"/>
  <c r="U1429" i="1"/>
  <c r="J1429" i="1"/>
  <c r="E1429" i="1"/>
  <c r="AJ1428" i="1"/>
  <c r="AH1428" i="1"/>
  <c r="U1428" i="1"/>
  <c r="J1428" i="1"/>
  <c r="E1428" i="1"/>
  <c r="AJ1427" i="1"/>
  <c r="AH1427" i="1"/>
  <c r="U1427" i="1"/>
  <c r="J1427" i="1"/>
  <c r="E1427" i="1"/>
  <c r="AJ1426" i="1"/>
  <c r="AH1426" i="1"/>
  <c r="U1426" i="1"/>
  <c r="J1426" i="1"/>
  <c r="E1426" i="1"/>
  <c r="AJ1425" i="1"/>
  <c r="AH1425" i="1"/>
  <c r="U1425" i="1"/>
  <c r="J1425" i="1"/>
  <c r="E1425" i="1"/>
  <c r="AJ1424" i="1"/>
  <c r="AH1424" i="1"/>
  <c r="U1424" i="1"/>
  <c r="J1424" i="1"/>
  <c r="E1424" i="1"/>
  <c r="AJ1423" i="1"/>
  <c r="AH1423" i="1"/>
  <c r="U1423" i="1"/>
  <c r="J1423" i="1"/>
  <c r="E1423" i="1"/>
  <c r="AJ1422" i="1"/>
  <c r="AH1422" i="1"/>
  <c r="U1422" i="1"/>
  <c r="J1422" i="1"/>
  <c r="E1422" i="1"/>
  <c r="AJ1421" i="1"/>
  <c r="AH1421" i="1"/>
  <c r="U1421" i="1"/>
  <c r="J1421" i="1"/>
  <c r="E1421" i="1"/>
  <c r="AJ1420" i="1"/>
  <c r="AH1420" i="1"/>
  <c r="U1420" i="1"/>
  <c r="J1420" i="1"/>
  <c r="E1420" i="1"/>
  <c r="AJ1419" i="1"/>
  <c r="AH1419" i="1"/>
  <c r="U1419" i="1"/>
  <c r="J1419" i="1"/>
  <c r="E1419" i="1"/>
  <c r="AJ1418" i="1"/>
  <c r="AH1418" i="1"/>
  <c r="U1418" i="1"/>
  <c r="J1418" i="1"/>
  <c r="E1418" i="1"/>
  <c r="AJ1417" i="1"/>
  <c r="AH1417" i="1"/>
  <c r="U1417" i="1"/>
  <c r="J1417" i="1"/>
  <c r="E1417" i="1"/>
  <c r="AJ1416" i="1"/>
  <c r="AH1416" i="1"/>
  <c r="U1416" i="1"/>
  <c r="J1416" i="1"/>
  <c r="E1416" i="1"/>
  <c r="AJ1415" i="1"/>
  <c r="AH1415" i="1"/>
  <c r="U1415" i="1"/>
  <c r="J1415" i="1"/>
  <c r="E1415" i="1"/>
  <c r="AJ1414" i="1"/>
  <c r="AH1414" i="1"/>
  <c r="U1414" i="1"/>
  <c r="J1414" i="1"/>
  <c r="E1414" i="1"/>
  <c r="AJ1413" i="1"/>
  <c r="AH1413" i="1"/>
  <c r="U1413" i="1"/>
  <c r="J1413" i="1"/>
  <c r="E1413" i="1"/>
  <c r="AJ1412" i="1"/>
  <c r="AH1412" i="1"/>
  <c r="U1412" i="1"/>
  <c r="J1412" i="1"/>
  <c r="E1412" i="1"/>
  <c r="AJ1411" i="1"/>
  <c r="AH1411" i="1"/>
  <c r="U1411" i="1"/>
  <c r="J1411" i="1"/>
  <c r="E1411" i="1"/>
  <c r="AJ1410" i="1"/>
  <c r="AH1410" i="1"/>
  <c r="U1410" i="1"/>
  <c r="J1410" i="1"/>
  <c r="E1410" i="1"/>
  <c r="AJ1409" i="1"/>
  <c r="AH1409" i="1"/>
  <c r="U1409" i="1"/>
  <c r="J1409" i="1"/>
  <c r="E1409" i="1"/>
  <c r="AJ1408" i="1"/>
  <c r="AH1408" i="1"/>
  <c r="U1408" i="1"/>
  <c r="J1408" i="1"/>
  <c r="E1408" i="1"/>
  <c r="AJ1407" i="1"/>
  <c r="AH1407" i="1"/>
  <c r="U1407" i="1"/>
  <c r="J1407" i="1"/>
  <c r="E1407" i="1"/>
  <c r="AJ1406" i="1"/>
  <c r="AH1406" i="1"/>
  <c r="U1406" i="1"/>
  <c r="J1406" i="1"/>
  <c r="E1406" i="1"/>
  <c r="AJ1405" i="1"/>
  <c r="AH1405" i="1"/>
  <c r="U1405" i="1"/>
  <c r="J1405" i="1"/>
  <c r="E1405" i="1"/>
  <c r="AJ1404" i="1"/>
  <c r="AH1404" i="1"/>
  <c r="U1404" i="1"/>
  <c r="J1404" i="1"/>
  <c r="E1404" i="1"/>
  <c r="AJ1403" i="1"/>
  <c r="AH1403" i="1"/>
  <c r="U1403" i="1"/>
  <c r="J1403" i="1"/>
  <c r="E1403" i="1"/>
  <c r="AJ1402" i="1"/>
  <c r="AH1402" i="1"/>
  <c r="U1402" i="1"/>
  <c r="J1402" i="1"/>
  <c r="E1402" i="1"/>
  <c r="AJ1401" i="1"/>
  <c r="AH1401" i="1"/>
  <c r="U1401" i="1"/>
  <c r="J1401" i="1"/>
  <c r="E1401" i="1"/>
  <c r="AJ1400" i="1"/>
  <c r="AH1400" i="1"/>
  <c r="U1400" i="1"/>
  <c r="J1400" i="1"/>
  <c r="E1400" i="1"/>
  <c r="AJ1399" i="1"/>
  <c r="AH1399" i="1"/>
  <c r="U1399" i="1"/>
  <c r="J1399" i="1"/>
  <c r="E1399" i="1"/>
  <c r="AJ1398" i="1"/>
  <c r="AH1398" i="1"/>
  <c r="U1398" i="1"/>
  <c r="J1398" i="1"/>
  <c r="E1398" i="1"/>
  <c r="AJ1397" i="1"/>
  <c r="AH1397" i="1"/>
  <c r="U1397" i="1"/>
  <c r="J1397" i="1"/>
  <c r="E1397" i="1"/>
  <c r="AJ1396" i="1"/>
  <c r="AH1396" i="1"/>
  <c r="U1396" i="1"/>
  <c r="J1396" i="1"/>
  <c r="E1396" i="1"/>
  <c r="AJ1395" i="1"/>
  <c r="AH1395" i="1"/>
  <c r="U1395" i="1"/>
  <c r="J1395" i="1"/>
  <c r="E1395" i="1"/>
  <c r="AJ1394" i="1"/>
  <c r="AH1394" i="1"/>
  <c r="U1394" i="1"/>
  <c r="J1394" i="1"/>
  <c r="E1394" i="1"/>
  <c r="AJ1393" i="1"/>
  <c r="AH1393" i="1"/>
  <c r="U1393" i="1"/>
  <c r="J1393" i="1"/>
  <c r="E1393" i="1"/>
  <c r="AJ1392" i="1"/>
  <c r="AH1392" i="1"/>
  <c r="U1392" i="1"/>
  <c r="J1392" i="1"/>
  <c r="E1392" i="1"/>
  <c r="AJ1391" i="1"/>
  <c r="AH1391" i="1"/>
  <c r="U1391" i="1"/>
  <c r="J1391" i="1"/>
  <c r="E1391" i="1"/>
  <c r="AJ1390" i="1"/>
  <c r="AH1390" i="1"/>
  <c r="U1390" i="1"/>
  <c r="J1390" i="1"/>
  <c r="E1390" i="1"/>
  <c r="AJ1389" i="1"/>
  <c r="AH1389" i="1"/>
  <c r="U1389" i="1"/>
  <c r="J1389" i="1"/>
  <c r="E1389" i="1"/>
  <c r="AJ1388" i="1"/>
  <c r="AH1388" i="1"/>
  <c r="U1388" i="1"/>
  <c r="J1388" i="1"/>
  <c r="E1388" i="1"/>
  <c r="AJ1387" i="1"/>
  <c r="AH1387" i="1"/>
  <c r="U1387" i="1"/>
  <c r="J1387" i="1"/>
  <c r="E1387" i="1"/>
  <c r="AJ1386" i="1"/>
  <c r="AH1386" i="1"/>
  <c r="U1386" i="1"/>
  <c r="J1386" i="1"/>
  <c r="E1386" i="1"/>
  <c r="AJ1385" i="1"/>
  <c r="AH1385" i="1"/>
  <c r="U1385" i="1"/>
  <c r="J1385" i="1"/>
  <c r="E1385" i="1"/>
  <c r="AJ1384" i="1"/>
  <c r="AH1384" i="1"/>
  <c r="U1384" i="1"/>
  <c r="J1384" i="1"/>
  <c r="E1384" i="1"/>
  <c r="AJ1383" i="1"/>
  <c r="AH1383" i="1"/>
  <c r="U1383" i="1"/>
  <c r="J1383" i="1"/>
  <c r="E1383" i="1"/>
  <c r="AJ1382" i="1"/>
  <c r="AH1382" i="1"/>
  <c r="U1382" i="1"/>
  <c r="J1382" i="1"/>
  <c r="E1382" i="1"/>
  <c r="AJ1381" i="1"/>
  <c r="AH1381" i="1"/>
  <c r="U1381" i="1"/>
  <c r="J1381" i="1"/>
  <c r="E1381" i="1"/>
  <c r="AJ1380" i="1"/>
  <c r="AH1380" i="1"/>
  <c r="U1380" i="1"/>
  <c r="J1380" i="1"/>
  <c r="E1380" i="1"/>
  <c r="AJ1379" i="1"/>
  <c r="AH1379" i="1"/>
  <c r="U1379" i="1"/>
  <c r="J1379" i="1"/>
  <c r="E1379" i="1"/>
  <c r="AJ1378" i="1"/>
  <c r="AH1378" i="1"/>
  <c r="U1378" i="1"/>
  <c r="J1378" i="1"/>
  <c r="E1378" i="1"/>
  <c r="AJ1377" i="1"/>
  <c r="AH1377" i="1"/>
  <c r="U1377" i="1"/>
  <c r="J1377" i="1"/>
  <c r="E1377" i="1"/>
  <c r="AJ1376" i="1"/>
  <c r="AH1376" i="1"/>
  <c r="U1376" i="1"/>
  <c r="J1376" i="1"/>
  <c r="E1376" i="1"/>
  <c r="AJ1375" i="1"/>
  <c r="AH1375" i="1"/>
  <c r="U1375" i="1"/>
  <c r="J1375" i="1"/>
  <c r="E1375" i="1"/>
  <c r="AJ1374" i="1"/>
  <c r="AH1374" i="1"/>
  <c r="U1374" i="1"/>
  <c r="J1374" i="1"/>
  <c r="E1374" i="1"/>
  <c r="AJ1373" i="1"/>
  <c r="AH1373" i="1"/>
  <c r="U1373" i="1"/>
  <c r="J1373" i="1"/>
  <c r="E1373" i="1"/>
  <c r="AJ1372" i="1"/>
  <c r="AH1372" i="1"/>
  <c r="U1372" i="1"/>
  <c r="J1372" i="1"/>
  <c r="E1372" i="1"/>
  <c r="AJ1371" i="1"/>
  <c r="AH1371" i="1"/>
  <c r="U1371" i="1"/>
  <c r="J1371" i="1"/>
  <c r="E1371" i="1"/>
  <c r="AJ1370" i="1"/>
  <c r="AH1370" i="1"/>
  <c r="U1370" i="1"/>
  <c r="J1370" i="1"/>
  <c r="E1370" i="1"/>
  <c r="AJ1369" i="1"/>
  <c r="AH1369" i="1"/>
  <c r="U1369" i="1"/>
  <c r="J1369" i="1"/>
  <c r="E1369" i="1"/>
  <c r="AJ1368" i="1"/>
  <c r="AH1368" i="1"/>
  <c r="U1368" i="1"/>
  <c r="J1368" i="1"/>
  <c r="E1368" i="1"/>
  <c r="AJ1367" i="1"/>
  <c r="AH1367" i="1"/>
  <c r="U1367" i="1"/>
  <c r="J1367" i="1"/>
  <c r="E1367" i="1"/>
  <c r="AJ1366" i="1"/>
  <c r="AH1366" i="1"/>
  <c r="U1366" i="1"/>
  <c r="J1366" i="1"/>
  <c r="E1366" i="1"/>
  <c r="AJ1365" i="1"/>
  <c r="AH1365" i="1"/>
  <c r="U1365" i="1"/>
  <c r="J1365" i="1"/>
  <c r="E1365" i="1"/>
  <c r="AJ1364" i="1"/>
  <c r="AH1364" i="1"/>
  <c r="U1364" i="1"/>
  <c r="J1364" i="1"/>
  <c r="E1364" i="1"/>
  <c r="AJ1363" i="1"/>
  <c r="AH1363" i="1"/>
  <c r="U1363" i="1"/>
  <c r="J1363" i="1"/>
  <c r="E1363" i="1"/>
  <c r="AJ1362" i="1"/>
  <c r="AH1362" i="1"/>
  <c r="U1362" i="1"/>
  <c r="J1362" i="1"/>
  <c r="E1362" i="1"/>
  <c r="AJ1361" i="1"/>
  <c r="AH1361" i="1"/>
  <c r="U1361" i="1"/>
  <c r="J1361" i="1"/>
  <c r="E1361" i="1"/>
  <c r="AJ1360" i="1"/>
  <c r="AH1360" i="1"/>
  <c r="U1360" i="1"/>
  <c r="J1360" i="1"/>
  <c r="E1360" i="1"/>
  <c r="AJ1359" i="1"/>
  <c r="AH1359" i="1"/>
  <c r="U1359" i="1"/>
  <c r="J1359" i="1"/>
  <c r="E1359" i="1"/>
  <c r="AJ1358" i="1"/>
  <c r="AH1358" i="1"/>
  <c r="U1358" i="1"/>
  <c r="J1358" i="1"/>
  <c r="E1358" i="1"/>
  <c r="AJ1357" i="1"/>
  <c r="AH1357" i="1"/>
  <c r="U1357" i="1"/>
  <c r="J1357" i="1"/>
  <c r="E1357" i="1"/>
  <c r="AJ1356" i="1"/>
  <c r="AH1356" i="1"/>
  <c r="U1356" i="1"/>
  <c r="J1356" i="1"/>
  <c r="E1356" i="1"/>
  <c r="AJ1355" i="1"/>
  <c r="AH1355" i="1"/>
  <c r="U1355" i="1"/>
  <c r="J1355" i="1"/>
  <c r="E1355" i="1"/>
  <c r="AJ1354" i="1"/>
  <c r="AH1354" i="1"/>
  <c r="U1354" i="1"/>
  <c r="J1354" i="1"/>
  <c r="E1354" i="1"/>
  <c r="AJ1353" i="1"/>
  <c r="AH1353" i="1"/>
  <c r="U1353" i="1"/>
  <c r="J1353" i="1"/>
  <c r="E1353" i="1"/>
  <c r="AJ1352" i="1"/>
  <c r="AH1352" i="1"/>
  <c r="U1352" i="1"/>
  <c r="J1352" i="1"/>
  <c r="E1352" i="1"/>
  <c r="AJ1351" i="1"/>
  <c r="AH1351" i="1"/>
  <c r="U1351" i="1"/>
  <c r="J1351" i="1"/>
  <c r="E1351" i="1"/>
  <c r="AJ1350" i="1"/>
  <c r="AH1350" i="1"/>
  <c r="U1350" i="1"/>
  <c r="J1350" i="1"/>
  <c r="E1350" i="1"/>
  <c r="AJ1349" i="1"/>
  <c r="AH1349" i="1"/>
  <c r="U1349" i="1"/>
  <c r="J1349" i="1"/>
  <c r="E1349" i="1"/>
  <c r="AJ1348" i="1"/>
  <c r="AH1348" i="1"/>
  <c r="U1348" i="1"/>
  <c r="J1348" i="1"/>
  <c r="E1348" i="1"/>
  <c r="AJ1347" i="1"/>
  <c r="AH1347" i="1"/>
  <c r="U1347" i="1"/>
  <c r="J1347" i="1"/>
  <c r="E1347" i="1"/>
  <c r="AJ1346" i="1"/>
  <c r="AH1346" i="1"/>
  <c r="U1346" i="1"/>
  <c r="J1346" i="1"/>
  <c r="E1346" i="1"/>
  <c r="AJ1345" i="1"/>
  <c r="AH1345" i="1"/>
  <c r="U1345" i="1"/>
  <c r="J1345" i="1"/>
  <c r="E1345" i="1"/>
  <c r="AJ1344" i="1"/>
  <c r="AH1344" i="1"/>
  <c r="U1344" i="1"/>
  <c r="J1344" i="1"/>
  <c r="E1344" i="1"/>
  <c r="AJ1343" i="1"/>
  <c r="AH1343" i="1"/>
  <c r="U1343" i="1"/>
  <c r="J1343" i="1"/>
  <c r="E1343" i="1"/>
  <c r="AJ1342" i="1"/>
  <c r="AH1342" i="1"/>
  <c r="U1342" i="1"/>
  <c r="J1342" i="1"/>
  <c r="E1342" i="1"/>
  <c r="AJ1341" i="1"/>
  <c r="AH1341" i="1"/>
  <c r="U1341" i="1"/>
  <c r="J1341" i="1"/>
  <c r="E1341" i="1"/>
  <c r="AJ1340" i="1"/>
  <c r="AH1340" i="1"/>
  <c r="U1340" i="1"/>
  <c r="J1340" i="1"/>
  <c r="E1340" i="1"/>
  <c r="AJ1339" i="1"/>
  <c r="AH1339" i="1"/>
  <c r="U1339" i="1"/>
  <c r="J1339" i="1"/>
  <c r="E1339" i="1"/>
  <c r="AJ1338" i="1"/>
  <c r="AH1338" i="1"/>
  <c r="U1338" i="1"/>
  <c r="J1338" i="1"/>
  <c r="E1338" i="1"/>
  <c r="AJ1337" i="1"/>
  <c r="AH1337" i="1"/>
  <c r="U1337" i="1"/>
  <c r="J1337" i="1"/>
  <c r="E1337" i="1"/>
  <c r="AJ1336" i="1"/>
  <c r="AH1336" i="1"/>
  <c r="U1336" i="1"/>
  <c r="J1336" i="1"/>
  <c r="E1336" i="1"/>
  <c r="AJ1335" i="1"/>
  <c r="AH1335" i="1"/>
  <c r="U1335" i="1"/>
  <c r="J1335" i="1"/>
  <c r="E1335" i="1"/>
  <c r="AJ1334" i="1"/>
  <c r="AH1334" i="1"/>
  <c r="U1334" i="1"/>
  <c r="J1334" i="1"/>
  <c r="E1334" i="1"/>
  <c r="AJ1333" i="1"/>
  <c r="AH1333" i="1"/>
  <c r="U1333" i="1"/>
  <c r="J1333" i="1"/>
  <c r="E1333" i="1"/>
  <c r="AJ1332" i="1"/>
  <c r="AH1332" i="1"/>
  <c r="U1332" i="1"/>
  <c r="J1332" i="1"/>
  <c r="E1332" i="1"/>
  <c r="AJ1331" i="1"/>
  <c r="AH1331" i="1"/>
  <c r="U1331" i="1"/>
  <c r="J1331" i="1"/>
  <c r="E1331" i="1"/>
  <c r="AJ1330" i="1"/>
  <c r="AH1330" i="1"/>
  <c r="U1330" i="1"/>
  <c r="J1330" i="1"/>
  <c r="E1330" i="1"/>
  <c r="AJ1329" i="1"/>
  <c r="AH1329" i="1"/>
  <c r="U1329" i="1"/>
  <c r="J1329" i="1"/>
  <c r="E1329" i="1"/>
  <c r="AJ1328" i="1"/>
  <c r="AH1328" i="1"/>
  <c r="U1328" i="1"/>
  <c r="J1328" i="1"/>
  <c r="E1328" i="1"/>
  <c r="AJ1327" i="1"/>
  <c r="AH1327" i="1"/>
  <c r="U1327" i="1"/>
  <c r="J1327" i="1"/>
  <c r="E1327" i="1"/>
  <c r="AJ1326" i="1"/>
  <c r="AH1326" i="1"/>
  <c r="U1326" i="1"/>
  <c r="J1326" i="1"/>
  <c r="E1326" i="1"/>
  <c r="AJ1325" i="1"/>
  <c r="AH1325" i="1"/>
  <c r="U1325" i="1"/>
  <c r="J1325" i="1"/>
  <c r="E1325" i="1"/>
  <c r="AJ1324" i="1"/>
  <c r="AH1324" i="1"/>
  <c r="U1324" i="1"/>
  <c r="J1324" i="1"/>
  <c r="E1324" i="1"/>
  <c r="AJ1323" i="1"/>
  <c r="AH1323" i="1"/>
  <c r="U1323" i="1"/>
  <c r="J1323" i="1"/>
  <c r="E1323" i="1"/>
  <c r="AJ1322" i="1"/>
  <c r="AH1322" i="1"/>
  <c r="U1322" i="1"/>
  <c r="J1322" i="1"/>
  <c r="E1322" i="1"/>
  <c r="AJ1321" i="1"/>
  <c r="AH1321" i="1"/>
  <c r="U1321" i="1"/>
  <c r="J1321" i="1"/>
  <c r="E1321" i="1"/>
  <c r="AJ1320" i="1"/>
  <c r="AH1320" i="1"/>
  <c r="U1320" i="1"/>
  <c r="J1320" i="1"/>
  <c r="E1320" i="1"/>
  <c r="AJ1319" i="1"/>
  <c r="AH1319" i="1"/>
  <c r="U1319" i="1"/>
  <c r="J1319" i="1"/>
  <c r="E1319" i="1"/>
  <c r="AJ1318" i="1"/>
  <c r="AH1318" i="1"/>
  <c r="U1318" i="1"/>
  <c r="J1318" i="1"/>
  <c r="E1318" i="1"/>
  <c r="AJ1317" i="1"/>
  <c r="AH1317" i="1"/>
  <c r="U1317" i="1"/>
  <c r="J1317" i="1"/>
  <c r="E1317" i="1"/>
  <c r="AJ1316" i="1"/>
  <c r="AH1316" i="1"/>
  <c r="U1316" i="1"/>
  <c r="J1316" i="1"/>
  <c r="E1316" i="1"/>
  <c r="AJ1315" i="1"/>
  <c r="AH1315" i="1"/>
  <c r="U1315" i="1"/>
  <c r="J1315" i="1"/>
  <c r="E1315" i="1"/>
  <c r="AJ1314" i="1"/>
  <c r="AH1314" i="1"/>
  <c r="U1314" i="1"/>
  <c r="J1314" i="1"/>
  <c r="E1314" i="1"/>
  <c r="AJ1313" i="1"/>
  <c r="AH1313" i="1"/>
  <c r="U1313" i="1"/>
  <c r="J1313" i="1"/>
  <c r="E1313" i="1"/>
  <c r="AJ1312" i="1"/>
  <c r="AH1312" i="1"/>
  <c r="U1312" i="1"/>
  <c r="J1312" i="1"/>
  <c r="E1312" i="1"/>
  <c r="AJ1311" i="1"/>
  <c r="AH1311" i="1"/>
  <c r="U1311" i="1"/>
  <c r="J1311" i="1"/>
  <c r="E1311" i="1"/>
  <c r="AJ1310" i="1"/>
  <c r="AH1310" i="1"/>
  <c r="U1310" i="1"/>
  <c r="J1310" i="1"/>
  <c r="E1310" i="1"/>
  <c r="AJ1309" i="1"/>
  <c r="AH1309" i="1"/>
  <c r="U1309" i="1"/>
  <c r="J1309" i="1"/>
  <c r="E1309" i="1"/>
  <c r="AJ1308" i="1"/>
  <c r="AH1308" i="1"/>
  <c r="U1308" i="1"/>
  <c r="J1308" i="1"/>
  <c r="E1308" i="1"/>
  <c r="AJ1307" i="1"/>
  <c r="AH1307" i="1"/>
  <c r="U1307" i="1"/>
  <c r="J1307" i="1"/>
  <c r="E1307" i="1"/>
  <c r="AJ1306" i="1"/>
  <c r="AH1306" i="1"/>
  <c r="U1306" i="1"/>
  <c r="J1306" i="1"/>
  <c r="E1306" i="1"/>
  <c r="AJ1305" i="1"/>
  <c r="AH1305" i="1"/>
  <c r="U1305" i="1"/>
  <c r="J1305" i="1"/>
  <c r="E1305" i="1"/>
  <c r="AJ1304" i="1"/>
  <c r="AH1304" i="1"/>
  <c r="U1304" i="1"/>
  <c r="J1304" i="1"/>
  <c r="E1304" i="1"/>
  <c r="AJ1303" i="1"/>
  <c r="AH1303" i="1"/>
  <c r="U1303" i="1"/>
  <c r="J1303" i="1"/>
  <c r="E1303" i="1"/>
  <c r="AJ1302" i="1"/>
  <c r="AH1302" i="1"/>
  <c r="U1302" i="1"/>
  <c r="J1302" i="1"/>
  <c r="E1302" i="1"/>
  <c r="AJ1301" i="1"/>
  <c r="AH1301" i="1"/>
  <c r="U1301" i="1"/>
  <c r="J1301" i="1"/>
  <c r="E1301" i="1"/>
  <c r="AJ1300" i="1"/>
  <c r="AH1300" i="1"/>
  <c r="U1300" i="1"/>
  <c r="J1300" i="1"/>
  <c r="E1300" i="1"/>
  <c r="AJ1299" i="1"/>
  <c r="AH1299" i="1"/>
  <c r="U1299" i="1"/>
  <c r="J1299" i="1"/>
  <c r="E1299" i="1"/>
  <c r="AJ1298" i="1"/>
  <c r="AH1298" i="1"/>
  <c r="U1298" i="1"/>
  <c r="J1298" i="1"/>
  <c r="E1298" i="1"/>
  <c r="AJ1297" i="1"/>
  <c r="AH1297" i="1"/>
  <c r="U1297" i="1"/>
  <c r="J1297" i="1"/>
  <c r="E1297" i="1"/>
  <c r="AJ1296" i="1"/>
  <c r="AH1296" i="1"/>
  <c r="U1296" i="1"/>
  <c r="J1296" i="1"/>
  <c r="E1296" i="1"/>
  <c r="AJ1295" i="1"/>
  <c r="AH1295" i="1"/>
  <c r="U1295" i="1"/>
  <c r="J1295" i="1"/>
  <c r="E1295" i="1"/>
  <c r="AJ1294" i="1"/>
  <c r="AH1294" i="1"/>
  <c r="U1294" i="1"/>
  <c r="J1294" i="1"/>
  <c r="E1294" i="1"/>
  <c r="AJ1293" i="1"/>
  <c r="AH1293" i="1"/>
  <c r="U1293" i="1"/>
  <c r="J1293" i="1"/>
  <c r="E1293" i="1"/>
  <c r="AJ1292" i="1"/>
  <c r="AH1292" i="1"/>
  <c r="U1292" i="1"/>
  <c r="J1292" i="1"/>
  <c r="E1292" i="1"/>
  <c r="AJ1291" i="1"/>
  <c r="AH1291" i="1"/>
  <c r="U1291" i="1"/>
  <c r="J1291" i="1"/>
  <c r="E1291" i="1"/>
  <c r="AJ1290" i="1"/>
  <c r="AH1290" i="1"/>
  <c r="U1290" i="1"/>
  <c r="J1290" i="1"/>
  <c r="E1290" i="1"/>
  <c r="AJ1289" i="1"/>
  <c r="AH1289" i="1"/>
  <c r="U1289" i="1"/>
  <c r="J1289" i="1"/>
  <c r="E1289" i="1"/>
  <c r="AJ1288" i="1"/>
  <c r="AH1288" i="1"/>
  <c r="U1288" i="1"/>
  <c r="J1288" i="1"/>
  <c r="E1288" i="1"/>
  <c r="AJ1287" i="1"/>
  <c r="AH1287" i="1"/>
  <c r="U1287" i="1"/>
  <c r="J1287" i="1"/>
  <c r="E1287" i="1"/>
  <c r="AJ1286" i="1"/>
  <c r="AH1286" i="1"/>
  <c r="U1286" i="1"/>
  <c r="J1286" i="1"/>
  <c r="E1286" i="1"/>
  <c r="AJ1285" i="1"/>
  <c r="AH1285" i="1"/>
  <c r="U1285" i="1"/>
  <c r="J1285" i="1"/>
  <c r="E1285" i="1"/>
  <c r="AJ1284" i="1"/>
  <c r="AH1284" i="1"/>
  <c r="U1284" i="1"/>
  <c r="J1284" i="1"/>
  <c r="E1284" i="1"/>
  <c r="AJ1283" i="1"/>
  <c r="AH1283" i="1"/>
  <c r="U1283" i="1"/>
  <c r="J1283" i="1"/>
  <c r="E1283" i="1"/>
  <c r="AJ1282" i="1"/>
  <c r="AH1282" i="1"/>
  <c r="U1282" i="1"/>
  <c r="J1282" i="1"/>
  <c r="E1282" i="1"/>
  <c r="AJ1281" i="1"/>
  <c r="AH1281" i="1"/>
  <c r="U1281" i="1"/>
  <c r="J1281" i="1"/>
  <c r="E1281" i="1"/>
  <c r="AJ1280" i="1"/>
  <c r="AH1280" i="1"/>
  <c r="U1280" i="1"/>
  <c r="J1280" i="1"/>
  <c r="E1280" i="1"/>
  <c r="AJ1279" i="1"/>
  <c r="AH1279" i="1"/>
  <c r="U1279" i="1"/>
  <c r="J1279" i="1"/>
  <c r="E1279" i="1"/>
  <c r="AJ1278" i="1"/>
  <c r="AH1278" i="1"/>
  <c r="U1278" i="1"/>
  <c r="J1278" i="1"/>
  <c r="E1278" i="1"/>
  <c r="AJ1277" i="1"/>
  <c r="AH1277" i="1"/>
  <c r="U1277" i="1"/>
  <c r="J1277" i="1"/>
  <c r="E1277" i="1"/>
  <c r="AJ1276" i="1"/>
  <c r="AH1276" i="1"/>
  <c r="U1276" i="1"/>
  <c r="J1276" i="1"/>
  <c r="E1276" i="1"/>
  <c r="AJ1275" i="1"/>
  <c r="AH1275" i="1"/>
  <c r="U1275" i="1"/>
  <c r="J1275" i="1"/>
  <c r="E1275" i="1"/>
  <c r="AJ1274" i="1"/>
  <c r="AH1274" i="1"/>
  <c r="U1274" i="1"/>
  <c r="J1274" i="1"/>
  <c r="E1274" i="1"/>
  <c r="AJ1273" i="1"/>
  <c r="AH1273" i="1"/>
  <c r="U1273" i="1"/>
  <c r="J1273" i="1"/>
  <c r="E1273" i="1"/>
  <c r="AJ1272" i="1"/>
  <c r="AH1272" i="1"/>
  <c r="U1272" i="1"/>
  <c r="J1272" i="1"/>
  <c r="E1272" i="1"/>
  <c r="AJ1271" i="1"/>
  <c r="AH1271" i="1"/>
  <c r="U1271" i="1"/>
  <c r="J1271" i="1"/>
  <c r="E1271" i="1"/>
  <c r="AJ1270" i="1"/>
  <c r="AH1270" i="1"/>
  <c r="U1270" i="1"/>
  <c r="J1270" i="1"/>
  <c r="E1270" i="1"/>
  <c r="AJ1269" i="1"/>
  <c r="AH1269" i="1"/>
  <c r="U1269" i="1"/>
  <c r="J1269" i="1"/>
  <c r="E1269" i="1"/>
  <c r="AJ1268" i="1"/>
  <c r="AH1268" i="1"/>
  <c r="U1268" i="1"/>
  <c r="J1268" i="1"/>
  <c r="E1268" i="1"/>
  <c r="AJ1267" i="1"/>
  <c r="AH1267" i="1"/>
  <c r="U1267" i="1"/>
  <c r="J1267" i="1"/>
  <c r="E1267" i="1"/>
  <c r="AJ1266" i="1"/>
  <c r="AH1266" i="1"/>
  <c r="U1266" i="1"/>
  <c r="J1266" i="1"/>
  <c r="E1266" i="1"/>
  <c r="AJ1265" i="1"/>
  <c r="AH1265" i="1"/>
  <c r="U1265" i="1"/>
  <c r="J1265" i="1"/>
  <c r="E1265" i="1"/>
  <c r="AJ1264" i="1"/>
  <c r="AH1264" i="1"/>
  <c r="U1264" i="1"/>
  <c r="J1264" i="1"/>
  <c r="E1264" i="1"/>
  <c r="AJ1263" i="1"/>
  <c r="AH1263" i="1"/>
  <c r="U1263" i="1"/>
  <c r="J1263" i="1"/>
  <c r="E1263" i="1"/>
  <c r="AJ1262" i="1"/>
  <c r="AH1262" i="1"/>
  <c r="U1262" i="1"/>
  <c r="J1262" i="1"/>
  <c r="E1262" i="1"/>
  <c r="AJ1261" i="1"/>
  <c r="AH1261" i="1"/>
  <c r="U1261" i="1"/>
  <c r="J1261" i="1"/>
  <c r="E1261" i="1"/>
  <c r="AJ1260" i="1"/>
  <c r="AH1260" i="1"/>
  <c r="U1260" i="1"/>
  <c r="J1260" i="1"/>
  <c r="E1260" i="1"/>
  <c r="AJ1259" i="1"/>
  <c r="AH1259" i="1"/>
  <c r="U1259" i="1"/>
  <c r="J1259" i="1"/>
  <c r="E1259" i="1"/>
  <c r="AJ1258" i="1"/>
  <c r="AH1258" i="1"/>
  <c r="U1258" i="1"/>
  <c r="J1258" i="1"/>
  <c r="E1258" i="1"/>
  <c r="AJ1257" i="1"/>
  <c r="AH1257" i="1"/>
  <c r="U1257" i="1"/>
  <c r="J1257" i="1"/>
  <c r="E1257" i="1"/>
  <c r="AJ1256" i="1"/>
  <c r="AH1256" i="1"/>
  <c r="U1256" i="1"/>
  <c r="J1256" i="1"/>
  <c r="E1256" i="1"/>
  <c r="AJ1255" i="1"/>
  <c r="AH1255" i="1"/>
  <c r="U1255" i="1"/>
  <c r="J1255" i="1"/>
  <c r="E1255" i="1"/>
  <c r="AJ1254" i="1"/>
  <c r="AH1254" i="1"/>
  <c r="U1254" i="1"/>
  <c r="J1254" i="1"/>
  <c r="E1254" i="1"/>
  <c r="AJ1253" i="1"/>
  <c r="AH1253" i="1"/>
  <c r="U1253" i="1"/>
  <c r="J1253" i="1"/>
  <c r="E1253" i="1"/>
  <c r="AJ1252" i="1"/>
  <c r="AH1252" i="1"/>
  <c r="U1252" i="1"/>
  <c r="J1252" i="1"/>
  <c r="E1252" i="1"/>
  <c r="AJ1251" i="1"/>
  <c r="AH1251" i="1"/>
  <c r="U1251" i="1"/>
  <c r="J1251" i="1"/>
  <c r="E1251" i="1"/>
  <c r="AJ1250" i="1"/>
  <c r="AH1250" i="1"/>
  <c r="U1250" i="1"/>
  <c r="J1250" i="1"/>
  <c r="E1250" i="1"/>
  <c r="AJ1249" i="1"/>
  <c r="AH1249" i="1"/>
  <c r="U1249" i="1"/>
  <c r="J1249" i="1"/>
  <c r="E1249" i="1"/>
  <c r="AJ1248" i="1"/>
  <c r="AH1248" i="1"/>
  <c r="U1248" i="1"/>
  <c r="J1248" i="1"/>
  <c r="E1248" i="1"/>
  <c r="AJ1247" i="1"/>
  <c r="AH1247" i="1"/>
  <c r="U1247" i="1"/>
  <c r="J1247" i="1"/>
  <c r="E1247" i="1"/>
  <c r="AJ1246" i="1"/>
  <c r="AH1246" i="1"/>
  <c r="U1246" i="1"/>
  <c r="J1246" i="1"/>
  <c r="E1246" i="1"/>
  <c r="AJ1245" i="1"/>
  <c r="AH1245" i="1"/>
  <c r="U1245" i="1"/>
  <c r="J1245" i="1"/>
  <c r="E1245" i="1"/>
  <c r="AJ1244" i="1"/>
  <c r="AH1244" i="1"/>
  <c r="U1244" i="1"/>
  <c r="J1244" i="1"/>
  <c r="E1244" i="1"/>
  <c r="AJ1243" i="1"/>
  <c r="AH1243" i="1"/>
  <c r="U1243" i="1"/>
  <c r="J1243" i="1"/>
  <c r="E1243" i="1"/>
  <c r="AJ1242" i="1"/>
  <c r="AH1242" i="1"/>
  <c r="U1242" i="1"/>
  <c r="J1242" i="1"/>
  <c r="E1242" i="1"/>
  <c r="AJ1241" i="1"/>
  <c r="AH1241" i="1"/>
  <c r="U1241" i="1"/>
  <c r="J1241" i="1"/>
  <c r="E1241" i="1"/>
  <c r="AJ1240" i="1"/>
  <c r="AH1240" i="1"/>
  <c r="U1240" i="1"/>
  <c r="J1240" i="1"/>
  <c r="E1240" i="1"/>
  <c r="AJ1239" i="1"/>
  <c r="AH1239" i="1"/>
  <c r="U1239" i="1"/>
  <c r="J1239" i="1"/>
  <c r="E1239" i="1"/>
  <c r="AJ1238" i="1"/>
  <c r="AH1238" i="1"/>
  <c r="U1238" i="1"/>
  <c r="J1238" i="1"/>
  <c r="E1238" i="1"/>
  <c r="AJ1237" i="1"/>
  <c r="AH1237" i="1"/>
  <c r="U1237" i="1"/>
  <c r="J1237" i="1"/>
  <c r="E1237" i="1"/>
  <c r="AJ1236" i="1"/>
  <c r="AH1236" i="1"/>
  <c r="U1236" i="1"/>
  <c r="J1236" i="1"/>
  <c r="E1236" i="1"/>
  <c r="AJ1235" i="1"/>
  <c r="AH1235" i="1"/>
  <c r="U1235" i="1"/>
  <c r="J1235" i="1"/>
  <c r="E1235" i="1"/>
  <c r="AJ1234" i="1"/>
  <c r="AH1234" i="1"/>
  <c r="U1234" i="1"/>
  <c r="J1234" i="1"/>
  <c r="E1234" i="1"/>
  <c r="AJ1233" i="1"/>
  <c r="AH1233" i="1"/>
  <c r="U1233" i="1"/>
  <c r="J1233" i="1"/>
  <c r="E1233" i="1"/>
  <c r="AJ1232" i="1"/>
  <c r="AH1232" i="1"/>
  <c r="U1232" i="1"/>
  <c r="J1232" i="1"/>
  <c r="E1232" i="1"/>
  <c r="AJ1231" i="1"/>
  <c r="AH1231" i="1"/>
  <c r="U1231" i="1"/>
  <c r="J1231" i="1"/>
  <c r="E1231" i="1"/>
  <c r="AJ1230" i="1"/>
  <c r="AH1230" i="1"/>
  <c r="U1230" i="1"/>
  <c r="J1230" i="1"/>
  <c r="E1230" i="1"/>
  <c r="AJ1229" i="1"/>
  <c r="AH1229" i="1"/>
  <c r="U1229" i="1"/>
  <c r="J1229" i="1"/>
  <c r="E1229" i="1"/>
  <c r="AJ1228" i="1"/>
  <c r="AH1228" i="1"/>
  <c r="U1228" i="1"/>
  <c r="J1228" i="1"/>
  <c r="E1228" i="1"/>
  <c r="AJ1227" i="1"/>
  <c r="AH1227" i="1"/>
  <c r="U1227" i="1"/>
  <c r="J1227" i="1"/>
  <c r="E1227" i="1"/>
  <c r="AJ1226" i="1"/>
  <c r="AH1226" i="1"/>
  <c r="U1226" i="1"/>
  <c r="J1226" i="1"/>
  <c r="E1226" i="1"/>
  <c r="AJ1225" i="1"/>
  <c r="AH1225" i="1"/>
  <c r="U1225" i="1"/>
  <c r="J1225" i="1"/>
  <c r="E1225" i="1"/>
  <c r="AJ1224" i="1"/>
  <c r="AH1224" i="1"/>
  <c r="U1224" i="1"/>
  <c r="J1224" i="1"/>
  <c r="E1224" i="1"/>
  <c r="AJ1223" i="1"/>
  <c r="AH1223" i="1"/>
  <c r="U1223" i="1"/>
  <c r="J1223" i="1"/>
  <c r="E1223" i="1"/>
  <c r="AJ1222" i="1"/>
  <c r="AH1222" i="1"/>
  <c r="U1222" i="1"/>
  <c r="J1222" i="1"/>
  <c r="E1222" i="1"/>
  <c r="AJ1221" i="1"/>
  <c r="AH1221" i="1"/>
  <c r="U1221" i="1"/>
  <c r="J1221" i="1"/>
  <c r="E1221" i="1"/>
  <c r="AJ1220" i="1"/>
  <c r="AH1220" i="1"/>
  <c r="U1220" i="1"/>
  <c r="J1220" i="1"/>
  <c r="E1220" i="1"/>
  <c r="AJ1219" i="1"/>
  <c r="AH1219" i="1"/>
  <c r="U1219" i="1"/>
  <c r="J1219" i="1"/>
  <c r="E1219" i="1"/>
  <c r="AJ1218" i="1"/>
  <c r="AH1218" i="1"/>
  <c r="U1218" i="1"/>
  <c r="J1218" i="1"/>
  <c r="E1218" i="1"/>
  <c r="AJ1217" i="1"/>
  <c r="AH1217" i="1"/>
  <c r="U1217" i="1"/>
  <c r="J1217" i="1"/>
  <c r="E1217" i="1"/>
  <c r="AJ1216" i="1"/>
  <c r="AH1216" i="1"/>
  <c r="U1216" i="1"/>
  <c r="J1216" i="1"/>
  <c r="E1216" i="1"/>
  <c r="AJ1215" i="1"/>
  <c r="AH1215" i="1"/>
  <c r="U1215" i="1"/>
  <c r="J1215" i="1"/>
  <c r="E1215" i="1"/>
  <c r="AJ1214" i="1"/>
  <c r="AH1214" i="1"/>
  <c r="U1214" i="1"/>
  <c r="J1214" i="1"/>
  <c r="E1214" i="1"/>
  <c r="AJ1213" i="1"/>
  <c r="AH1213" i="1"/>
  <c r="U1213" i="1"/>
  <c r="J1213" i="1"/>
  <c r="E1213" i="1"/>
  <c r="AJ1212" i="1"/>
  <c r="AH1212" i="1"/>
  <c r="U1212" i="1"/>
  <c r="J1212" i="1"/>
  <c r="E1212" i="1"/>
  <c r="AJ1211" i="1"/>
  <c r="AH1211" i="1"/>
  <c r="U1211" i="1"/>
  <c r="J1211" i="1"/>
  <c r="E1211" i="1"/>
  <c r="AJ1210" i="1"/>
  <c r="AH1210" i="1"/>
  <c r="U1210" i="1"/>
  <c r="J1210" i="1"/>
  <c r="E1210" i="1"/>
  <c r="AJ1209" i="1"/>
  <c r="AH1209" i="1"/>
  <c r="U1209" i="1"/>
  <c r="J1209" i="1"/>
  <c r="E1209" i="1"/>
  <c r="AJ1208" i="1"/>
  <c r="AH1208" i="1"/>
  <c r="U1208" i="1"/>
  <c r="J1208" i="1"/>
  <c r="E1208" i="1"/>
  <c r="AJ1207" i="1"/>
  <c r="AH1207" i="1"/>
  <c r="U1207" i="1"/>
  <c r="J1207" i="1"/>
  <c r="E1207" i="1"/>
  <c r="AJ1206" i="1"/>
  <c r="AH1206" i="1"/>
  <c r="U1206" i="1"/>
  <c r="J1206" i="1"/>
  <c r="E1206" i="1"/>
  <c r="AJ1205" i="1"/>
  <c r="AH1205" i="1"/>
  <c r="U1205" i="1"/>
  <c r="J1205" i="1"/>
  <c r="E1205" i="1"/>
  <c r="AJ1204" i="1"/>
  <c r="AH1204" i="1"/>
  <c r="U1204" i="1"/>
  <c r="J1204" i="1"/>
  <c r="E1204" i="1"/>
  <c r="AJ1203" i="1"/>
  <c r="AH1203" i="1"/>
  <c r="U1203" i="1"/>
  <c r="J1203" i="1"/>
  <c r="E1203" i="1"/>
  <c r="AJ1202" i="1"/>
  <c r="AH1202" i="1"/>
  <c r="U1202" i="1"/>
  <c r="J1202" i="1"/>
  <c r="E1202" i="1"/>
  <c r="AJ1201" i="1"/>
  <c r="AH1201" i="1"/>
  <c r="U1201" i="1"/>
  <c r="J1201" i="1"/>
  <c r="E1201" i="1"/>
  <c r="AJ1200" i="1"/>
  <c r="AH1200" i="1"/>
  <c r="U1200" i="1"/>
  <c r="J1200" i="1"/>
  <c r="E1200" i="1"/>
  <c r="AJ1199" i="1"/>
  <c r="AH1199" i="1"/>
  <c r="U1199" i="1"/>
  <c r="J1199" i="1"/>
  <c r="E1199" i="1"/>
  <c r="AJ1198" i="1"/>
  <c r="AH1198" i="1"/>
  <c r="U1198" i="1"/>
  <c r="J1198" i="1"/>
  <c r="E1198" i="1"/>
  <c r="AJ1197" i="1"/>
  <c r="AH1197" i="1"/>
  <c r="U1197" i="1"/>
  <c r="J1197" i="1"/>
  <c r="E1197" i="1"/>
  <c r="AJ1196" i="1"/>
  <c r="AH1196" i="1"/>
  <c r="U1196" i="1"/>
  <c r="J1196" i="1"/>
  <c r="E1196" i="1"/>
  <c r="AJ1195" i="1"/>
  <c r="AH1195" i="1"/>
  <c r="U1195" i="1"/>
  <c r="J1195" i="1"/>
  <c r="E1195" i="1"/>
  <c r="AJ1194" i="1"/>
  <c r="AH1194" i="1"/>
  <c r="U1194" i="1"/>
  <c r="J1194" i="1"/>
  <c r="E1194" i="1"/>
  <c r="AJ1193" i="1"/>
  <c r="AH1193" i="1"/>
  <c r="U1193" i="1"/>
  <c r="J1193" i="1"/>
  <c r="E1193" i="1"/>
  <c r="AJ1192" i="1"/>
  <c r="AH1192" i="1"/>
  <c r="U1192" i="1"/>
  <c r="J1192" i="1"/>
  <c r="E1192" i="1"/>
  <c r="AJ1191" i="1"/>
  <c r="AH1191" i="1"/>
  <c r="U1191" i="1"/>
  <c r="J1191" i="1"/>
  <c r="E1191" i="1"/>
  <c r="AJ1190" i="1"/>
  <c r="AH1190" i="1"/>
  <c r="U1190" i="1"/>
  <c r="J1190" i="1"/>
  <c r="E1190" i="1"/>
  <c r="AJ1189" i="1"/>
  <c r="AH1189" i="1"/>
  <c r="U1189" i="1"/>
  <c r="J1189" i="1"/>
  <c r="E1189" i="1"/>
  <c r="AJ1188" i="1"/>
  <c r="AH1188" i="1"/>
  <c r="U1188" i="1"/>
  <c r="J1188" i="1"/>
  <c r="E1188" i="1"/>
  <c r="AJ1187" i="1"/>
  <c r="AH1187" i="1"/>
  <c r="U1187" i="1"/>
  <c r="J1187" i="1"/>
  <c r="E1187" i="1"/>
  <c r="AJ1186" i="1"/>
  <c r="AH1186" i="1"/>
  <c r="U1186" i="1"/>
  <c r="J1186" i="1"/>
  <c r="E1186" i="1"/>
  <c r="AJ1185" i="1"/>
  <c r="AH1185" i="1"/>
  <c r="U1185" i="1"/>
  <c r="J1185" i="1"/>
  <c r="E1185" i="1"/>
  <c r="AJ1184" i="1"/>
  <c r="AH1184" i="1"/>
  <c r="U1184" i="1"/>
  <c r="J1184" i="1"/>
  <c r="E1184" i="1"/>
  <c r="AJ1183" i="1"/>
  <c r="AH1183" i="1"/>
  <c r="U1183" i="1"/>
  <c r="J1183" i="1"/>
  <c r="E1183" i="1"/>
  <c r="AJ1182" i="1"/>
  <c r="AH1182" i="1"/>
  <c r="U1182" i="1"/>
  <c r="J1182" i="1"/>
  <c r="E1182" i="1"/>
  <c r="AJ1181" i="1"/>
  <c r="AH1181" i="1"/>
  <c r="U1181" i="1"/>
  <c r="J1181" i="1"/>
  <c r="E1181" i="1"/>
  <c r="AJ1180" i="1"/>
  <c r="AH1180" i="1"/>
  <c r="U1180" i="1"/>
  <c r="J1180" i="1"/>
  <c r="E1180" i="1"/>
  <c r="AJ1179" i="1"/>
  <c r="AH1179" i="1"/>
  <c r="U1179" i="1"/>
  <c r="J1179" i="1"/>
  <c r="E1179" i="1"/>
  <c r="AJ1178" i="1"/>
  <c r="AH1178" i="1"/>
  <c r="U1178" i="1"/>
  <c r="J1178" i="1"/>
  <c r="E1178" i="1"/>
  <c r="AJ1177" i="1"/>
  <c r="AH1177" i="1"/>
  <c r="U1177" i="1"/>
  <c r="J1177" i="1"/>
  <c r="E1177" i="1"/>
  <c r="AJ1176" i="1"/>
  <c r="AH1176" i="1"/>
  <c r="U1176" i="1"/>
  <c r="J1176" i="1"/>
  <c r="E1176" i="1"/>
  <c r="AJ1175" i="1"/>
  <c r="AH1175" i="1"/>
  <c r="U1175" i="1"/>
  <c r="J1175" i="1"/>
  <c r="E1175" i="1"/>
  <c r="AJ1174" i="1"/>
  <c r="AH1174" i="1"/>
  <c r="U1174" i="1"/>
  <c r="J1174" i="1"/>
  <c r="E1174" i="1"/>
  <c r="AJ1173" i="1"/>
  <c r="AH1173" i="1"/>
  <c r="U1173" i="1"/>
  <c r="J1173" i="1"/>
  <c r="E1173" i="1"/>
  <c r="AJ1172" i="1"/>
  <c r="AH1172" i="1"/>
  <c r="U1172" i="1"/>
  <c r="J1172" i="1"/>
  <c r="E1172" i="1"/>
  <c r="AJ1171" i="1"/>
  <c r="AH1171" i="1"/>
  <c r="U1171" i="1"/>
  <c r="J1171" i="1"/>
  <c r="E1171" i="1"/>
  <c r="AJ1170" i="1"/>
  <c r="AH1170" i="1"/>
  <c r="U1170" i="1"/>
  <c r="J1170" i="1"/>
  <c r="E1170" i="1"/>
  <c r="AJ1169" i="1"/>
  <c r="AH1169" i="1"/>
  <c r="U1169" i="1"/>
  <c r="J1169" i="1"/>
  <c r="E1169" i="1"/>
  <c r="AJ1168" i="1"/>
  <c r="AH1168" i="1"/>
  <c r="U1168" i="1"/>
  <c r="J1168" i="1"/>
  <c r="E1168" i="1"/>
  <c r="AJ1167" i="1"/>
  <c r="AH1167" i="1"/>
  <c r="U1167" i="1"/>
  <c r="J1167" i="1"/>
  <c r="E1167" i="1"/>
  <c r="AJ1166" i="1"/>
  <c r="AH1166" i="1"/>
  <c r="U1166" i="1"/>
  <c r="J1166" i="1"/>
  <c r="E1166" i="1"/>
  <c r="AJ1165" i="1"/>
  <c r="AH1165" i="1"/>
  <c r="U1165" i="1"/>
  <c r="J1165" i="1"/>
  <c r="E1165" i="1"/>
  <c r="AJ1164" i="1"/>
  <c r="AH1164" i="1"/>
  <c r="U1164" i="1"/>
  <c r="J1164" i="1"/>
  <c r="E1164" i="1"/>
  <c r="AJ1163" i="1"/>
  <c r="AH1163" i="1"/>
  <c r="U1163" i="1"/>
  <c r="J1163" i="1"/>
  <c r="E1163" i="1"/>
  <c r="AJ1162" i="1"/>
  <c r="AH1162" i="1"/>
  <c r="U1162" i="1"/>
  <c r="J1162" i="1"/>
  <c r="E1162" i="1"/>
  <c r="AJ1161" i="1"/>
  <c r="AH1161" i="1"/>
  <c r="U1161" i="1"/>
  <c r="J1161" i="1"/>
  <c r="E1161" i="1"/>
  <c r="AJ1160" i="1"/>
  <c r="AH1160" i="1"/>
  <c r="U1160" i="1"/>
  <c r="J1160" i="1"/>
  <c r="E1160" i="1"/>
  <c r="AJ1159" i="1"/>
  <c r="AH1159" i="1"/>
  <c r="U1159" i="1"/>
  <c r="J1159" i="1"/>
  <c r="E1159" i="1"/>
  <c r="AJ1158" i="1"/>
  <c r="AH1158" i="1"/>
  <c r="U1158" i="1"/>
  <c r="J1158" i="1"/>
  <c r="E1158" i="1"/>
  <c r="AJ1157" i="1"/>
  <c r="AH1157" i="1"/>
  <c r="U1157" i="1"/>
  <c r="J1157" i="1"/>
  <c r="E1157" i="1"/>
  <c r="AJ1156" i="1"/>
  <c r="AH1156" i="1"/>
  <c r="U1156" i="1"/>
  <c r="J1156" i="1"/>
  <c r="E1156" i="1"/>
  <c r="AJ1155" i="1"/>
  <c r="AH1155" i="1"/>
  <c r="U1155" i="1"/>
  <c r="J1155" i="1"/>
  <c r="E1155" i="1"/>
  <c r="AJ1154" i="1"/>
  <c r="AH1154" i="1"/>
  <c r="U1154" i="1"/>
  <c r="J1154" i="1"/>
  <c r="E1154" i="1"/>
  <c r="AJ1153" i="1"/>
  <c r="AH1153" i="1"/>
  <c r="U1153" i="1"/>
  <c r="J1153" i="1"/>
  <c r="E1153" i="1"/>
  <c r="AJ1152" i="1"/>
  <c r="AH1152" i="1"/>
  <c r="U1152" i="1"/>
  <c r="J1152" i="1"/>
  <c r="E1152" i="1"/>
  <c r="AJ1151" i="1"/>
  <c r="AH1151" i="1"/>
  <c r="U1151" i="1"/>
  <c r="J1151" i="1"/>
  <c r="E1151" i="1"/>
  <c r="AJ1150" i="1"/>
  <c r="AH1150" i="1"/>
  <c r="U1150" i="1"/>
  <c r="J1150" i="1"/>
  <c r="E1150" i="1"/>
  <c r="AJ1149" i="1"/>
  <c r="AH1149" i="1"/>
  <c r="U1149" i="1"/>
  <c r="J1149" i="1"/>
  <c r="E1149" i="1"/>
  <c r="AJ1148" i="1"/>
  <c r="AH1148" i="1"/>
  <c r="U1148" i="1"/>
  <c r="J1148" i="1"/>
  <c r="E1148" i="1"/>
  <c r="AJ1147" i="1"/>
  <c r="AH1147" i="1"/>
  <c r="U1147" i="1"/>
  <c r="J1147" i="1"/>
  <c r="E1147" i="1"/>
  <c r="AJ1146" i="1"/>
  <c r="AH1146" i="1"/>
  <c r="U1146" i="1"/>
  <c r="J1146" i="1"/>
  <c r="E1146" i="1"/>
  <c r="AJ1145" i="1"/>
  <c r="AH1145" i="1"/>
  <c r="U1145" i="1"/>
  <c r="J1145" i="1"/>
  <c r="E1145" i="1"/>
  <c r="AJ1144" i="1"/>
  <c r="AH1144" i="1"/>
  <c r="U1144" i="1"/>
  <c r="J1144" i="1"/>
  <c r="E1144" i="1"/>
  <c r="AJ1143" i="1"/>
  <c r="AH1143" i="1"/>
  <c r="U1143" i="1"/>
  <c r="J1143" i="1"/>
  <c r="E1143" i="1"/>
  <c r="AJ1142" i="1"/>
  <c r="AH1142" i="1"/>
  <c r="U1142" i="1"/>
  <c r="J1142" i="1"/>
  <c r="E1142" i="1"/>
  <c r="AJ1141" i="1"/>
  <c r="AH1141" i="1"/>
  <c r="U1141" i="1"/>
  <c r="J1141" i="1"/>
  <c r="E1141" i="1"/>
  <c r="AJ1140" i="1"/>
  <c r="AH1140" i="1"/>
  <c r="U1140" i="1"/>
  <c r="J1140" i="1"/>
  <c r="E1140" i="1"/>
  <c r="AJ1139" i="1"/>
  <c r="AH1139" i="1"/>
  <c r="U1139" i="1"/>
  <c r="J1139" i="1"/>
  <c r="E1139" i="1"/>
  <c r="AJ1138" i="1"/>
  <c r="AH1138" i="1"/>
  <c r="U1138" i="1"/>
  <c r="J1138" i="1"/>
  <c r="E1138" i="1"/>
  <c r="AJ1137" i="1"/>
  <c r="AH1137" i="1"/>
  <c r="U1137" i="1"/>
  <c r="J1137" i="1"/>
  <c r="E1137" i="1"/>
  <c r="AJ1136" i="1"/>
  <c r="AH1136" i="1"/>
  <c r="U1136" i="1"/>
  <c r="J1136" i="1"/>
  <c r="E1136" i="1"/>
  <c r="AJ1135" i="1"/>
  <c r="AH1135" i="1"/>
  <c r="U1135" i="1"/>
  <c r="J1135" i="1"/>
  <c r="E1135" i="1"/>
  <c r="AJ1134" i="1"/>
  <c r="AH1134" i="1"/>
  <c r="U1134" i="1"/>
  <c r="J1134" i="1"/>
  <c r="E1134" i="1"/>
  <c r="AJ1133" i="1"/>
  <c r="AH1133" i="1"/>
  <c r="U1133" i="1"/>
  <c r="J1133" i="1"/>
  <c r="E1133" i="1"/>
  <c r="AJ1132" i="1"/>
  <c r="AH1132" i="1"/>
  <c r="U1132" i="1"/>
  <c r="J1132" i="1"/>
  <c r="E1132" i="1"/>
  <c r="AJ1131" i="1"/>
  <c r="AH1131" i="1"/>
  <c r="U1131" i="1"/>
  <c r="J1131" i="1"/>
  <c r="E1131" i="1"/>
  <c r="AJ1130" i="1"/>
  <c r="AH1130" i="1"/>
  <c r="U1130" i="1"/>
  <c r="J1130" i="1"/>
  <c r="E1130" i="1"/>
  <c r="AJ1129" i="1"/>
  <c r="AH1129" i="1"/>
  <c r="U1129" i="1"/>
  <c r="J1129" i="1"/>
  <c r="E1129" i="1"/>
  <c r="AJ1128" i="1"/>
  <c r="AH1128" i="1"/>
  <c r="U1128" i="1"/>
  <c r="J1128" i="1"/>
  <c r="E1128" i="1"/>
  <c r="AJ1127" i="1"/>
  <c r="AH1127" i="1"/>
  <c r="U1127" i="1"/>
  <c r="J1127" i="1"/>
  <c r="E1127" i="1"/>
  <c r="AJ1126" i="1"/>
  <c r="AH1126" i="1"/>
  <c r="U1126" i="1"/>
  <c r="J1126" i="1"/>
  <c r="E1126" i="1"/>
  <c r="AJ1125" i="1"/>
  <c r="AH1125" i="1"/>
  <c r="U1125" i="1"/>
  <c r="J1125" i="1"/>
  <c r="E1125" i="1"/>
  <c r="AJ1124" i="1"/>
  <c r="AH1124" i="1"/>
  <c r="U1124" i="1"/>
  <c r="J1124" i="1"/>
  <c r="E1124" i="1"/>
  <c r="AJ1123" i="1"/>
  <c r="AH1123" i="1"/>
  <c r="U1123" i="1"/>
  <c r="J1123" i="1"/>
  <c r="E1123" i="1"/>
  <c r="AJ1122" i="1"/>
  <c r="AH1122" i="1"/>
  <c r="U1122" i="1"/>
  <c r="J1122" i="1"/>
  <c r="E1122" i="1"/>
  <c r="AJ1121" i="1"/>
  <c r="AH1121" i="1"/>
  <c r="U1121" i="1"/>
  <c r="J1121" i="1"/>
  <c r="E1121" i="1"/>
  <c r="AJ1120" i="1"/>
  <c r="AH1120" i="1"/>
  <c r="U1120" i="1"/>
  <c r="J1120" i="1"/>
  <c r="E1120" i="1"/>
  <c r="AJ1119" i="1"/>
  <c r="AH1119" i="1"/>
  <c r="U1119" i="1"/>
  <c r="J1119" i="1"/>
  <c r="E1119" i="1"/>
  <c r="AJ1118" i="1"/>
  <c r="AH1118" i="1"/>
  <c r="U1118" i="1"/>
  <c r="J1118" i="1"/>
  <c r="E1118" i="1"/>
  <c r="AJ1117" i="1"/>
  <c r="AH1117" i="1"/>
  <c r="U1117" i="1"/>
  <c r="J1117" i="1"/>
  <c r="E1117" i="1"/>
  <c r="AJ1116" i="1"/>
  <c r="AH1116" i="1"/>
  <c r="U1116" i="1"/>
  <c r="J1116" i="1"/>
  <c r="E1116" i="1"/>
  <c r="AJ1115" i="1"/>
  <c r="AH1115" i="1"/>
  <c r="U1115" i="1"/>
  <c r="J1115" i="1"/>
  <c r="E1115" i="1"/>
  <c r="AJ1114" i="1"/>
  <c r="AH1114" i="1"/>
  <c r="U1114" i="1"/>
  <c r="J1114" i="1"/>
  <c r="E1114" i="1"/>
  <c r="AJ1113" i="1"/>
  <c r="AH1113" i="1"/>
  <c r="U1113" i="1"/>
  <c r="J1113" i="1"/>
  <c r="E1113" i="1"/>
  <c r="AJ1112" i="1"/>
  <c r="AH1112" i="1"/>
  <c r="U1112" i="1"/>
  <c r="J1112" i="1"/>
  <c r="E1112" i="1"/>
  <c r="AJ1111" i="1"/>
  <c r="AH1111" i="1"/>
  <c r="U1111" i="1"/>
  <c r="J1111" i="1"/>
  <c r="E1111" i="1"/>
  <c r="AJ1110" i="1"/>
  <c r="AH1110" i="1"/>
  <c r="U1110" i="1"/>
  <c r="J1110" i="1"/>
  <c r="E1110" i="1"/>
  <c r="AJ1109" i="1"/>
  <c r="AH1109" i="1"/>
  <c r="U1109" i="1"/>
  <c r="J1109" i="1"/>
  <c r="E1109" i="1"/>
  <c r="AJ1108" i="1"/>
  <c r="AH1108" i="1"/>
  <c r="U1108" i="1"/>
  <c r="J1108" i="1"/>
  <c r="E1108" i="1"/>
  <c r="AJ1107" i="1"/>
  <c r="AH1107" i="1"/>
  <c r="U1107" i="1"/>
  <c r="J1107" i="1"/>
  <c r="E1107" i="1"/>
  <c r="AJ1106" i="1"/>
  <c r="AH1106" i="1"/>
  <c r="U1106" i="1"/>
  <c r="J1106" i="1"/>
  <c r="E1106" i="1"/>
  <c r="AJ1105" i="1"/>
  <c r="AH1105" i="1"/>
  <c r="U1105" i="1"/>
  <c r="J1105" i="1"/>
  <c r="E1105" i="1"/>
  <c r="AJ1104" i="1"/>
  <c r="AH1104" i="1"/>
  <c r="U1104" i="1"/>
  <c r="J1104" i="1"/>
  <c r="E1104" i="1"/>
  <c r="AJ1103" i="1"/>
  <c r="AH1103" i="1"/>
  <c r="U1103" i="1"/>
  <c r="J1103" i="1"/>
  <c r="E1103" i="1"/>
  <c r="AJ1102" i="1"/>
  <c r="AH1102" i="1"/>
  <c r="U1102" i="1"/>
  <c r="J1102" i="1"/>
  <c r="E1102" i="1"/>
  <c r="AJ1101" i="1"/>
  <c r="AH1101" i="1"/>
  <c r="U1101" i="1"/>
  <c r="J1101" i="1"/>
  <c r="E1101" i="1"/>
  <c r="AJ1100" i="1"/>
  <c r="AH1100" i="1"/>
  <c r="U1100" i="1"/>
  <c r="J1100" i="1"/>
  <c r="E1100" i="1"/>
  <c r="AJ1099" i="1"/>
  <c r="AH1099" i="1"/>
  <c r="U1099" i="1"/>
  <c r="J1099" i="1"/>
  <c r="E1099" i="1"/>
  <c r="AJ1098" i="1"/>
  <c r="AH1098" i="1"/>
  <c r="U1098" i="1"/>
  <c r="J1098" i="1"/>
  <c r="E1098" i="1"/>
  <c r="AJ1097" i="1"/>
  <c r="AH1097" i="1"/>
  <c r="U1097" i="1"/>
  <c r="J1097" i="1"/>
  <c r="E1097" i="1"/>
  <c r="AJ1096" i="1"/>
  <c r="AH1096" i="1"/>
  <c r="U1096" i="1"/>
  <c r="J1096" i="1"/>
  <c r="E1096" i="1"/>
  <c r="AJ1095" i="1"/>
  <c r="AH1095" i="1"/>
  <c r="U1095" i="1"/>
  <c r="J1095" i="1"/>
  <c r="E1095" i="1"/>
  <c r="AJ1094" i="1"/>
  <c r="AH1094" i="1"/>
  <c r="U1094" i="1"/>
  <c r="J1094" i="1"/>
  <c r="E1094" i="1"/>
  <c r="AJ1093" i="1"/>
  <c r="AH1093" i="1"/>
  <c r="U1093" i="1"/>
  <c r="J1093" i="1"/>
  <c r="E1093" i="1"/>
  <c r="AJ1092" i="1"/>
  <c r="AH1092" i="1"/>
  <c r="U1092" i="1"/>
  <c r="J1092" i="1"/>
  <c r="E1092" i="1"/>
  <c r="AJ1091" i="1"/>
  <c r="AH1091" i="1"/>
  <c r="U1091" i="1"/>
  <c r="J1091" i="1"/>
  <c r="E1091" i="1"/>
  <c r="AJ1090" i="1"/>
  <c r="AH1090" i="1"/>
  <c r="U1090" i="1"/>
  <c r="J1090" i="1"/>
  <c r="E1090" i="1"/>
  <c r="AJ1089" i="1"/>
  <c r="AH1089" i="1"/>
  <c r="U1089" i="1"/>
  <c r="J1089" i="1"/>
  <c r="E1089" i="1"/>
  <c r="AJ1088" i="1"/>
  <c r="AH1088" i="1"/>
  <c r="U1088" i="1"/>
  <c r="J1088" i="1"/>
  <c r="E1088" i="1"/>
  <c r="AJ1087" i="1"/>
  <c r="AH1087" i="1"/>
  <c r="U1087" i="1"/>
  <c r="J1087" i="1"/>
  <c r="E1087" i="1"/>
  <c r="AJ1086" i="1"/>
  <c r="AH1086" i="1"/>
  <c r="U1086" i="1"/>
  <c r="J1086" i="1"/>
  <c r="E1086" i="1"/>
  <c r="AJ1085" i="1"/>
  <c r="AH1085" i="1"/>
  <c r="U1085" i="1"/>
  <c r="J1085" i="1"/>
  <c r="E1085" i="1"/>
  <c r="AJ1084" i="1"/>
  <c r="AH1084" i="1"/>
  <c r="U1084" i="1"/>
  <c r="J1084" i="1"/>
  <c r="E1084" i="1"/>
  <c r="AJ1083" i="1"/>
  <c r="AH1083" i="1"/>
  <c r="U1083" i="1"/>
  <c r="J1083" i="1"/>
  <c r="E1083" i="1"/>
  <c r="AJ1082" i="1"/>
  <c r="AH1082" i="1"/>
  <c r="U1082" i="1"/>
  <c r="J1082" i="1"/>
  <c r="E1082" i="1"/>
  <c r="AJ1081" i="1"/>
  <c r="AH1081" i="1"/>
  <c r="U1081" i="1"/>
  <c r="J1081" i="1"/>
  <c r="E1081" i="1"/>
  <c r="AJ1080" i="1"/>
  <c r="AH1080" i="1"/>
  <c r="U1080" i="1"/>
  <c r="J1080" i="1"/>
  <c r="E1080" i="1"/>
  <c r="AJ1079" i="1"/>
  <c r="AH1079" i="1"/>
  <c r="U1079" i="1"/>
  <c r="J1079" i="1"/>
  <c r="E1079" i="1"/>
  <c r="AJ1078" i="1"/>
  <c r="AH1078" i="1"/>
  <c r="U1078" i="1"/>
  <c r="J1078" i="1"/>
  <c r="E1078" i="1"/>
  <c r="AJ1077" i="1"/>
  <c r="AH1077" i="1"/>
  <c r="U1077" i="1"/>
  <c r="J1077" i="1"/>
  <c r="E1077" i="1"/>
  <c r="AJ1076" i="1"/>
  <c r="AH1076" i="1"/>
  <c r="U1076" i="1"/>
  <c r="J1076" i="1"/>
  <c r="E1076" i="1"/>
  <c r="AJ1075" i="1"/>
  <c r="AH1075" i="1"/>
  <c r="U1075" i="1"/>
  <c r="J1075" i="1"/>
  <c r="E1075" i="1"/>
  <c r="AJ1074" i="1"/>
  <c r="AH1074" i="1"/>
  <c r="U1074" i="1"/>
  <c r="J1074" i="1"/>
  <c r="E1074" i="1"/>
  <c r="AJ1073" i="1"/>
  <c r="AH1073" i="1"/>
  <c r="U1073" i="1"/>
  <c r="J1073" i="1"/>
  <c r="E1073" i="1"/>
  <c r="AJ1072" i="1"/>
  <c r="AH1072" i="1"/>
  <c r="U1072" i="1"/>
  <c r="J1072" i="1"/>
  <c r="E1072" i="1"/>
  <c r="AJ1071" i="1"/>
  <c r="AH1071" i="1"/>
  <c r="U1071" i="1"/>
  <c r="J1071" i="1"/>
  <c r="E1071" i="1"/>
  <c r="AJ1070" i="1"/>
  <c r="AH1070" i="1"/>
  <c r="U1070" i="1"/>
  <c r="J1070" i="1"/>
  <c r="E1070" i="1"/>
  <c r="AJ1069" i="1"/>
  <c r="AH1069" i="1"/>
  <c r="U1069" i="1"/>
  <c r="J1069" i="1"/>
  <c r="E1069" i="1"/>
  <c r="AJ1068" i="1"/>
  <c r="AH1068" i="1"/>
  <c r="U1068" i="1"/>
  <c r="J1068" i="1"/>
  <c r="E1068" i="1"/>
  <c r="AJ1067" i="1"/>
  <c r="AH1067" i="1"/>
  <c r="U1067" i="1"/>
  <c r="J1067" i="1"/>
  <c r="E1067" i="1"/>
  <c r="AJ1066" i="1"/>
  <c r="AH1066" i="1"/>
  <c r="U1066" i="1"/>
  <c r="J1066" i="1"/>
  <c r="E1066" i="1"/>
  <c r="AJ1065" i="1"/>
  <c r="AH1065" i="1"/>
  <c r="U1065" i="1"/>
  <c r="J1065" i="1"/>
  <c r="E1065" i="1"/>
  <c r="AJ1064" i="1"/>
  <c r="AH1064" i="1"/>
  <c r="U1064" i="1"/>
  <c r="J1064" i="1"/>
  <c r="E1064" i="1"/>
  <c r="AJ1063" i="1"/>
  <c r="AH1063" i="1"/>
  <c r="U1063" i="1"/>
  <c r="J1063" i="1"/>
  <c r="E1063" i="1"/>
  <c r="AJ1062" i="1"/>
  <c r="AH1062" i="1"/>
  <c r="U1062" i="1"/>
  <c r="J1062" i="1"/>
  <c r="E1062" i="1"/>
  <c r="AJ1061" i="1"/>
  <c r="AH1061" i="1"/>
  <c r="U1061" i="1"/>
  <c r="J1061" i="1"/>
  <c r="E1061" i="1"/>
  <c r="AJ1060" i="1"/>
  <c r="AH1060" i="1"/>
  <c r="U1060" i="1"/>
  <c r="J1060" i="1"/>
  <c r="E1060" i="1"/>
  <c r="AJ1059" i="1"/>
  <c r="AH1059" i="1"/>
  <c r="U1059" i="1"/>
  <c r="J1059" i="1"/>
  <c r="E1059" i="1"/>
  <c r="AJ1058" i="1"/>
  <c r="AH1058" i="1"/>
  <c r="U1058" i="1"/>
  <c r="J1058" i="1"/>
  <c r="E1058" i="1"/>
  <c r="AJ1057" i="1"/>
  <c r="AH1057" i="1"/>
  <c r="U1057" i="1"/>
  <c r="J1057" i="1"/>
  <c r="E1057" i="1"/>
  <c r="AJ1056" i="1"/>
  <c r="AH1056" i="1"/>
  <c r="U1056" i="1"/>
  <c r="J1056" i="1"/>
  <c r="E1056" i="1"/>
  <c r="AJ1055" i="1"/>
  <c r="AH1055" i="1"/>
  <c r="U1055" i="1"/>
  <c r="J1055" i="1"/>
  <c r="E1055" i="1"/>
  <c r="AJ1054" i="1"/>
  <c r="AH1054" i="1"/>
  <c r="U1054" i="1"/>
  <c r="J1054" i="1"/>
  <c r="E1054" i="1"/>
  <c r="AJ1053" i="1"/>
  <c r="AH1053" i="1"/>
  <c r="U1053" i="1"/>
  <c r="J1053" i="1"/>
  <c r="E1053" i="1"/>
  <c r="AJ1052" i="1"/>
  <c r="AH1052" i="1"/>
  <c r="U1052" i="1"/>
  <c r="J1052" i="1"/>
  <c r="E1052" i="1"/>
  <c r="AJ1051" i="1"/>
  <c r="AH1051" i="1"/>
  <c r="U1051" i="1"/>
  <c r="J1051" i="1"/>
  <c r="E1051" i="1"/>
  <c r="AJ1050" i="1"/>
  <c r="AH1050" i="1"/>
  <c r="U1050" i="1"/>
  <c r="J1050" i="1"/>
  <c r="E1050" i="1"/>
  <c r="AJ1049" i="1"/>
  <c r="AH1049" i="1"/>
  <c r="U1049" i="1"/>
  <c r="J1049" i="1"/>
  <c r="E1049" i="1"/>
  <c r="AJ1048" i="1"/>
  <c r="AH1048" i="1"/>
  <c r="U1048" i="1"/>
  <c r="J1048" i="1"/>
  <c r="E1048" i="1"/>
  <c r="AJ1047" i="1"/>
  <c r="AH1047" i="1"/>
  <c r="U1047" i="1"/>
  <c r="J1047" i="1"/>
  <c r="E1047" i="1"/>
  <c r="AJ1046" i="1"/>
  <c r="AH1046" i="1"/>
  <c r="U1046" i="1"/>
  <c r="J1046" i="1"/>
  <c r="E1046" i="1"/>
  <c r="AJ1045" i="1"/>
  <c r="AH1045" i="1"/>
  <c r="U1045" i="1"/>
  <c r="J1045" i="1"/>
  <c r="E1045" i="1"/>
  <c r="AJ1044" i="1"/>
  <c r="AH1044" i="1"/>
  <c r="U1044" i="1"/>
  <c r="J1044" i="1"/>
  <c r="E1044" i="1"/>
  <c r="AJ1043" i="1"/>
  <c r="AH1043" i="1"/>
  <c r="U1043" i="1"/>
  <c r="J1043" i="1"/>
  <c r="E1043" i="1"/>
  <c r="AJ1042" i="1"/>
  <c r="AH1042" i="1"/>
  <c r="U1042" i="1"/>
  <c r="J1042" i="1"/>
  <c r="E1042" i="1"/>
  <c r="AJ1041" i="1"/>
  <c r="AH1041" i="1"/>
  <c r="U1041" i="1"/>
  <c r="J1041" i="1"/>
  <c r="E1041" i="1"/>
  <c r="AJ1040" i="1"/>
  <c r="AH1040" i="1"/>
  <c r="U1040" i="1"/>
  <c r="J1040" i="1"/>
  <c r="E1040" i="1"/>
  <c r="AJ1039" i="1"/>
  <c r="AH1039" i="1"/>
  <c r="U1039" i="1"/>
  <c r="J1039" i="1"/>
  <c r="E1039" i="1"/>
  <c r="AJ1038" i="1"/>
  <c r="AH1038" i="1"/>
  <c r="U1038" i="1"/>
  <c r="J1038" i="1"/>
  <c r="E1038" i="1"/>
  <c r="AJ1037" i="1"/>
  <c r="AH1037" i="1"/>
  <c r="U1037" i="1"/>
  <c r="J1037" i="1"/>
  <c r="E1037" i="1"/>
  <c r="AJ1036" i="1"/>
  <c r="AH1036" i="1"/>
  <c r="U1036" i="1"/>
  <c r="J1036" i="1"/>
  <c r="E1036" i="1"/>
  <c r="AJ1035" i="1"/>
  <c r="AH1035" i="1"/>
  <c r="U1035" i="1"/>
  <c r="J1035" i="1"/>
  <c r="E1035" i="1"/>
  <c r="AJ1034" i="1"/>
  <c r="AH1034" i="1"/>
  <c r="U1034" i="1"/>
  <c r="J1034" i="1"/>
  <c r="E1034" i="1"/>
  <c r="AJ1033" i="1"/>
  <c r="AH1033" i="1"/>
  <c r="U1033" i="1"/>
  <c r="J1033" i="1"/>
  <c r="E1033" i="1"/>
  <c r="AJ1032" i="1"/>
  <c r="AH1032" i="1"/>
  <c r="U1032" i="1"/>
  <c r="J1032" i="1"/>
  <c r="E1032" i="1"/>
  <c r="AJ1031" i="1"/>
  <c r="AH1031" i="1"/>
  <c r="U1031" i="1"/>
  <c r="J1031" i="1"/>
  <c r="E1031" i="1"/>
  <c r="AJ1030" i="1"/>
  <c r="AH1030" i="1"/>
  <c r="U1030" i="1"/>
  <c r="J1030" i="1"/>
  <c r="E1030" i="1"/>
  <c r="AJ1029" i="1"/>
  <c r="AH1029" i="1"/>
  <c r="U1029" i="1"/>
  <c r="J1029" i="1"/>
  <c r="E1029" i="1"/>
  <c r="AJ1028" i="1"/>
  <c r="AH1028" i="1"/>
  <c r="U1028" i="1"/>
  <c r="J1028" i="1"/>
  <c r="E1028" i="1"/>
  <c r="AJ1027" i="1"/>
  <c r="AH1027" i="1"/>
  <c r="U1027" i="1"/>
  <c r="J1027" i="1"/>
  <c r="E1027" i="1"/>
  <c r="AJ1026" i="1"/>
  <c r="AH1026" i="1"/>
  <c r="U1026" i="1"/>
  <c r="J1026" i="1"/>
  <c r="E1026" i="1"/>
  <c r="AJ1025" i="1"/>
  <c r="AH1025" i="1"/>
  <c r="U1025" i="1"/>
  <c r="J1025" i="1"/>
  <c r="E1025" i="1"/>
  <c r="AJ1024" i="1"/>
  <c r="AH1024" i="1"/>
  <c r="U1024" i="1"/>
  <c r="J1024" i="1"/>
  <c r="E1024" i="1"/>
  <c r="AJ1023" i="1"/>
  <c r="AH1023" i="1"/>
  <c r="U1023" i="1"/>
  <c r="J1023" i="1"/>
  <c r="E1023" i="1"/>
  <c r="AJ1022" i="1"/>
  <c r="AH1022" i="1"/>
  <c r="U1022" i="1"/>
  <c r="J1022" i="1"/>
  <c r="E1022" i="1"/>
  <c r="AJ1021" i="1"/>
  <c r="AH1021" i="1"/>
  <c r="U1021" i="1"/>
  <c r="J1021" i="1"/>
  <c r="E1021" i="1"/>
  <c r="AJ1020" i="1"/>
  <c r="AH1020" i="1"/>
  <c r="U1020" i="1"/>
  <c r="J1020" i="1"/>
  <c r="E1020" i="1"/>
  <c r="AJ1019" i="1"/>
  <c r="AH1019" i="1"/>
  <c r="U1019" i="1"/>
  <c r="J1019" i="1"/>
  <c r="E1019" i="1"/>
  <c r="AJ1018" i="1"/>
  <c r="AH1018" i="1"/>
  <c r="U1018" i="1"/>
  <c r="J1018" i="1"/>
  <c r="E1018" i="1"/>
  <c r="AJ1017" i="1"/>
  <c r="AH1017" i="1"/>
  <c r="U1017" i="1"/>
  <c r="J1017" i="1"/>
  <c r="E1017" i="1"/>
  <c r="AJ1016" i="1"/>
  <c r="AH1016" i="1"/>
  <c r="U1016" i="1"/>
  <c r="J1016" i="1"/>
  <c r="E1016" i="1"/>
  <c r="AJ1015" i="1"/>
  <c r="AH1015" i="1"/>
  <c r="U1015" i="1"/>
  <c r="J1015" i="1"/>
  <c r="E1015" i="1"/>
  <c r="AJ1014" i="1"/>
  <c r="AH1014" i="1"/>
  <c r="U1014" i="1"/>
  <c r="J1014" i="1"/>
  <c r="E1014" i="1"/>
  <c r="AJ1013" i="1"/>
  <c r="AH1013" i="1"/>
  <c r="U1013" i="1"/>
  <c r="J1013" i="1"/>
  <c r="E1013" i="1"/>
  <c r="AJ1012" i="1"/>
  <c r="AH1012" i="1"/>
  <c r="U1012" i="1"/>
  <c r="J1012" i="1"/>
  <c r="E1012" i="1"/>
  <c r="AJ1011" i="1"/>
  <c r="AH1011" i="1"/>
  <c r="U1011" i="1"/>
  <c r="J1011" i="1"/>
  <c r="E1011" i="1"/>
  <c r="AJ1010" i="1"/>
  <c r="AH1010" i="1"/>
  <c r="U1010" i="1"/>
  <c r="J1010" i="1"/>
  <c r="E1010" i="1"/>
  <c r="AJ1009" i="1"/>
  <c r="AH1009" i="1"/>
  <c r="U1009" i="1"/>
  <c r="J1009" i="1"/>
  <c r="E1009" i="1"/>
  <c r="AJ1008" i="1"/>
  <c r="AH1008" i="1"/>
  <c r="U1008" i="1"/>
  <c r="J1008" i="1"/>
  <c r="E1008" i="1"/>
  <c r="AJ1007" i="1"/>
  <c r="AH1007" i="1"/>
  <c r="U1007" i="1"/>
  <c r="J1007" i="1"/>
  <c r="E1007" i="1"/>
  <c r="AJ1006" i="1"/>
  <c r="AH1006" i="1"/>
  <c r="U1006" i="1"/>
  <c r="J1006" i="1"/>
  <c r="E1006" i="1"/>
  <c r="AJ1005" i="1"/>
  <c r="AH1005" i="1"/>
  <c r="U1005" i="1"/>
  <c r="J1005" i="1"/>
  <c r="E1005" i="1"/>
  <c r="AJ1004" i="1"/>
  <c r="AH1004" i="1"/>
  <c r="U1004" i="1"/>
  <c r="J1004" i="1"/>
  <c r="E1004" i="1"/>
  <c r="AJ1003" i="1"/>
  <c r="AH1003" i="1"/>
  <c r="U1003" i="1"/>
  <c r="J1003" i="1"/>
  <c r="E1003" i="1"/>
  <c r="AJ1002" i="1"/>
  <c r="AH1002" i="1"/>
  <c r="U1002" i="1"/>
  <c r="J1002" i="1"/>
  <c r="E1002" i="1"/>
  <c r="AJ1001" i="1"/>
  <c r="AH1001" i="1"/>
  <c r="U1001" i="1"/>
  <c r="J1001" i="1"/>
  <c r="E1001" i="1"/>
  <c r="AJ1000" i="1"/>
  <c r="AH1000" i="1"/>
  <c r="U1000" i="1"/>
  <c r="J1000" i="1"/>
  <c r="E1000" i="1"/>
  <c r="AJ999" i="1"/>
  <c r="AH999" i="1"/>
  <c r="U999" i="1"/>
  <c r="J999" i="1"/>
  <c r="E999" i="1"/>
  <c r="AJ998" i="1"/>
  <c r="AH998" i="1"/>
  <c r="U998" i="1"/>
  <c r="J998" i="1"/>
  <c r="E998" i="1"/>
  <c r="AJ997" i="1"/>
  <c r="AH997" i="1"/>
  <c r="U997" i="1"/>
  <c r="J997" i="1"/>
  <c r="E997" i="1"/>
  <c r="AJ996" i="1"/>
  <c r="AH996" i="1"/>
  <c r="U996" i="1"/>
  <c r="J996" i="1"/>
  <c r="E996" i="1"/>
  <c r="AJ995" i="1"/>
  <c r="AH995" i="1"/>
  <c r="U995" i="1"/>
  <c r="J995" i="1"/>
  <c r="E995" i="1"/>
  <c r="AJ994" i="1"/>
  <c r="AH994" i="1"/>
  <c r="U994" i="1"/>
  <c r="J994" i="1"/>
  <c r="E994" i="1"/>
  <c r="AJ993" i="1"/>
  <c r="AH993" i="1"/>
  <c r="U993" i="1"/>
  <c r="J993" i="1"/>
  <c r="E993" i="1"/>
  <c r="AJ992" i="1"/>
  <c r="AH992" i="1"/>
  <c r="U992" i="1"/>
  <c r="J992" i="1"/>
  <c r="E992" i="1"/>
  <c r="AJ991" i="1"/>
  <c r="AH991" i="1"/>
  <c r="U991" i="1"/>
  <c r="J991" i="1"/>
  <c r="E991" i="1"/>
  <c r="AJ990" i="1"/>
  <c r="AH990" i="1"/>
  <c r="U990" i="1"/>
  <c r="J990" i="1"/>
  <c r="E990" i="1"/>
  <c r="AJ989" i="1"/>
  <c r="AH989" i="1"/>
  <c r="U989" i="1"/>
  <c r="J989" i="1"/>
  <c r="E989" i="1"/>
  <c r="AJ988" i="1"/>
  <c r="AH988" i="1"/>
  <c r="U988" i="1"/>
  <c r="J988" i="1"/>
  <c r="E988" i="1"/>
  <c r="AJ987" i="1"/>
  <c r="AH987" i="1"/>
  <c r="U987" i="1"/>
  <c r="J987" i="1"/>
  <c r="E987" i="1"/>
  <c r="AJ986" i="1"/>
  <c r="AH986" i="1"/>
  <c r="U986" i="1"/>
  <c r="J986" i="1"/>
  <c r="E986" i="1"/>
  <c r="AJ985" i="1"/>
  <c r="AH985" i="1"/>
  <c r="U985" i="1"/>
  <c r="J985" i="1"/>
  <c r="E985" i="1"/>
  <c r="AJ984" i="1"/>
  <c r="AH984" i="1"/>
  <c r="U984" i="1"/>
  <c r="J984" i="1"/>
  <c r="E984" i="1"/>
  <c r="AJ983" i="1"/>
  <c r="AH983" i="1"/>
  <c r="U983" i="1"/>
  <c r="J983" i="1"/>
  <c r="E983" i="1"/>
  <c r="AJ982" i="1"/>
  <c r="AH982" i="1"/>
  <c r="U982" i="1"/>
  <c r="J982" i="1"/>
  <c r="E982" i="1"/>
  <c r="AJ981" i="1"/>
  <c r="AH981" i="1"/>
  <c r="U981" i="1"/>
  <c r="J981" i="1"/>
  <c r="E981" i="1"/>
  <c r="AJ980" i="1"/>
  <c r="AH980" i="1"/>
  <c r="U980" i="1"/>
  <c r="J980" i="1"/>
  <c r="E980" i="1"/>
  <c r="AJ979" i="1"/>
  <c r="AH979" i="1"/>
  <c r="U979" i="1"/>
  <c r="J979" i="1"/>
  <c r="E979" i="1"/>
  <c r="AJ978" i="1"/>
  <c r="AH978" i="1"/>
  <c r="U978" i="1"/>
  <c r="J978" i="1"/>
  <c r="E978" i="1"/>
  <c r="AJ977" i="1"/>
  <c r="AH977" i="1"/>
  <c r="U977" i="1"/>
  <c r="J977" i="1"/>
  <c r="E977" i="1"/>
  <c r="AJ976" i="1"/>
  <c r="AH976" i="1"/>
  <c r="U976" i="1"/>
  <c r="J976" i="1"/>
  <c r="E976" i="1"/>
  <c r="AJ975" i="1"/>
  <c r="AH975" i="1"/>
  <c r="U975" i="1"/>
  <c r="J975" i="1"/>
  <c r="E975" i="1"/>
  <c r="AJ974" i="1"/>
  <c r="AH974" i="1"/>
  <c r="U974" i="1"/>
  <c r="J974" i="1"/>
  <c r="E974" i="1"/>
  <c r="AJ973" i="1"/>
  <c r="AH973" i="1"/>
  <c r="U973" i="1"/>
  <c r="J973" i="1"/>
  <c r="E973" i="1"/>
  <c r="AJ972" i="1"/>
  <c r="AH972" i="1"/>
  <c r="U972" i="1"/>
  <c r="J972" i="1"/>
  <c r="E972" i="1"/>
  <c r="AJ971" i="1"/>
  <c r="AH971" i="1"/>
  <c r="U971" i="1"/>
  <c r="J971" i="1"/>
  <c r="E971" i="1"/>
  <c r="AJ970" i="1"/>
  <c r="AH970" i="1"/>
  <c r="U970" i="1"/>
  <c r="J970" i="1"/>
  <c r="E970" i="1"/>
  <c r="AJ969" i="1"/>
  <c r="AH969" i="1"/>
  <c r="U969" i="1"/>
  <c r="J969" i="1"/>
  <c r="E969" i="1"/>
  <c r="AJ968" i="1"/>
  <c r="AH968" i="1"/>
  <c r="U968" i="1"/>
  <c r="J968" i="1"/>
  <c r="E968" i="1"/>
  <c r="AJ967" i="1"/>
  <c r="AH967" i="1"/>
  <c r="U967" i="1"/>
  <c r="J967" i="1"/>
  <c r="E967" i="1"/>
  <c r="AJ966" i="1"/>
  <c r="AH966" i="1"/>
  <c r="U966" i="1"/>
  <c r="J966" i="1"/>
  <c r="E966" i="1"/>
  <c r="AJ965" i="1"/>
  <c r="AH965" i="1"/>
  <c r="U965" i="1"/>
  <c r="J965" i="1"/>
  <c r="E965" i="1"/>
  <c r="AJ964" i="1"/>
  <c r="AH964" i="1"/>
  <c r="U964" i="1"/>
  <c r="J964" i="1"/>
  <c r="E964" i="1"/>
  <c r="AJ963" i="1"/>
  <c r="AH963" i="1"/>
  <c r="U963" i="1"/>
  <c r="J963" i="1"/>
  <c r="E963" i="1"/>
  <c r="AJ962" i="1"/>
  <c r="AH962" i="1"/>
  <c r="U962" i="1"/>
  <c r="J962" i="1"/>
  <c r="E962" i="1"/>
  <c r="AJ961" i="1"/>
  <c r="AH961" i="1"/>
  <c r="U961" i="1"/>
  <c r="J961" i="1"/>
  <c r="E961" i="1"/>
  <c r="AJ960" i="1"/>
  <c r="AH960" i="1"/>
  <c r="U960" i="1"/>
  <c r="J960" i="1"/>
  <c r="E960" i="1"/>
  <c r="AJ959" i="1"/>
  <c r="AH959" i="1"/>
  <c r="U959" i="1"/>
  <c r="J959" i="1"/>
  <c r="E959" i="1"/>
  <c r="AJ958" i="1"/>
  <c r="AH958" i="1"/>
  <c r="U958" i="1"/>
  <c r="J958" i="1"/>
  <c r="E958" i="1"/>
  <c r="AJ957" i="1"/>
  <c r="AH957" i="1"/>
  <c r="U957" i="1"/>
  <c r="J957" i="1"/>
  <c r="E957" i="1"/>
  <c r="AJ956" i="1"/>
  <c r="AH956" i="1"/>
  <c r="U956" i="1"/>
  <c r="J956" i="1"/>
  <c r="E956" i="1"/>
  <c r="AJ955" i="1"/>
  <c r="AH955" i="1"/>
  <c r="U955" i="1"/>
  <c r="J955" i="1"/>
  <c r="E955" i="1"/>
  <c r="AJ954" i="1"/>
  <c r="AH954" i="1"/>
  <c r="U954" i="1"/>
  <c r="J954" i="1"/>
  <c r="E954" i="1"/>
  <c r="AJ953" i="1"/>
  <c r="AH953" i="1"/>
  <c r="U953" i="1"/>
  <c r="J953" i="1"/>
  <c r="E953" i="1"/>
  <c r="AJ952" i="1"/>
  <c r="AH952" i="1"/>
  <c r="U952" i="1"/>
  <c r="J952" i="1"/>
  <c r="E952" i="1"/>
  <c r="AJ951" i="1"/>
  <c r="AH951" i="1"/>
  <c r="U951" i="1"/>
  <c r="J951" i="1"/>
  <c r="E951" i="1"/>
  <c r="AJ950" i="1"/>
  <c r="AH950" i="1"/>
  <c r="U950" i="1"/>
  <c r="J950" i="1"/>
  <c r="E950" i="1"/>
  <c r="AJ949" i="1"/>
  <c r="AH949" i="1"/>
  <c r="U949" i="1"/>
  <c r="J949" i="1"/>
  <c r="E949" i="1"/>
  <c r="AJ948" i="1"/>
  <c r="AH948" i="1"/>
  <c r="U948" i="1"/>
  <c r="J948" i="1"/>
  <c r="E948" i="1"/>
  <c r="AJ947" i="1"/>
  <c r="AH947" i="1"/>
  <c r="U947" i="1"/>
  <c r="J947" i="1"/>
  <c r="E947" i="1"/>
  <c r="AJ946" i="1"/>
  <c r="AH946" i="1"/>
  <c r="U946" i="1"/>
  <c r="J946" i="1"/>
  <c r="E946" i="1"/>
  <c r="AJ945" i="1"/>
  <c r="AH945" i="1"/>
  <c r="U945" i="1"/>
  <c r="J945" i="1"/>
  <c r="E945" i="1"/>
  <c r="AJ944" i="1"/>
  <c r="AH944" i="1"/>
  <c r="U944" i="1"/>
  <c r="J944" i="1"/>
  <c r="E944" i="1"/>
  <c r="AJ943" i="1"/>
  <c r="AH943" i="1"/>
  <c r="U943" i="1"/>
  <c r="J943" i="1"/>
  <c r="E943" i="1"/>
  <c r="AJ942" i="1"/>
  <c r="AH942" i="1"/>
  <c r="U942" i="1"/>
  <c r="J942" i="1"/>
  <c r="E942" i="1"/>
  <c r="AJ941" i="1"/>
  <c r="AH941" i="1"/>
  <c r="U941" i="1"/>
  <c r="J941" i="1"/>
  <c r="E941" i="1"/>
  <c r="AJ940" i="1"/>
  <c r="AH940" i="1"/>
  <c r="U940" i="1"/>
  <c r="J940" i="1"/>
  <c r="E940" i="1"/>
  <c r="AJ939" i="1"/>
  <c r="AH939" i="1"/>
  <c r="U939" i="1"/>
  <c r="J939" i="1"/>
  <c r="E939" i="1"/>
  <c r="AJ938" i="1"/>
  <c r="AH938" i="1"/>
  <c r="U938" i="1"/>
  <c r="J938" i="1"/>
  <c r="E938" i="1"/>
  <c r="AJ937" i="1"/>
  <c r="AH937" i="1"/>
  <c r="U937" i="1"/>
  <c r="J937" i="1"/>
  <c r="E937" i="1"/>
  <c r="AJ936" i="1"/>
  <c r="AH936" i="1"/>
  <c r="U936" i="1"/>
  <c r="J936" i="1"/>
  <c r="E936" i="1"/>
  <c r="AJ935" i="1"/>
  <c r="AH935" i="1"/>
  <c r="U935" i="1"/>
  <c r="J935" i="1"/>
  <c r="E935" i="1"/>
  <c r="AJ934" i="1"/>
  <c r="AH934" i="1"/>
  <c r="U934" i="1"/>
  <c r="J934" i="1"/>
  <c r="E934" i="1"/>
  <c r="AJ933" i="1"/>
  <c r="AH933" i="1"/>
  <c r="U933" i="1"/>
  <c r="J933" i="1"/>
  <c r="E933" i="1"/>
  <c r="AJ932" i="1"/>
  <c r="AH932" i="1"/>
  <c r="U932" i="1"/>
  <c r="J932" i="1"/>
  <c r="E932" i="1"/>
  <c r="AJ931" i="1"/>
  <c r="AH931" i="1"/>
  <c r="U931" i="1"/>
  <c r="J931" i="1"/>
  <c r="E931" i="1"/>
  <c r="AJ930" i="1"/>
  <c r="AH930" i="1"/>
  <c r="U930" i="1"/>
  <c r="J930" i="1"/>
  <c r="E930" i="1"/>
  <c r="AJ929" i="1"/>
  <c r="AH929" i="1"/>
  <c r="U929" i="1"/>
  <c r="J929" i="1"/>
  <c r="E929" i="1"/>
  <c r="AJ928" i="1"/>
  <c r="AH928" i="1"/>
  <c r="U928" i="1"/>
  <c r="J928" i="1"/>
  <c r="E928" i="1"/>
  <c r="AJ927" i="1"/>
  <c r="AH927" i="1"/>
  <c r="U927" i="1"/>
  <c r="J927" i="1"/>
  <c r="E927" i="1"/>
  <c r="AJ926" i="1"/>
  <c r="AH926" i="1"/>
  <c r="U926" i="1"/>
  <c r="J926" i="1"/>
  <c r="E926" i="1"/>
  <c r="AJ925" i="1"/>
  <c r="AH925" i="1"/>
  <c r="U925" i="1"/>
  <c r="J925" i="1"/>
  <c r="E925" i="1"/>
  <c r="AJ924" i="1"/>
  <c r="AH924" i="1"/>
  <c r="U924" i="1"/>
  <c r="J924" i="1"/>
  <c r="E924" i="1"/>
  <c r="AJ923" i="1"/>
  <c r="AH923" i="1"/>
  <c r="U923" i="1"/>
  <c r="J923" i="1"/>
  <c r="E923" i="1"/>
  <c r="AJ922" i="1"/>
  <c r="AH922" i="1"/>
  <c r="U922" i="1"/>
  <c r="J922" i="1"/>
  <c r="E922" i="1"/>
  <c r="AJ921" i="1"/>
  <c r="AH921" i="1"/>
  <c r="U921" i="1"/>
  <c r="J921" i="1"/>
  <c r="E921" i="1"/>
  <c r="AJ920" i="1"/>
  <c r="AH920" i="1"/>
  <c r="U920" i="1"/>
  <c r="J920" i="1"/>
  <c r="E920" i="1"/>
  <c r="AJ919" i="1"/>
  <c r="AH919" i="1"/>
  <c r="U919" i="1"/>
  <c r="J919" i="1"/>
  <c r="E919" i="1"/>
  <c r="AJ918" i="1"/>
  <c r="AH918" i="1"/>
  <c r="U918" i="1"/>
  <c r="J918" i="1"/>
  <c r="E918" i="1"/>
  <c r="AJ917" i="1"/>
  <c r="AH917" i="1"/>
  <c r="U917" i="1"/>
  <c r="J917" i="1"/>
  <c r="E917" i="1"/>
  <c r="AJ916" i="1"/>
  <c r="AH916" i="1"/>
  <c r="U916" i="1"/>
  <c r="J916" i="1"/>
  <c r="E916" i="1"/>
  <c r="AJ915" i="1"/>
  <c r="AH915" i="1"/>
  <c r="U915" i="1"/>
  <c r="J915" i="1"/>
  <c r="E915" i="1"/>
  <c r="AJ914" i="1"/>
  <c r="AH914" i="1"/>
  <c r="U914" i="1"/>
  <c r="J914" i="1"/>
  <c r="E914" i="1"/>
  <c r="AJ913" i="1"/>
  <c r="AH913" i="1"/>
  <c r="U913" i="1"/>
  <c r="J913" i="1"/>
  <c r="E913" i="1"/>
  <c r="AJ912" i="1"/>
  <c r="AH912" i="1"/>
  <c r="U912" i="1"/>
  <c r="J912" i="1"/>
  <c r="E912" i="1"/>
  <c r="AJ911" i="1"/>
  <c r="AH911" i="1"/>
  <c r="U911" i="1"/>
  <c r="J911" i="1"/>
  <c r="E911" i="1"/>
  <c r="AJ910" i="1"/>
  <c r="AH910" i="1"/>
  <c r="U910" i="1"/>
  <c r="J910" i="1"/>
  <c r="E910" i="1"/>
  <c r="AJ909" i="1"/>
  <c r="AH909" i="1"/>
  <c r="U909" i="1"/>
  <c r="J909" i="1"/>
  <c r="E909" i="1"/>
  <c r="AJ908" i="1"/>
  <c r="AH908" i="1"/>
  <c r="U908" i="1"/>
  <c r="J908" i="1"/>
  <c r="E908" i="1"/>
  <c r="AJ907" i="1"/>
  <c r="AH907" i="1"/>
  <c r="U907" i="1"/>
  <c r="J907" i="1"/>
  <c r="E907" i="1"/>
  <c r="AJ906" i="1"/>
  <c r="AH906" i="1"/>
  <c r="U906" i="1"/>
  <c r="J906" i="1"/>
  <c r="E906" i="1"/>
  <c r="AJ905" i="1"/>
  <c r="AH905" i="1"/>
  <c r="U905" i="1"/>
  <c r="J905" i="1"/>
  <c r="E905" i="1"/>
  <c r="AJ904" i="1"/>
  <c r="AH904" i="1"/>
  <c r="U904" i="1"/>
  <c r="J904" i="1"/>
  <c r="E904" i="1"/>
  <c r="AJ903" i="1"/>
  <c r="AH903" i="1"/>
  <c r="U903" i="1"/>
  <c r="J903" i="1"/>
  <c r="E903" i="1"/>
  <c r="AJ902" i="1"/>
  <c r="AH902" i="1"/>
  <c r="U902" i="1"/>
  <c r="J902" i="1"/>
  <c r="E902" i="1"/>
  <c r="AJ901" i="1"/>
  <c r="AH901" i="1"/>
  <c r="U901" i="1"/>
  <c r="J901" i="1"/>
  <c r="E901" i="1"/>
  <c r="AJ900" i="1"/>
  <c r="AH900" i="1"/>
  <c r="U900" i="1"/>
  <c r="J900" i="1"/>
  <c r="E900" i="1"/>
  <c r="AJ899" i="1"/>
  <c r="AH899" i="1"/>
  <c r="U899" i="1"/>
  <c r="J899" i="1"/>
  <c r="E899" i="1"/>
  <c r="AJ898" i="1"/>
  <c r="AH898" i="1"/>
  <c r="U898" i="1"/>
  <c r="J898" i="1"/>
  <c r="E898" i="1"/>
  <c r="AJ897" i="1"/>
  <c r="AH897" i="1"/>
  <c r="U897" i="1"/>
  <c r="J897" i="1"/>
  <c r="E897" i="1"/>
  <c r="AJ896" i="1"/>
  <c r="AH896" i="1"/>
  <c r="U896" i="1"/>
  <c r="J896" i="1"/>
  <c r="E896" i="1"/>
  <c r="AJ895" i="1"/>
  <c r="AH895" i="1"/>
  <c r="U895" i="1"/>
  <c r="J895" i="1"/>
  <c r="E895" i="1"/>
  <c r="AJ894" i="1"/>
  <c r="AH894" i="1"/>
  <c r="U894" i="1"/>
  <c r="J894" i="1"/>
  <c r="E894" i="1"/>
  <c r="AJ893" i="1"/>
  <c r="AH893" i="1"/>
  <c r="U893" i="1"/>
  <c r="J893" i="1"/>
  <c r="E893" i="1"/>
  <c r="AJ892" i="1"/>
  <c r="AH892" i="1"/>
  <c r="U892" i="1"/>
  <c r="J892" i="1"/>
  <c r="E892" i="1"/>
  <c r="AJ891" i="1"/>
  <c r="AH891" i="1"/>
  <c r="U891" i="1"/>
  <c r="J891" i="1"/>
  <c r="E891" i="1"/>
  <c r="AJ890" i="1"/>
  <c r="AH890" i="1"/>
  <c r="U890" i="1"/>
  <c r="J890" i="1"/>
  <c r="E890" i="1"/>
  <c r="AJ889" i="1"/>
  <c r="AH889" i="1"/>
  <c r="U889" i="1"/>
  <c r="J889" i="1"/>
  <c r="E889" i="1"/>
  <c r="AJ888" i="1"/>
  <c r="AH888" i="1"/>
  <c r="U888" i="1"/>
  <c r="J888" i="1"/>
  <c r="E888" i="1"/>
  <c r="AJ887" i="1"/>
  <c r="AH887" i="1"/>
  <c r="U887" i="1"/>
  <c r="J887" i="1"/>
  <c r="E887" i="1"/>
  <c r="AJ886" i="1"/>
  <c r="AH886" i="1"/>
  <c r="U886" i="1"/>
  <c r="J886" i="1"/>
  <c r="E886" i="1"/>
  <c r="AJ885" i="1"/>
  <c r="AH885" i="1"/>
  <c r="U885" i="1"/>
  <c r="J885" i="1"/>
  <c r="E885" i="1"/>
  <c r="AJ884" i="1"/>
  <c r="AH884" i="1"/>
  <c r="U884" i="1"/>
  <c r="J884" i="1"/>
  <c r="E884" i="1"/>
  <c r="AJ883" i="1"/>
  <c r="AH883" i="1"/>
  <c r="U883" i="1"/>
  <c r="J883" i="1"/>
  <c r="E883" i="1"/>
  <c r="AJ882" i="1"/>
  <c r="AH882" i="1"/>
  <c r="U882" i="1"/>
  <c r="J882" i="1"/>
  <c r="E882" i="1"/>
  <c r="AJ881" i="1"/>
  <c r="AH881" i="1"/>
  <c r="U881" i="1"/>
  <c r="J881" i="1"/>
  <c r="E881" i="1"/>
  <c r="AJ880" i="1"/>
  <c r="AH880" i="1"/>
  <c r="U880" i="1"/>
  <c r="J880" i="1"/>
  <c r="E880" i="1"/>
  <c r="AJ879" i="1"/>
  <c r="AH879" i="1"/>
  <c r="U879" i="1"/>
  <c r="J879" i="1"/>
  <c r="E879" i="1"/>
  <c r="AJ878" i="1"/>
  <c r="AH878" i="1"/>
  <c r="U878" i="1"/>
  <c r="J878" i="1"/>
  <c r="E878" i="1"/>
  <c r="AJ877" i="1"/>
  <c r="AH877" i="1"/>
  <c r="U877" i="1"/>
  <c r="J877" i="1"/>
  <c r="E877" i="1"/>
  <c r="AJ876" i="1"/>
  <c r="AH876" i="1"/>
  <c r="U876" i="1"/>
  <c r="J876" i="1"/>
  <c r="E876" i="1"/>
  <c r="AJ875" i="1"/>
  <c r="AH875" i="1"/>
  <c r="U875" i="1"/>
  <c r="J875" i="1"/>
  <c r="E875" i="1"/>
  <c r="AJ874" i="1"/>
  <c r="AH874" i="1"/>
  <c r="U874" i="1"/>
  <c r="J874" i="1"/>
  <c r="E874" i="1"/>
  <c r="AJ873" i="1"/>
  <c r="AH873" i="1"/>
  <c r="U873" i="1"/>
  <c r="J873" i="1"/>
  <c r="E873" i="1"/>
  <c r="AJ872" i="1"/>
  <c r="AH872" i="1"/>
  <c r="U872" i="1"/>
  <c r="J872" i="1"/>
  <c r="E872" i="1"/>
  <c r="AJ871" i="1"/>
  <c r="AH871" i="1"/>
  <c r="U871" i="1"/>
  <c r="J871" i="1"/>
  <c r="E871" i="1"/>
  <c r="AJ870" i="1"/>
  <c r="AH870" i="1"/>
  <c r="U870" i="1"/>
  <c r="J870" i="1"/>
  <c r="E870" i="1"/>
  <c r="AJ869" i="1"/>
  <c r="AH869" i="1"/>
  <c r="U869" i="1"/>
  <c r="J869" i="1"/>
  <c r="E869" i="1"/>
  <c r="AJ868" i="1"/>
  <c r="AH868" i="1"/>
  <c r="U868" i="1"/>
  <c r="J868" i="1"/>
  <c r="E868" i="1"/>
  <c r="AJ867" i="1"/>
  <c r="AH867" i="1"/>
  <c r="U867" i="1"/>
  <c r="J867" i="1"/>
  <c r="E867" i="1"/>
  <c r="AJ866" i="1"/>
  <c r="AH866" i="1"/>
  <c r="U866" i="1"/>
  <c r="J866" i="1"/>
  <c r="E866" i="1"/>
  <c r="AJ865" i="1"/>
  <c r="AH865" i="1"/>
  <c r="U865" i="1"/>
  <c r="J865" i="1"/>
  <c r="E865" i="1"/>
  <c r="AJ864" i="1"/>
  <c r="AH864" i="1"/>
  <c r="U864" i="1"/>
  <c r="J864" i="1"/>
  <c r="E864" i="1"/>
  <c r="AJ863" i="1"/>
  <c r="AH863" i="1"/>
  <c r="U863" i="1"/>
  <c r="J863" i="1"/>
  <c r="E863" i="1"/>
  <c r="AJ862" i="1"/>
  <c r="AH862" i="1"/>
  <c r="U862" i="1"/>
  <c r="J862" i="1"/>
  <c r="E862" i="1"/>
  <c r="AJ861" i="1"/>
  <c r="AH861" i="1"/>
  <c r="U861" i="1"/>
  <c r="J861" i="1"/>
  <c r="E861" i="1"/>
  <c r="AJ860" i="1"/>
  <c r="AH860" i="1"/>
  <c r="U860" i="1"/>
  <c r="J860" i="1"/>
  <c r="E860" i="1"/>
  <c r="AJ859" i="1"/>
  <c r="AH859" i="1"/>
  <c r="U859" i="1"/>
  <c r="J859" i="1"/>
  <c r="E859" i="1"/>
  <c r="AJ858" i="1"/>
  <c r="AH858" i="1"/>
  <c r="U858" i="1"/>
  <c r="J858" i="1"/>
  <c r="E858" i="1"/>
  <c r="AJ857" i="1"/>
  <c r="AH857" i="1"/>
  <c r="U857" i="1"/>
  <c r="J857" i="1"/>
  <c r="E857" i="1"/>
  <c r="AJ856" i="1"/>
  <c r="AH856" i="1"/>
  <c r="U856" i="1"/>
  <c r="J856" i="1"/>
  <c r="E856" i="1"/>
  <c r="AJ855" i="1"/>
  <c r="AH855" i="1"/>
  <c r="U855" i="1"/>
  <c r="J855" i="1"/>
  <c r="E855" i="1"/>
  <c r="AJ854" i="1"/>
  <c r="AH854" i="1"/>
  <c r="U854" i="1"/>
  <c r="J854" i="1"/>
  <c r="E854" i="1"/>
  <c r="AJ853" i="1"/>
  <c r="AH853" i="1"/>
  <c r="U853" i="1"/>
  <c r="J853" i="1"/>
  <c r="E853" i="1"/>
  <c r="AJ852" i="1"/>
  <c r="AH852" i="1"/>
  <c r="U852" i="1"/>
  <c r="J852" i="1"/>
  <c r="E852" i="1"/>
  <c r="AJ851" i="1"/>
  <c r="AH851" i="1"/>
  <c r="U851" i="1"/>
  <c r="J851" i="1"/>
  <c r="E851" i="1"/>
  <c r="AJ850" i="1"/>
  <c r="AH850" i="1"/>
  <c r="U850" i="1"/>
  <c r="J850" i="1"/>
  <c r="E850" i="1"/>
  <c r="AJ849" i="1"/>
  <c r="AH849" i="1"/>
  <c r="U849" i="1"/>
  <c r="J849" i="1"/>
  <c r="E849" i="1"/>
  <c r="AJ848" i="1"/>
  <c r="AH848" i="1"/>
  <c r="U848" i="1"/>
  <c r="J848" i="1"/>
  <c r="E848" i="1"/>
  <c r="AJ847" i="1"/>
  <c r="AH847" i="1"/>
  <c r="U847" i="1"/>
  <c r="J847" i="1"/>
  <c r="E847" i="1"/>
  <c r="AJ846" i="1"/>
  <c r="AH846" i="1"/>
  <c r="U846" i="1"/>
  <c r="J846" i="1"/>
  <c r="E846" i="1"/>
  <c r="AJ845" i="1"/>
  <c r="AH845" i="1"/>
  <c r="U845" i="1"/>
  <c r="J845" i="1"/>
  <c r="E845" i="1"/>
  <c r="AJ844" i="1"/>
  <c r="AH844" i="1"/>
  <c r="U844" i="1"/>
  <c r="J844" i="1"/>
  <c r="E844" i="1"/>
  <c r="AJ843" i="1"/>
  <c r="AH843" i="1"/>
  <c r="U843" i="1"/>
  <c r="J843" i="1"/>
  <c r="E843" i="1"/>
  <c r="AJ842" i="1"/>
  <c r="AH842" i="1"/>
  <c r="U842" i="1"/>
  <c r="J842" i="1"/>
  <c r="E842" i="1"/>
  <c r="AJ841" i="1"/>
  <c r="AH841" i="1"/>
  <c r="U841" i="1"/>
  <c r="J841" i="1"/>
  <c r="E841" i="1"/>
  <c r="AJ840" i="1"/>
  <c r="AH840" i="1"/>
  <c r="U840" i="1"/>
  <c r="J840" i="1"/>
  <c r="E840" i="1"/>
  <c r="AJ839" i="1"/>
  <c r="AH839" i="1"/>
  <c r="U839" i="1"/>
  <c r="J839" i="1"/>
  <c r="E839" i="1"/>
  <c r="AJ838" i="1"/>
  <c r="AH838" i="1"/>
  <c r="U838" i="1"/>
  <c r="J838" i="1"/>
  <c r="E838" i="1"/>
  <c r="AJ837" i="1"/>
  <c r="AH837" i="1"/>
  <c r="U837" i="1"/>
  <c r="J837" i="1"/>
  <c r="E837" i="1"/>
  <c r="AJ836" i="1"/>
  <c r="AH836" i="1"/>
  <c r="U836" i="1"/>
  <c r="J836" i="1"/>
  <c r="E836" i="1"/>
  <c r="AJ835" i="1"/>
  <c r="AH835" i="1"/>
  <c r="U835" i="1"/>
  <c r="J835" i="1"/>
  <c r="E835" i="1"/>
  <c r="AJ834" i="1"/>
  <c r="AH834" i="1"/>
  <c r="U834" i="1"/>
  <c r="J834" i="1"/>
  <c r="E834" i="1"/>
  <c r="AJ833" i="1"/>
  <c r="AH833" i="1"/>
  <c r="U833" i="1"/>
  <c r="J833" i="1"/>
  <c r="E833" i="1"/>
  <c r="AJ832" i="1"/>
  <c r="AH832" i="1"/>
  <c r="U832" i="1"/>
  <c r="J832" i="1"/>
  <c r="E832" i="1"/>
  <c r="AJ831" i="1"/>
  <c r="AH831" i="1"/>
  <c r="U831" i="1"/>
  <c r="J831" i="1"/>
  <c r="E831" i="1"/>
  <c r="AJ830" i="1"/>
  <c r="AH830" i="1"/>
  <c r="U830" i="1"/>
  <c r="J830" i="1"/>
  <c r="E830" i="1"/>
  <c r="AJ829" i="1"/>
  <c r="AH829" i="1"/>
  <c r="U829" i="1"/>
  <c r="J829" i="1"/>
  <c r="E829" i="1"/>
  <c r="AJ828" i="1"/>
  <c r="AH828" i="1"/>
  <c r="U828" i="1"/>
  <c r="J828" i="1"/>
  <c r="E828" i="1"/>
  <c r="AJ827" i="1"/>
  <c r="AH827" i="1"/>
  <c r="U827" i="1"/>
  <c r="J827" i="1"/>
  <c r="E827" i="1"/>
  <c r="AJ826" i="1"/>
  <c r="AH826" i="1"/>
  <c r="U826" i="1"/>
  <c r="J826" i="1"/>
  <c r="E826" i="1"/>
  <c r="AJ825" i="1"/>
  <c r="AH825" i="1"/>
  <c r="U825" i="1"/>
  <c r="J825" i="1"/>
  <c r="E825" i="1"/>
  <c r="AJ824" i="1"/>
  <c r="AH824" i="1"/>
  <c r="U824" i="1"/>
  <c r="J824" i="1"/>
  <c r="E824" i="1"/>
  <c r="AJ823" i="1"/>
  <c r="AH823" i="1"/>
  <c r="U823" i="1"/>
  <c r="J823" i="1"/>
  <c r="E823" i="1"/>
  <c r="AJ822" i="1"/>
  <c r="AH822" i="1"/>
  <c r="U822" i="1"/>
  <c r="J822" i="1"/>
  <c r="E822" i="1"/>
  <c r="AJ821" i="1"/>
  <c r="AH821" i="1"/>
  <c r="U821" i="1"/>
  <c r="J821" i="1"/>
  <c r="E821" i="1"/>
  <c r="AJ820" i="1"/>
  <c r="AH820" i="1"/>
  <c r="U820" i="1"/>
  <c r="J820" i="1"/>
  <c r="E820" i="1"/>
  <c r="AJ819" i="1"/>
  <c r="AH819" i="1"/>
  <c r="U819" i="1"/>
  <c r="J819" i="1"/>
  <c r="E819" i="1"/>
  <c r="AJ818" i="1"/>
  <c r="AH818" i="1"/>
  <c r="U818" i="1"/>
  <c r="J818" i="1"/>
  <c r="E818" i="1"/>
  <c r="AJ817" i="1"/>
  <c r="AH817" i="1"/>
  <c r="U817" i="1"/>
  <c r="J817" i="1"/>
  <c r="E817" i="1"/>
  <c r="AJ816" i="1"/>
  <c r="AH816" i="1"/>
  <c r="U816" i="1"/>
  <c r="J816" i="1"/>
  <c r="E816" i="1"/>
  <c r="AJ815" i="1"/>
  <c r="AH815" i="1"/>
  <c r="U815" i="1"/>
  <c r="J815" i="1"/>
  <c r="E815" i="1"/>
  <c r="AJ814" i="1"/>
  <c r="AH814" i="1"/>
  <c r="U814" i="1"/>
  <c r="J814" i="1"/>
  <c r="E814" i="1"/>
  <c r="AJ813" i="1"/>
  <c r="AH813" i="1"/>
  <c r="U813" i="1"/>
  <c r="J813" i="1"/>
  <c r="E813" i="1"/>
  <c r="AJ812" i="1"/>
  <c r="AH812" i="1"/>
  <c r="U812" i="1"/>
  <c r="J812" i="1"/>
  <c r="E812" i="1"/>
  <c r="AJ811" i="1"/>
  <c r="AH811" i="1"/>
  <c r="U811" i="1"/>
  <c r="J811" i="1"/>
  <c r="E811" i="1"/>
  <c r="AJ810" i="1"/>
  <c r="AH810" i="1"/>
  <c r="U810" i="1"/>
  <c r="J810" i="1"/>
  <c r="E810" i="1"/>
  <c r="AJ809" i="1"/>
  <c r="AH809" i="1"/>
  <c r="U809" i="1"/>
  <c r="J809" i="1"/>
  <c r="E809" i="1"/>
  <c r="AJ808" i="1"/>
  <c r="AH808" i="1"/>
  <c r="U808" i="1"/>
  <c r="J808" i="1"/>
  <c r="E808" i="1"/>
  <c r="AJ807" i="1"/>
  <c r="AH807" i="1"/>
  <c r="U807" i="1"/>
  <c r="J807" i="1"/>
  <c r="E807" i="1"/>
  <c r="AJ806" i="1"/>
  <c r="AH806" i="1"/>
  <c r="U806" i="1"/>
  <c r="J806" i="1"/>
  <c r="E806" i="1"/>
  <c r="AJ805" i="1"/>
  <c r="AH805" i="1"/>
  <c r="U805" i="1"/>
  <c r="J805" i="1"/>
  <c r="E805" i="1"/>
  <c r="AJ804" i="1"/>
  <c r="AH804" i="1"/>
  <c r="U804" i="1"/>
  <c r="J804" i="1"/>
  <c r="E804" i="1"/>
  <c r="AJ803" i="1"/>
  <c r="AH803" i="1"/>
  <c r="U803" i="1"/>
  <c r="J803" i="1"/>
  <c r="E803" i="1"/>
  <c r="AJ802" i="1"/>
  <c r="AH802" i="1"/>
  <c r="U802" i="1"/>
  <c r="J802" i="1"/>
  <c r="E802" i="1"/>
  <c r="AJ801" i="1"/>
  <c r="AH801" i="1"/>
  <c r="U801" i="1"/>
  <c r="J801" i="1"/>
  <c r="E801" i="1"/>
  <c r="AJ800" i="1"/>
  <c r="AH800" i="1"/>
  <c r="U800" i="1"/>
  <c r="J800" i="1"/>
  <c r="E800" i="1"/>
  <c r="AJ799" i="1"/>
  <c r="AH799" i="1"/>
  <c r="U799" i="1"/>
  <c r="J799" i="1"/>
  <c r="E799" i="1"/>
  <c r="AJ798" i="1"/>
  <c r="AH798" i="1"/>
  <c r="U798" i="1"/>
  <c r="J798" i="1"/>
  <c r="E798" i="1"/>
  <c r="AJ797" i="1"/>
  <c r="AH797" i="1"/>
  <c r="U797" i="1"/>
  <c r="J797" i="1"/>
  <c r="E797" i="1"/>
  <c r="AJ796" i="1"/>
  <c r="AH796" i="1"/>
  <c r="U796" i="1"/>
  <c r="J796" i="1"/>
  <c r="E796" i="1"/>
  <c r="AJ795" i="1"/>
  <c r="AH795" i="1"/>
  <c r="U795" i="1"/>
  <c r="J795" i="1"/>
  <c r="E795" i="1"/>
  <c r="AJ794" i="1"/>
  <c r="AH794" i="1"/>
  <c r="U794" i="1"/>
  <c r="J794" i="1"/>
  <c r="E794" i="1"/>
  <c r="AJ793" i="1"/>
  <c r="AH793" i="1"/>
  <c r="U793" i="1"/>
  <c r="J793" i="1"/>
  <c r="E793" i="1"/>
  <c r="AJ792" i="1"/>
  <c r="AH792" i="1"/>
  <c r="U792" i="1"/>
  <c r="J792" i="1"/>
  <c r="E792" i="1"/>
  <c r="AJ791" i="1"/>
  <c r="AH791" i="1"/>
  <c r="U791" i="1"/>
  <c r="J791" i="1"/>
  <c r="E791" i="1"/>
  <c r="AJ790" i="1"/>
  <c r="AH790" i="1"/>
  <c r="U790" i="1"/>
  <c r="J790" i="1"/>
  <c r="E790" i="1"/>
  <c r="AJ789" i="1"/>
  <c r="AH789" i="1"/>
  <c r="U789" i="1"/>
  <c r="J789" i="1"/>
  <c r="E789" i="1"/>
  <c r="AJ788" i="1"/>
  <c r="AH788" i="1"/>
  <c r="U788" i="1"/>
  <c r="J788" i="1"/>
  <c r="E788" i="1"/>
  <c r="AJ787" i="1"/>
  <c r="AH787" i="1"/>
  <c r="U787" i="1"/>
  <c r="J787" i="1"/>
  <c r="E787" i="1"/>
  <c r="AJ786" i="1"/>
  <c r="AH786" i="1"/>
  <c r="U786" i="1"/>
  <c r="J786" i="1"/>
  <c r="E786" i="1"/>
  <c r="AJ785" i="1"/>
  <c r="AH785" i="1"/>
  <c r="U785" i="1"/>
  <c r="J785" i="1"/>
  <c r="E785" i="1"/>
  <c r="AJ784" i="1"/>
  <c r="AH784" i="1"/>
  <c r="U784" i="1"/>
  <c r="J784" i="1"/>
  <c r="E784" i="1"/>
  <c r="AJ783" i="1"/>
  <c r="AH783" i="1"/>
  <c r="U783" i="1"/>
  <c r="J783" i="1"/>
  <c r="E783" i="1"/>
  <c r="AJ782" i="1"/>
  <c r="AH782" i="1"/>
  <c r="U782" i="1"/>
  <c r="J782" i="1"/>
  <c r="E782" i="1"/>
  <c r="AJ781" i="1"/>
  <c r="AH781" i="1"/>
  <c r="U781" i="1"/>
  <c r="J781" i="1"/>
  <c r="E781" i="1"/>
  <c r="AJ780" i="1"/>
  <c r="AH780" i="1"/>
  <c r="U780" i="1"/>
  <c r="J780" i="1"/>
  <c r="E780" i="1"/>
  <c r="AJ779" i="1"/>
  <c r="AH779" i="1"/>
  <c r="U779" i="1"/>
  <c r="J779" i="1"/>
  <c r="E779" i="1"/>
  <c r="AJ778" i="1"/>
  <c r="AH778" i="1"/>
  <c r="U778" i="1"/>
  <c r="J778" i="1"/>
  <c r="E778" i="1"/>
  <c r="AJ777" i="1"/>
  <c r="AH777" i="1"/>
  <c r="U777" i="1"/>
  <c r="J777" i="1"/>
  <c r="E777" i="1"/>
  <c r="AJ776" i="1"/>
  <c r="AH776" i="1"/>
  <c r="U776" i="1"/>
  <c r="J776" i="1"/>
  <c r="E776" i="1"/>
  <c r="AJ775" i="1"/>
  <c r="AH775" i="1"/>
  <c r="U775" i="1"/>
  <c r="J775" i="1"/>
  <c r="E775" i="1"/>
  <c r="AJ774" i="1"/>
  <c r="AH774" i="1"/>
  <c r="U774" i="1"/>
  <c r="J774" i="1"/>
  <c r="E774" i="1"/>
  <c r="AJ773" i="1"/>
  <c r="AH773" i="1"/>
  <c r="U773" i="1"/>
  <c r="J773" i="1"/>
  <c r="E773" i="1"/>
  <c r="AJ772" i="1"/>
  <c r="AH772" i="1"/>
  <c r="U772" i="1"/>
  <c r="J772" i="1"/>
  <c r="E772" i="1"/>
  <c r="AJ771" i="1"/>
  <c r="AH771" i="1"/>
  <c r="U771" i="1"/>
  <c r="J771" i="1"/>
  <c r="E771" i="1"/>
  <c r="AJ770" i="1"/>
  <c r="AH770" i="1"/>
  <c r="U770" i="1"/>
  <c r="J770" i="1"/>
  <c r="E770" i="1"/>
  <c r="AJ769" i="1"/>
  <c r="AH769" i="1"/>
  <c r="U769" i="1"/>
  <c r="J769" i="1"/>
  <c r="E769" i="1"/>
  <c r="AJ768" i="1"/>
  <c r="AH768" i="1"/>
  <c r="U768" i="1"/>
  <c r="J768" i="1"/>
  <c r="E768" i="1"/>
  <c r="AJ767" i="1"/>
  <c r="AH767" i="1"/>
  <c r="U767" i="1"/>
  <c r="J767" i="1"/>
  <c r="E767" i="1"/>
  <c r="AJ766" i="1"/>
  <c r="AH766" i="1"/>
  <c r="U766" i="1"/>
  <c r="J766" i="1"/>
  <c r="E766" i="1"/>
  <c r="AJ765" i="1"/>
  <c r="AH765" i="1"/>
  <c r="U765" i="1"/>
  <c r="J765" i="1"/>
  <c r="E765" i="1"/>
  <c r="AJ764" i="1"/>
  <c r="AH764" i="1"/>
  <c r="U764" i="1"/>
  <c r="J764" i="1"/>
  <c r="E764" i="1"/>
  <c r="AJ763" i="1"/>
  <c r="AH763" i="1"/>
  <c r="U763" i="1"/>
  <c r="J763" i="1"/>
  <c r="E763" i="1"/>
  <c r="AJ762" i="1"/>
  <c r="AH762" i="1"/>
  <c r="U762" i="1"/>
  <c r="J762" i="1"/>
  <c r="E762" i="1"/>
  <c r="AJ761" i="1"/>
  <c r="AH761" i="1"/>
  <c r="U761" i="1"/>
  <c r="J761" i="1"/>
  <c r="E761" i="1"/>
  <c r="AJ760" i="1"/>
  <c r="AH760" i="1"/>
  <c r="U760" i="1"/>
  <c r="J760" i="1"/>
  <c r="E760" i="1"/>
  <c r="AJ759" i="1"/>
  <c r="AH759" i="1"/>
  <c r="U759" i="1"/>
  <c r="J759" i="1"/>
  <c r="E759" i="1"/>
  <c r="AJ758" i="1"/>
  <c r="AH758" i="1"/>
  <c r="U758" i="1"/>
  <c r="J758" i="1"/>
  <c r="E758" i="1"/>
  <c r="AJ757" i="1"/>
  <c r="AH757" i="1"/>
  <c r="U757" i="1"/>
  <c r="J757" i="1"/>
  <c r="E757" i="1"/>
  <c r="AJ756" i="1"/>
  <c r="AH756" i="1"/>
  <c r="U756" i="1"/>
  <c r="J756" i="1"/>
  <c r="E756" i="1"/>
  <c r="AJ755" i="1"/>
  <c r="AH755" i="1"/>
  <c r="U755" i="1"/>
  <c r="J755" i="1"/>
  <c r="E755" i="1"/>
  <c r="AJ754" i="1"/>
  <c r="AH754" i="1"/>
  <c r="U754" i="1"/>
  <c r="J754" i="1"/>
  <c r="E754" i="1"/>
  <c r="AJ753" i="1"/>
  <c r="AH753" i="1"/>
  <c r="U753" i="1"/>
  <c r="J753" i="1"/>
  <c r="E753" i="1"/>
  <c r="AJ752" i="1"/>
  <c r="AH752" i="1"/>
  <c r="U752" i="1"/>
  <c r="J752" i="1"/>
  <c r="E752" i="1"/>
  <c r="AJ751" i="1"/>
  <c r="AH751" i="1"/>
  <c r="U751" i="1"/>
  <c r="J751" i="1"/>
  <c r="E751" i="1"/>
  <c r="AJ750" i="1"/>
  <c r="AH750" i="1"/>
  <c r="U750" i="1"/>
  <c r="J750" i="1"/>
  <c r="E750" i="1"/>
  <c r="AJ749" i="1"/>
  <c r="AH749" i="1"/>
  <c r="U749" i="1"/>
  <c r="J749" i="1"/>
  <c r="E749" i="1"/>
  <c r="AJ748" i="1"/>
  <c r="AH748" i="1"/>
  <c r="U748" i="1"/>
  <c r="J748" i="1"/>
  <c r="E748" i="1"/>
  <c r="AJ747" i="1"/>
  <c r="AH747" i="1"/>
  <c r="U747" i="1"/>
  <c r="J747" i="1"/>
  <c r="E747" i="1"/>
  <c r="AJ746" i="1"/>
  <c r="AH746" i="1"/>
  <c r="U746" i="1"/>
  <c r="J746" i="1"/>
  <c r="E746" i="1"/>
  <c r="AJ745" i="1"/>
  <c r="AH745" i="1"/>
  <c r="U745" i="1"/>
  <c r="J745" i="1"/>
  <c r="E745" i="1"/>
  <c r="AJ744" i="1"/>
  <c r="AH744" i="1"/>
  <c r="U744" i="1"/>
  <c r="J744" i="1"/>
  <c r="E744" i="1"/>
  <c r="AJ743" i="1"/>
  <c r="AH743" i="1"/>
  <c r="U743" i="1"/>
  <c r="J743" i="1"/>
  <c r="E743" i="1"/>
  <c r="AJ742" i="1"/>
  <c r="AH742" i="1"/>
  <c r="U742" i="1"/>
  <c r="J742" i="1"/>
  <c r="E742" i="1"/>
  <c r="AJ741" i="1"/>
  <c r="AH741" i="1"/>
  <c r="U741" i="1"/>
  <c r="J741" i="1"/>
  <c r="E741" i="1"/>
  <c r="AJ740" i="1"/>
  <c r="AH740" i="1"/>
  <c r="U740" i="1"/>
  <c r="J740" i="1"/>
  <c r="E740" i="1"/>
  <c r="AJ739" i="1"/>
  <c r="AH739" i="1"/>
  <c r="U739" i="1"/>
  <c r="J739" i="1"/>
  <c r="E739" i="1"/>
  <c r="AJ738" i="1"/>
  <c r="AH738" i="1"/>
  <c r="U738" i="1"/>
  <c r="J738" i="1"/>
  <c r="E738" i="1"/>
  <c r="AJ737" i="1"/>
  <c r="AH737" i="1"/>
  <c r="U737" i="1"/>
  <c r="J737" i="1"/>
  <c r="E737" i="1"/>
  <c r="AJ736" i="1"/>
  <c r="AH736" i="1"/>
  <c r="U736" i="1"/>
  <c r="J736" i="1"/>
  <c r="E736" i="1"/>
  <c r="AJ735" i="1"/>
  <c r="AH735" i="1"/>
  <c r="U735" i="1"/>
  <c r="J735" i="1"/>
  <c r="E735" i="1"/>
  <c r="AJ734" i="1"/>
  <c r="AH734" i="1"/>
  <c r="U734" i="1"/>
  <c r="J734" i="1"/>
  <c r="E734" i="1"/>
  <c r="AJ733" i="1"/>
  <c r="AH733" i="1"/>
  <c r="U733" i="1"/>
  <c r="J733" i="1"/>
  <c r="E733" i="1"/>
  <c r="AJ732" i="1"/>
  <c r="AH732" i="1"/>
  <c r="U732" i="1"/>
  <c r="J732" i="1"/>
  <c r="E732" i="1"/>
  <c r="AJ731" i="1"/>
  <c r="AH731" i="1"/>
  <c r="U731" i="1"/>
  <c r="J731" i="1"/>
  <c r="E731" i="1"/>
  <c r="AJ730" i="1"/>
  <c r="AH730" i="1"/>
  <c r="U730" i="1"/>
  <c r="J730" i="1"/>
  <c r="E730" i="1"/>
  <c r="AJ729" i="1"/>
  <c r="AH729" i="1"/>
  <c r="U729" i="1"/>
  <c r="J729" i="1"/>
  <c r="E729" i="1"/>
  <c r="AJ728" i="1"/>
  <c r="AH728" i="1"/>
  <c r="U728" i="1"/>
  <c r="J728" i="1"/>
  <c r="E728" i="1"/>
  <c r="AJ727" i="1"/>
  <c r="AH727" i="1"/>
  <c r="U727" i="1"/>
  <c r="J727" i="1"/>
  <c r="E727" i="1"/>
  <c r="AJ726" i="1"/>
  <c r="AH726" i="1"/>
  <c r="U726" i="1"/>
  <c r="J726" i="1"/>
  <c r="E726" i="1"/>
  <c r="AJ725" i="1"/>
  <c r="AH725" i="1"/>
  <c r="U725" i="1"/>
  <c r="J725" i="1"/>
  <c r="E725" i="1"/>
  <c r="AJ724" i="1"/>
  <c r="AH724" i="1"/>
  <c r="U724" i="1"/>
  <c r="J724" i="1"/>
  <c r="E724" i="1"/>
  <c r="AJ723" i="1"/>
  <c r="AH723" i="1"/>
  <c r="U723" i="1"/>
  <c r="J723" i="1"/>
  <c r="E723" i="1"/>
  <c r="AJ722" i="1"/>
  <c r="AH722" i="1"/>
  <c r="U722" i="1"/>
  <c r="J722" i="1"/>
  <c r="E722" i="1"/>
  <c r="AJ721" i="1"/>
  <c r="AH721" i="1"/>
  <c r="U721" i="1"/>
  <c r="J721" i="1"/>
  <c r="E721" i="1"/>
  <c r="AJ720" i="1"/>
  <c r="AH720" i="1"/>
  <c r="U720" i="1"/>
  <c r="J720" i="1"/>
  <c r="E720" i="1"/>
  <c r="AJ719" i="1"/>
  <c r="AH719" i="1"/>
  <c r="U719" i="1"/>
  <c r="J719" i="1"/>
  <c r="E719" i="1"/>
  <c r="AJ718" i="1"/>
  <c r="AH718" i="1"/>
  <c r="U718" i="1"/>
  <c r="J718" i="1"/>
  <c r="E718" i="1"/>
  <c r="AJ717" i="1"/>
  <c r="AH717" i="1"/>
  <c r="U717" i="1"/>
  <c r="J717" i="1"/>
  <c r="E717" i="1"/>
  <c r="AJ716" i="1"/>
  <c r="AH716" i="1"/>
  <c r="U716" i="1"/>
  <c r="J716" i="1"/>
  <c r="E716" i="1"/>
  <c r="AJ715" i="1"/>
  <c r="AH715" i="1"/>
  <c r="U715" i="1"/>
  <c r="J715" i="1"/>
  <c r="E715" i="1"/>
  <c r="AJ714" i="1"/>
  <c r="AH714" i="1"/>
  <c r="U714" i="1"/>
  <c r="J714" i="1"/>
  <c r="E714" i="1"/>
  <c r="AJ713" i="1"/>
  <c r="AH713" i="1"/>
  <c r="U713" i="1"/>
  <c r="J713" i="1"/>
  <c r="E713" i="1"/>
  <c r="AJ712" i="1"/>
  <c r="AH712" i="1"/>
  <c r="U712" i="1"/>
  <c r="J712" i="1"/>
  <c r="E712" i="1"/>
  <c r="AJ711" i="1"/>
  <c r="AH711" i="1"/>
  <c r="U711" i="1"/>
  <c r="J711" i="1"/>
  <c r="E711" i="1"/>
  <c r="AJ710" i="1"/>
  <c r="AH710" i="1"/>
  <c r="U710" i="1"/>
  <c r="J710" i="1"/>
  <c r="E710" i="1"/>
  <c r="AJ709" i="1"/>
  <c r="AH709" i="1"/>
  <c r="U709" i="1"/>
  <c r="J709" i="1"/>
  <c r="E709" i="1"/>
  <c r="AJ708" i="1"/>
  <c r="AH708" i="1"/>
  <c r="U708" i="1"/>
  <c r="J708" i="1"/>
  <c r="E708" i="1"/>
  <c r="AJ707" i="1"/>
  <c r="AH707" i="1"/>
  <c r="U707" i="1"/>
  <c r="J707" i="1"/>
  <c r="E707" i="1"/>
  <c r="AJ706" i="1"/>
  <c r="AH706" i="1"/>
  <c r="U706" i="1"/>
  <c r="J706" i="1"/>
  <c r="E706" i="1"/>
  <c r="AJ705" i="1"/>
  <c r="AH705" i="1"/>
  <c r="U705" i="1"/>
  <c r="J705" i="1"/>
  <c r="E705" i="1"/>
  <c r="AJ704" i="1"/>
  <c r="AH704" i="1"/>
  <c r="U704" i="1"/>
  <c r="J704" i="1"/>
  <c r="E704" i="1"/>
  <c r="AJ703" i="1"/>
  <c r="AH703" i="1"/>
  <c r="U703" i="1"/>
  <c r="J703" i="1"/>
  <c r="E703" i="1"/>
  <c r="AJ702" i="1"/>
  <c r="AH702" i="1"/>
  <c r="U702" i="1"/>
  <c r="J702" i="1"/>
  <c r="E702" i="1"/>
  <c r="AJ701" i="1"/>
  <c r="AH701" i="1"/>
  <c r="U701" i="1"/>
  <c r="J701" i="1"/>
  <c r="E701" i="1"/>
  <c r="AJ700" i="1"/>
  <c r="AH700" i="1"/>
  <c r="U700" i="1"/>
  <c r="J700" i="1"/>
  <c r="E700" i="1"/>
  <c r="AJ699" i="1"/>
  <c r="AH699" i="1"/>
  <c r="U699" i="1"/>
  <c r="J699" i="1"/>
  <c r="E699" i="1"/>
  <c r="AJ698" i="1"/>
  <c r="AH698" i="1"/>
  <c r="U698" i="1"/>
  <c r="J698" i="1"/>
  <c r="E698" i="1"/>
  <c r="AJ697" i="1"/>
  <c r="AH697" i="1"/>
  <c r="U697" i="1"/>
  <c r="J697" i="1"/>
  <c r="E697" i="1"/>
  <c r="AJ696" i="1"/>
  <c r="AH696" i="1"/>
  <c r="U696" i="1"/>
  <c r="J696" i="1"/>
  <c r="E696" i="1"/>
  <c r="AJ695" i="1"/>
  <c r="AH695" i="1"/>
  <c r="U695" i="1"/>
  <c r="J695" i="1"/>
  <c r="E695" i="1"/>
  <c r="AJ694" i="1"/>
  <c r="AH694" i="1"/>
  <c r="U694" i="1"/>
  <c r="J694" i="1"/>
  <c r="E694" i="1"/>
  <c r="AJ693" i="1"/>
  <c r="AH693" i="1"/>
  <c r="U693" i="1"/>
  <c r="J693" i="1"/>
  <c r="E693" i="1"/>
  <c r="AJ692" i="1"/>
  <c r="AH692" i="1"/>
  <c r="U692" i="1"/>
  <c r="J692" i="1"/>
  <c r="E692" i="1"/>
  <c r="AJ691" i="1"/>
  <c r="AH691" i="1"/>
  <c r="U691" i="1"/>
  <c r="J691" i="1"/>
  <c r="E691" i="1"/>
  <c r="AJ690" i="1"/>
  <c r="AH690" i="1"/>
  <c r="U690" i="1"/>
  <c r="J690" i="1"/>
  <c r="E690" i="1"/>
  <c r="AJ689" i="1"/>
  <c r="AH689" i="1"/>
  <c r="U689" i="1"/>
  <c r="J689" i="1"/>
  <c r="E689" i="1"/>
  <c r="AJ688" i="1"/>
  <c r="AH688" i="1"/>
  <c r="U688" i="1"/>
  <c r="J688" i="1"/>
  <c r="E688" i="1"/>
  <c r="AJ687" i="1"/>
  <c r="AH687" i="1"/>
  <c r="U687" i="1"/>
  <c r="J687" i="1"/>
  <c r="E687" i="1"/>
  <c r="AJ686" i="1"/>
  <c r="AH686" i="1"/>
  <c r="U686" i="1"/>
  <c r="J686" i="1"/>
  <c r="E686" i="1"/>
  <c r="AJ685" i="1"/>
  <c r="AH685" i="1"/>
  <c r="U685" i="1"/>
  <c r="J685" i="1"/>
  <c r="E685" i="1"/>
  <c r="AJ684" i="1"/>
  <c r="AH684" i="1"/>
  <c r="U684" i="1"/>
  <c r="J684" i="1"/>
  <c r="E684" i="1"/>
  <c r="AJ683" i="1"/>
  <c r="AH683" i="1"/>
  <c r="U683" i="1"/>
  <c r="J683" i="1"/>
  <c r="E683" i="1"/>
  <c r="AJ682" i="1"/>
  <c r="AH682" i="1"/>
  <c r="U682" i="1"/>
  <c r="J682" i="1"/>
  <c r="E682" i="1"/>
  <c r="AJ681" i="1"/>
  <c r="AH681" i="1"/>
  <c r="U681" i="1"/>
  <c r="J681" i="1"/>
  <c r="E681" i="1"/>
  <c r="AJ680" i="1"/>
  <c r="AH680" i="1"/>
  <c r="U680" i="1"/>
  <c r="J680" i="1"/>
  <c r="E680" i="1"/>
  <c r="AJ679" i="1"/>
  <c r="AH679" i="1"/>
  <c r="U679" i="1"/>
  <c r="J679" i="1"/>
  <c r="E679" i="1"/>
  <c r="AJ678" i="1"/>
  <c r="AH678" i="1"/>
  <c r="U678" i="1"/>
  <c r="J678" i="1"/>
  <c r="E678" i="1"/>
  <c r="AJ677" i="1"/>
  <c r="AH677" i="1"/>
  <c r="U677" i="1"/>
  <c r="J677" i="1"/>
  <c r="E677" i="1"/>
  <c r="AJ676" i="1"/>
  <c r="AH676" i="1"/>
  <c r="U676" i="1"/>
  <c r="J676" i="1"/>
  <c r="E676" i="1"/>
  <c r="AJ675" i="1"/>
  <c r="AH675" i="1"/>
  <c r="U675" i="1"/>
  <c r="J675" i="1"/>
  <c r="E675" i="1"/>
  <c r="AJ674" i="1"/>
  <c r="AH674" i="1"/>
  <c r="U674" i="1"/>
  <c r="J674" i="1"/>
  <c r="E674" i="1"/>
  <c r="AJ673" i="1"/>
  <c r="AH673" i="1"/>
  <c r="U673" i="1"/>
  <c r="J673" i="1"/>
  <c r="E673" i="1"/>
  <c r="AJ672" i="1"/>
  <c r="AH672" i="1"/>
  <c r="U672" i="1"/>
  <c r="J672" i="1"/>
  <c r="E672" i="1"/>
  <c r="AJ671" i="1"/>
  <c r="AH671" i="1"/>
  <c r="U671" i="1"/>
  <c r="J671" i="1"/>
  <c r="E671" i="1"/>
  <c r="AJ670" i="1"/>
  <c r="AH670" i="1"/>
  <c r="U670" i="1"/>
  <c r="J670" i="1"/>
  <c r="E670" i="1"/>
  <c r="AJ669" i="1"/>
  <c r="AH669" i="1"/>
  <c r="U669" i="1"/>
  <c r="J669" i="1"/>
  <c r="E669" i="1"/>
  <c r="AJ668" i="1"/>
  <c r="AH668" i="1"/>
  <c r="U668" i="1"/>
  <c r="J668" i="1"/>
  <c r="E668" i="1"/>
  <c r="AJ667" i="1"/>
  <c r="AH667" i="1"/>
  <c r="U667" i="1"/>
  <c r="J667" i="1"/>
  <c r="E667" i="1"/>
  <c r="AJ666" i="1"/>
  <c r="AH666" i="1"/>
  <c r="U666" i="1"/>
  <c r="J666" i="1"/>
  <c r="E666" i="1"/>
  <c r="AJ665" i="1"/>
  <c r="AH665" i="1"/>
  <c r="U665" i="1"/>
  <c r="J665" i="1"/>
  <c r="E665" i="1"/>
  <c r="AJ664" i="1"/>
  <c r="AH664" i="1"/>
  <c r="U664" i="1"/>
  <c r="J664" i="1"/>
  <c r="E664" i="1"/>
  <c r="AJ663" i="1"/>
  <c r="AH663" i="1"/>
  <c r="U663" i="1"/>
  <c r="J663" i="1"/>
  <c r="E663" i="1"/>
  <c r="AJ662" i="1"/>
  <c r="AH662" i="1"/>
  <c r="U662" i="1"/>
  <c r="J662" i="1"/>
  <c r="E662" i="1"/>
  <c r="AJ661" i="1"/>
  <c r="AH661" i="1"/>
  <c r="U661" i="1"/>
  <c r="J661" i="1"/>
  <c r="E661" i="1"/>
  <c r="AJ660" i="1"/>
  <c r="AH660" i="1"/>
  <c r="U660" i="1"/>
  <c r="J660" i="1"/>
  <c r="E660" i="1"/>
  <c r="AJ659" i="1"/>
  <c r="AH659" i="1"/>
  <c r="U659" i="1"/>
  <c r="J659" i="1"/>
  <c r="E659" i="1"/>
  <c r="AJ658" i="1"/>
  <c r="AH658" i="1"/>
  <c r="U658" i="1"/>
  <c r="J658" i="1"/>
  <c r="E658" i="1"/>
  <c r="AJ657" i="1"/>
  <c r="AH657" i="1"/>
  <c r="U657" i="1"/>
  <c r="J657" i="1"/>
  <c r="E657" i="1"/>
  <c r="AJ656" i="1"/>
  <c r="AH656" i="1"/>
  <c r="U656" i="1"/>
  <c r="J656" i="1"/>
  <c r="E656" i="1"/>
  <c r="AJ655" i="1"/>
  <c r="AH655" i="1"/>
  <c r="U655" i="1"/>
  <c r="J655" i="1"/>
  <c r="E655" i="1"/>
  <c r="AJ654" i="1"/>
  <c r="AH654" i="1"/>
  <c r="U654" i="1"/>
  <c r="J654" i="1"/>
  <c r="E654" i="1"/>
  <c r="AJ653" i="1"/>
  <c r="AH653" i="1"/>
  <c r="U653" i="1"/>
  <c r="J653" i="1"/>
  <c r="E653" i="1"/>
  <c r="AJ652" i="1"/>
  <c r="AH652" i="1"/>
  <c r="U652" i="1"/>
  <c r="J652" i="1"/>
  <c r="E652" i="1"/>
  <c r="AJ651" i="1"/>
  <c r="AH651" i="1"/>
  <c r="U651" i="1"/>
  <c r="J651" i="1"/>
  <c r="E651" i="1"/>
  <c r="AJ650" i="1"/>
  <c r="AH650" i="1"/>
  <c r="U650" i="1"/>
  <c r="J650" i="1"/>
  <c r="E650" i="1"/>
  <c r="AJ649" i="1"/>
  <c r="AH649" i="1"/>
  <c r="U649" i="1"/>
  <c r="J649" i="1"/>
  <c r="E649" i="1"/>
  <c r="AJ648" i="1"/>
  <c r="AH648" i="1"/>
  <c r="U648" i="1"/>
  <c r="J648" i="1"/>
  <c r="E648" i="1"/>
  <c r="AJ647" i="1"/>
  <c r="AH647" i="1"/>
  <c r="U647" i="1"/>
  <c r="J647" i="1"/>
  <c r="E647" i="1"/>
  <c r="AJ646" i="1"/>
  <c r="AH646" i="1"/>
  <c r="U646" i="1"/>
  <c r="J646" i="1"/>
  <c r="E646" i="1"/>
  <c r="AJ645" i="1"/>
  <c r="AH645" i="1"/>
  <c r="U645" i="1"/>
  <c r="J645" i="1"/>
  <c r="E645" i="1"/>
  <c r="AJ644" i="1"/>
  <c r="AH644" i="1"/>
  <c r="U644" i="1"/>
  <c r="J644" i="1"/>
  <c r="E644" i="1"/>
  <c r="AJ643" i="1"/>
  <c r="AH643" i="1"/>
  <c r="U643" i="1"/>
  <c r="J643" i="1"/>
  <c r="E643" i="1"/>
  <c r="AJ642" i="1"/>
  <c r="AH642" i="1"/>
  <c r="U642" i="1"/>
  <c r="J642" i="1"/>
  <c r="E642" i="1"/>
  <c r="AJ641" i="1"/>
  <c r="AH641" i="1"/>
  <c r="U641" i="1"/>
  <c r="J641" i="1"/>
  <c r="E641" i="1"/>
  <c r="AJ640" i="1"/>
  <c r="AH640" i="1"/>
  <c r="U640" i="1"/>
  <c r="J640" i="1"/>
  <c r="E640" i="1"/>
  <c r="AJ639" i="1"/>
  <c r="AH639" i="1"/>
  <c r="U639" i="1"/>
  <c r="J639" i="1"/>
  <c r="E639" i="1"/>
  <c r="AJ638" i="1"/>
  <c r="AH638" i="1"/>
  <c r="U638" i="1"/>
  <c r="J638" i="1"/>
  <c r="E638" i="1"/>
  <c r="AJ637" i="1"/>
  <c r="AH637" i="1"/>
  <c r="U637" i="1"/>
  <c r="J637" i="1"/>
  <c r="E637" i="1"/>
  <c r="AJ636" i="1"/>
  <c r="AH636" i="1"/>
  <c r="U636" i="1"/>
  <c r="J636" i="1"/>
  <c r="E636" i="1"/>
  <c r="AJ635" i="1"/>
  <c r="AH635" i="1"/>
  <c r="U635" i="1"/>
  <c r="J635" i="1"/>
  <c r="E635" i="1"/>
  <c r="AJ634" i="1"/>
  <c r="AH634" i="1"/>
  <c r="U634" i="1"/>
  <c r="J634" i="1"/>
  <c r="E634" i="1"/>
  <c r="AJ633" i="1"/>
  <c r="AH633" i="1"/>
  <c r="U633" i="1"/>
  <c r="J633" i="1"/>
  <c r="E633" i="1"/>
  <c r="AJ632" i="1"/>
  <c r="AH632" i="1"/>
  <c r="U632" i="1"/>
  <c r="J632" i="1"/>
  <c r="E632" i="1"/>
  <c r="AJ631" i="1"/>
  <c r="AH631" i="1"/>
  <c r="U631" i="1"/>
  <c r="J631" i="1"/>
  <c r="E631" i="1"/>
  <c r="AJ630" i="1"/>
  <c r="AH630" i="1"/>
  <c r="U630" i="1"/>
  <c r="J630" i="1"/>
  <c r="E630" i="1"/>
  <c r="AJ629" i="1"/>
  <c r="AH629" i="1"/>
  <c r="U629" i="1"/>
  <c r="J629" i="1"/>
  <c r="E629" i="1"/>
  <c r="AJ628" i="1"/>
  <c r="AH628" i="1"/>
  <c r="U628" i="1"/>
  <c r="J628" i="1"/>
  <c r="E628" i="1"/>
  <c r="AJ627" i="1"/>
  <c r="AH627" i="1"/>
  <c r="U627" i="1"/>
  <c r="J627" i="1"/>
  <c r="E627" i="1"/>
  <c r="AJ626" i="1"/>
  <c r="AH626" i="1"/>
  <c r="U626" i="1"/>
  <c r="J626" i="1"/>
  <c r="E626" i="1"/>
  <c r="AJ625" i="1"/>
  <c r="AH625" i="1"/>
  <c r="U625" i="1"/>
  <c r="J625" i="1"/>
  <c r="E625" i="1"/>
  <c r="AJ624" i="1"/>
  <c r="AH624" i="1"/>
  <c r="U624" i="1"/>
  <c r="J624" i="1"/>
  <c r="E624" i="1"/>
  <c r="AJ623" i="1"/>
  <c r="AH623" i="1"/>
  <c r="U623" i="1"/>
  <c r="J623" i="1"/>
  <c r="E623" i="1"/>
  <c r="AJ622" i="1"/>
  <c r="AH622" i="1"/>
  <c r="U622" i="1"/>
  <c r="J622" i="1"/>
  <c r="E622" i="1"/>
  <c r="AJ621" i="1"/>
  <c r="AH621" i="1"/>
  <c r="U621" i="1"/>
  <c r="J621" i="1"/>
  <c r="E621" i="1"/>
  <c r="AJ620" i="1"/>
  <c r="AH620" i="1"/>
  <c r="U620" i="1"/>
  <c r="J620" i="1"/>
  <c r="E620" i="1"/>
  <c r="AJ619" i="1"/>
  <c r="AH619" i="1"/>
  <c r="U619" i="1"/>
  <c r="J619" i="1"/>
  <c r="E619" i="1"/>
  <c r="AJ618" i="1"/>
  <c r="AH618" i="1"/>
  <c r="U618" i="1"/>
  <c r="J618" i="1"/>
  <c r="E618" i="1"/>
  <c r="AJ617" i="1"/>
  <c r="AH617" i="1"/>
  <c r="U617" i="1"/>
  <c r="J617" i="1"/>
  <c r="E617" i="1"/>
  <c r="AJ616" i="1"/>
  <c r="AH616" i="1"/>
  <c r="U616" i="1"/>
  <c r="J616" i="1"/>
  <c r="E616" i="1"/>
  <c r="AJ615" i="1"/>
  <c r="AH615" i="1"/>
  <c r="U615" i="1"/>
  <c r="J615" i="1"/>
  <c r="E615" i="1"/>
  <c r="AJ614" i="1"/>
  <c r="AH614" i="1"/>
  <c r="U614" i="1"/>
  <c r="J614" i="1"/>
  <c r="E614" i="1"/>
  <c r="AJ613" i="1"/>
  <c r="AH613" i="1"/>
  <c r="U613" i="1"/>
  <c r="J613" i="1"/>
  <c r="E613" i="1"/>
  <c r="AJ612" i="1"/>
  <c r="AH612" i="1"/>
  <c r="U612" i="1"/>
  <c r="J612" i="1"/>
  <c r="E612" i="1"/>
  <c r="AJ611" i="1"/>
  <c r="AH611" i="1"/>
  <c r="U611" i="1"/>
  <c r="J611" i="1"/>
  <c r="E611" i="1"/>
  <c r="AJ610" i="1"/>
  <c r="AH610" i="1"/>
  <c r="U610" i="1"/>
  <c r="J610" i="1"/>
  <c r="E610" i="1"/>
  <c r="AJ609" i="1"/>
  <c r="AH609" i="1"/>
  <c r="U609" i="1"/>
  <c r="J609" i="1"/>
  <c r="E609" i="1"/>
  <c r="AJ608" i="1"/>
  <c r="AH608" i="1"/>
  <c r="U608" i="1"/>
  <c r="J608" i="1"/>
  <c r="E608" i="1"/>
  <c r="AJ607" i="1"/>
  <c r="AH607" i="1"/>
  <c r="U607" i="1"/>
  <c r="J607" i="1"/>
  <c r="E607" i="1"/>
  <c r="AJ606" i="1"/>
  <c r="AH606" i="1"/>
  <c r="U606" i="1"/>
  <c r="J606" i="1"/>
  <c r="E606" i="1"/>
  <c r="AJ605" i="1"/>
  <c r="AH605" i="1"/>
  <c r="U605" i="1"/>
  <c r="J605" i="1"/>
  <c r="E605" i="1"/>
  <c r="AJ604" i="1"/>
  <c r="AH604" i="1"/>
  <c r="U604" i="1"/>
  <c r="J604" i="1"/>
  <c r="E604" i="1"/>
  <c r="AJ603" i="1"/>
  <c r="AH603" i="1"/>
  <c r="U603" i="1"/>
  <c r="J603" i="1"/>
  <c r="E603" i="1"/>
  <c r="AJ602" i="1"/>
  <c r="AH602" i="1"/>
  <c r="U602" i="1"/>
  <c r="J602" i="1"/>
  <c r="E602" i="1"/>
  <c r="AJ601" i="1"/>
  <c r="AH601" i="1"/>
  <c r="U601" i="1"/>
  <c r="J601" i="1"/>
  <c r="E601" i="1"/>
  <c r="AJ600" i="1"/>
  <c r="AH600" i="1"/>
  <c r="U600" i="1"/>
  <c r="J600" i="1"/>
  <c r="E600" i="1"/>
  <c r="AJ599" i="1"/>
  <c r="AH599" i="1"/>
  <c r="U599" i="1"/>
  <c r="J599" i="1"/>
  <c r="E599" i="1"/>
  <c r="AJ598" i="1"/>
  <c r="AH598" i="1"/>
  <c r="U598" i="1"/>
  <c r="J598" i="1"/>
  <c r="E598" i="1"/>
  <c r="AJ597" i="1"/>
  <c r="AH597" i="1"/>
  <c r="U597" i="1"/>
  <c r="J597" i="1"/>
  <c r="E597" i="1"/>
  <c r="AJ596" i="1"/>
  <c r="AH596" i="1"/>
  <c r="U596" i="1"/>
  <c r="J596" i="1"/>
  <c r="E596" i="1"/>
  <c r="AJ595" i="1"/>
  <c r="AH595" i="1"/>
  <c r="U595" i="1"/>
  <c r="J595" i="1"/>
  <c r="E595" i="1"/>
  <c r="AJ594" i="1"/>
  <c r="AH594" i="1"/>
  <c r="U594" i="1"/>
  <c r="J594" i="1"/>
  <c r="E594" i="1"/>
  <c r="AJ593" i="1"/>
  <c r="AH593" i="1"/>
  <c r="U593" i="1"/>
  <c r="J593" i="1"/>
  <c r="E593" i="1"/>
  <c r="AJ592" i="1"/>
  <c r="AH592" i="1"/>
  <c r="U592" i="1"/>
  <c r="J592" i="1"/>
  <c r="E592" i="1"/>
  <c r="AJ591" i="1"/>
  <c r="AH591" i="1"/>
  <c r="U591" i="1"/>
  <c r="J591" i="1"/>
  <c r="E591" i="1"/>
  <c r="AJ590" i="1"/>
  <c r="AH590" i="1"/>
  <c r="U590" i="1"/>
  <c r="J590" i="1"/>
  <c r="E590" i="1"/>
  <c r="AJ589" i="1"/>
  <c r="AH589" i="1"/>
  <c r="U589" i="1"/>
  <c r="J589" i="1"/>
  <c r="E589" i="1"/>
  <c r="AJ588" i="1"/>
  <c r="AH588" i="1"/>
  <c r="U588" i="1"/>
  <c r="J588" i="1"/>
  <c r="E588" i="1"/>
  <c r="AJ587" i="1"/>
  <c r="AH587" i="1"/>
  <c r="U587" i="1"/>
  <c r="J587" i="1"/>
  <c r="E587" i="1"/>
  <c r="AJ586" i="1"/>
  <c r="AH586" i="1"/>
  <c r="U586" i="1"/>
  <c r="J586" i="1"/>
  <c r="E586" i="1"/>
  <c r="AJ585" i="1"/>
  <c r="AH585" i="1"/>
  <c r="U585" i="1"/>
  <c r="J585" i="1"/>
  <c r="E585" i="1"/>
  <c r="AJ584" i="1"/>
  <c r="AH584" i="1"/>
  <c r="U584" i="1"/>
  <c r="J584" i="1"/>
  <c r="E584" i="1"/>
  <c r="AJ583" i="1"/>
  <c r="AH583" i="1"/>
  <c r="U583" i="1"/>
  <c r="J583" i="1"/>
  <c r="E583" i="1"/>
  <c r="AJ582" i="1"/>
  <c r="AH582" i="1"/>
  <c r="U582" i="1"/>
  <c r="J582" i="1"/>
  <c r="E582" i="1"/>
  <c r="AJ581" i="1"/>
  <c r="AH581" i="1"/>
  <c r="U581" i="1"/>
  <c r="J581" i="1"/>
  <c r="E581" i="1"/>
  <c r="AJ580" i="1"/>
  <c r="AH580" i="1"/>
  <c r="U580" i="1"/>
  <c r="J580" i="1"/>
  <c r="E580" i="1"/>
  <c r="AJ579" i="1"/>
  <c r="AH579" i="1"/>
  <c r="U579" i="1"/>
  <c r="J579" i="1"/>
  <c r="E579" i="1"/>
  <c r="AJ578" i="1"/>
  <c r="AH578" i="1"/>
  <c r="U578" i="1"/>
  <c r="J578" i="1"/>
  <c r="E578" i="1"/>
  <c r="AJ577" i="1"/>
  <c r="AH577" i="1"/>
  <c r="U577" i="1"/>
  <c r="J577" i="1"/>
  <c r="E577" i="1"/>
  <c r="AJ576" i="1"/>
  <c r="AH576" i="1"/>
  <c r="U576" i="1"/>
  <c r="J576" i="1"/>
  <c r="E576" i="1"/>
  <c r="AJ575" i="1"/>
  <c r="AH575" i="1"/>
  <c r="U575" i="1"/>
  <c r="J575" i="1"/>
  <c r="E575" i="1"/>
  <c r="AJ574" i="1"/>
  <c r="AH574" i="1"/>
  <c r="U574" i="1"/>
  <c r="J574" i="1"/>
  <c r="E574" i="1"/>
  <c r="AJ573" i="1"/>
  <c r="AH573" i="1"/>
  <c r="U573" i="1"/>
  <c r="J573" i="1"/>
  <c r="E573" i="1"/>
  <c r="AJ572" i="1"/>
  <c r="AH572" i="1"/>
  <c r="U572" i="1"/>
  <c r="J572" i="1"/>
  <c r="E572" i="1"/>
  <c r="AJ571" i="1"/>
  <c r="AH571" i="1"/>
  <c r="U571" i="1"/>
  <c r="J571" i="1"/>
  <c r="E571" i="1"/>
  <c r="AJ570" i="1"/>
  <c r="AH570" i="1"/>
  <c r="U570" i="1"/>
  <c r="J570" i="1"/>
  <c r="E570" i="1"/>
  <c r="AJ569" i="1"/>
  <c r="AH569" i="1"/>
  <c r="U569" i="1"/>
  <c r="J569" i="1"/>
  <c r="E569" i="1"/>
  <c r="AJ568" i="1"/>
  <c r="AH568" i="1"/>
  <c r="U568" i="1"/>
  <c r="J568" i="1"/>
  <c r="E568" i="1"/>
  <c r="AJ567" i="1"/>
  <c r="AH567" i="1"/>
  <c r="U567" i="1"/>
  <c r="J567" i="1"/>
  <c r="E567" i="1"/>
  <c r="AJ566" i="1"/>
  <c r="AH566" i="1"/>
  <c r="U566" i="1"/>
  <c r="J566" i="1"/>
  <c r="E566" i="1"/>
  <c r="AJ565" i="1"/>
  <c r="AH565" i="1"/>
  <c r="U565" i="1"/>
  <c r="J565" i="1"/>
  <c r="E565" i="1"/>
  <c r="AJ564" i="1"/>
  <c r="AH564" i="1"/>
  <c r="U564" i="1"/>
  <c r="J564" i="1"/>
  <c r="E564" i="1"/>
  <c r="AJ563" i="1"/>
  <c r="AH563" i="1"/>
  <c r="U563" i="1"/>
  <c r="J563" i="1"/>
  <c r="E563" i="1"/>
  <c r="AJ562" i="1"/>
  <c r="AH562" i="1"/>
  <c r="U562" i="1"/>
  <c r="J562" i="1"/>
  <c r="E562" i="1"/>
  <c r="AJ561" i="1"/>
  <c r="AH561" i="1"/>
  <c r="U561" i="1"/>
  <c r="J561" i="1"/>
  <c r="E561" i="1"/>
  <c r="AJ560" i="1"/>
  <c r="AH560" i="1"/>
  <c r="U560" i="1"/>
  <c r="J560" i="1"/>
  <c r="E560" i="1"/>
  <c r="AJ559" i="1"/>
  <c r="AH559" i="1"/>
  <c r="U559" i="1"/>
  <c r="J559" i="1"/>
  <c r="E559" i="1"/>
  <c r="AJ558" i="1"/>
  <c r="AH558" i="1"/>
  <c r="U558" i="1"/>
  <c r="J558" i="1"/>
  <c r="E558" i="1"/>
  <c r="AJ557" i="1"/>
  <c r="AH557" i="1"/>
  <c r="U557" i="1"/>
  <c r="J557" i="1"/>
  <c r="E557" i="1"/>
  <c r="AJ556" i="1"/>
  <c r="AH556" i="1"/>
  <c r="U556" i="1"/>
  <c r="J556" i="1"/>
  <c r="E556" i="1"/>
  <c r="AJ555" i="1"/>
  <c r="AH555" i="1"/>
  <c r="U555" i="1"/>
  <c r="J555" i="1"/>
  <c r="E555" i="1"/>
  <c r="AJ554" i="1"/>
  <c r="AH554" i="1"/>
  <c r="U554" i="1"/>
  <c r="J554" i="1"/>
  <c r="E554" i="1"/>
  <c r="AJ553" i="1"/>
  <c r="AH553" i="1"/>
  <c r="U553" i="1"/>
  <c r="J553" i="1"/>
  <c r="E553" i="1"/>
  <c r="AJ552" i="1"/>
  <c r="AH552" i="1"/>
  <c r="U552" i="1"/>
  <c r="J552" i="1"/>
  <c r="E552" i="1"/>
  <c r="AJ551" i="1"/>
  <c r="AH551" i="1"/>
  <c r="U551" i="1"/>
  <c r="J551" i="1"/>
  <c r="E551" i="1"/>
  <c r="AJ550" i="1"/>
  <c r="AH550" i="1"/>
  <c r="U550" i="1"/>
  <c r="J550" i="1"/>
  <c r="E550" i="1"/>
  <c r="AJ549" i="1"/>
  <c r="AH549" i="1"/>
  <c r="U549" i="1"/>
  <c r="J549" i="1"/>
  <c r="E549" i="1"/>
  <c r="AJ548" i="1"/>
  <c r="AH548" i="1"/>
  <c r="U548" i="1"/>
  <c r="J548" i="1"/>
  <c r="E548" i="1"/>
  <c r="AJ547" i="1"/>
  <c r="AH547" i="1"/>
  <c r="U547" i="1"/>
  <c r="J547" i="1"/>
  <c r="E547" i="1"/>
  <c r="AJ546" i="1"/>
  <c r="AH546" i="1"/>
  <c r="U546" i="1"/>
  <c r="J546" i="1"/>
  <c r="E546" i="1"/>
  <c r="AJ545" i="1"/>
  <c r="AH545" i="1"/>
  <c r="U545" i="1"/>
  <c r="J545" i="1"/>
  <c r="E545" i="1"/>
  <c r="AJ544" i="1"/>
  <c r="AH544" i="1"/>
  <c r="U544" i="1"/>
  <c r="J544" i="1"/>
  <c r="E544" i="1"/>
  <c r="AJ543" i="1"/>
  <c r="AH543" i="1"/>
  <c r="U543" i="1"/>
  <c r="J543" i="1"/>
  <c r="E543" i="1"/>
  <c r="AJ542" i="1"/>
  <c r="AH542" i="1"/>
  <c r="U542" i="1"/>
  <c r="J542" i="1"/>
  <c r="E542" i="1"/>
  <c r="AJ541" i="1"/>
  <c r="AH541" i="1"/>
  <c r="U541" i="1"/>
  <c r="J541" i="1"/>
  <c r="E541" i="1"/>
  <c r="AJ540" i="1"/>
  <c r="AH540" i="1"/>
  <c r="U540" i="1"/>
  <c r="J540" i="1"/>
  <c r="E540" i="1"/>
  <c r="AJ539" i="1"/>
  <c r="AH539" i="1"/>
  <c r="U539" i="1"/>
  <c r="J539" i="1"/>
  <c r="E539" i="1"/>
  <c r="AJ538" i="1"/>
  <c r="AH538" i="1"/>
  <c r="U538" i="1"/>
  <c r="J538" i="1"/>
  <c r="E538" i="1"/>
  <c r="AJ537" i="1"/>
  <c r="AH537" i="1"/>
  <c r="U537" i="1"/>
  <c r="J537" i="1"/>
  <c r="E537" i="1"/>
  <c r="AJ536" i="1"/>
  <c r="AH536" i="1"/>
  <c r="U536" i="1"/>
  <c r="J536" i="1"/>
  <c r="E536" i="1"/>
  <c r="AJ535" i="1"/>
  <c r="AH535" i="1"/>
  <c r="U535" i="1"/>
  <c r="J535" i="1"/>
  <c r="E535" i="1"/>
  <c r="AJ534" i="1"/>
  <c r="AH534" i="1"/>
  <c r="U534" i="1"/>
  <c r="J534" i="1"/>
  <c r="E534" i="1"/>
  <c r="AJ533" i="1"/>
  <c r="AH533" i="1"/>
  <c r="U533" i="1"/>
  <c r="J533" i="1"/>
  <c r="E533" i="1"/>
  <c r="AJ532" i="1"/>
  <c r="AH532" i="1"/>
  <c r="U532" i="1"/>
  <c r="J532" i="1"/>
  <c r="E532" i="1"/>
  <c r="AJ531" i="1"/>
  <c r="AH531" i="1"/>
  <c r="U531" i="1"/>
  <c r="J531" i="1"/>
  <c r="E531" i="1"/>
  <c r="AJ530" i="1"/>
  <c r="AH530" i="1"/>
  <c r="U530" i="1"/>
  <c r="J530" i="1"/>
  <c r="E530" i="1"/>
  <c r="AJ529" i="1"/>
  <c r="AH529" i="1"/>
  <c r="U529" i="1"/>
  <c r="J529" i="1"/>
  <c r="E529" i="1"/>
  <c r="AJ528" i="1"/>
  <c r="AH528" i="1"/>
  <c r="U528" i="1"/>
  <c r="J528" i="1"/>
  <c r="E528" i="1"/>
  <c r="AJ527" i="1"/>
  <c r="AH527" i="1"/>
  <c r="U527" i="1"/>
  <c r="J527" i="1"/>
  <c r="E527" i="1"/>
  <c r="AJ526" i="1"/>
  <c r="AH526" i="1"/>
  <c r="U526" i="1"/>
  <c r="J526" i="1"/>
  <c r="E526" i="1"/>
  <c r="AJ525" i="1"/>
  <c r="AH525" i="1"/>
  <c r="U525" i="1"/>
  <c r="J525" i="1"/>
  <c r="E525" i="1"/>
  <c r="AJ524" i="1"/>
  <c r="AH524" i="1"/>
  <c r="U524" i="1"/>
  <c r="J524" i="1"/>
  <c r="E524" i="1"/>
  <c r="AJ523" i="1"/>
  <c r="AH523" i="1"/>
  <c r="U523" i="1"/>
  <c r="J523" i="1"/>
  <c r="E523" i="1"/>
  <c r="AJ522" i="1"/>
  <c r="AH522" i="1"/>
  <c r="U522" i="1"/>
  <c r="J522" i="1"/>
  <c r="E522" i="1"/>
  <c r="AJ521" i="1"/>
  <c r="AH521" i="1"/>
  <c r="U521" i="1"/>
  <c r="J521" i="1"/>
  <c r="E521" i="1"/>
  <c r="AJ520" i="1"/>
  <c r="AH520" i="1"/>
  <c r="U520" i="1"/>
  <c r="J520" i="1"/>
  <c r="E520" i="1"/>
  <c r="AJ519" i="1"/>
  <c r="AH519" i="1"/>
  <c r="U519" i="1"/>
  <c r="J519" i="1"/>
  <c r="E519" i="1"/>
  <c r="AJ518" i="1"/>
  <c r="AH518" i="1"/>
  <c r="U518" i="1"/>
  <c r="J518" i="1"/>
  <c r="E518" i="1"/>
  <c r="AJ517" i="1"/>
  <c r="AH517" i="1"/>
  <c r="U517" i="1"/>
  <c r="J517" i="1"/>
  <c r="E517" i="1"/>
  <c r="AJ516" i="1"/>
  <c r="AH516" i="1"/>
  <c r="U516" i="1"/>
  <c r="J516" i="1"/>
  <c r="E516" i="1"/>
  <c r="AJ515" i="1"/>
  <c r="AH515" i="1"/>
  <c r="U515" i="1"/>
  <c r="J515" i="1"/>
  <c r="E515" i="1"/>
  <c r="AJ514" i="1"/>
  <c r="AH514" i="1"/>
  <c r="U514" i="1"/>
  <c r="J514" i="1"/>
  <c r="E514" i="1"/>
  <c r="AJ513" i="1"/>
  <c r="AH513" i="1"/>
  <c r="U513" i="1"/>
  <c r="J513" i="1"/>
  <c r="E513" i="1"/>
  <c r="AJ512" i="1"/>
  <c r="AH512" i="1"/>
  <c r="U512" i="1"/>
  <c r="J512" i="1"/>
  <c r="E512" i="1"/>
  <c r="AJ511" i="1"/>
  <c r="AH511" i="1"/>
  <c r="U511" i="1"/>
  <c r="J511" i="1"/>
  <c r="E511" i="1"/>
  <c r="AJ510" i="1"/>
  <c r="AH510" i="1"/>
  <c r="U510" i="1"/>
  <c r="J510" i="1"/>
  <c r="E510" i="1"/>
  <c r="AJ509" i="1"/>
  <c r="AH509" i="1"/>
  <c r="U509" i="1"/>
  <c r="J509" i="1"/>
  <c r="E509" i="1"/>
  <c r="AJ508" i="1"/>
  <c r="AH508" i="1"/>
  <c r="U508" i="1"/>
  <c r="J508" i="1"/>
  <c r="E508" i="1"/>
  <c r="AJ507" i="1"/>
  <c r="AH507" i="1"/>
  <c r="U507" i="1"/>
  <c r="J507" i="1"/>
  <c r="E507" i="1"/>
  <c r="AJ506" i="1"/>
  <c r="AH506" i="1"/>
  <c r="U506" i="1"/>
  <c r="J506" i="1"/>
  <c r="E506" i="1"/>
  <c r="AJ505" i="1"/>
  <c r="AH505" i="1"/>
  <c r="U505" i="1"/>
  <c r="J505" i="1"/>
  <c r="E505" i="1"/>
  <c r="AJ504" i="1"/>
  <c r="AH504" i="1"/>
  <c r="U504" i="1"/>
  <c r="J504" i="1"/>
  <c r="E504" i="1"/>
  <c r="AJ503" i="1"/>
  <c r="AH503" i="1"/>
  <c r="U503" i="1"/>
  <c r="J503" i="1"/>
  <c r="E503" i="1"/>
  <c r="AJ502" i="1"/>
  <c r="AH502" i="1"/>
  <c r="U502" i="1"/>
  <c r="J502" i="1"/>
  <c r="E502" i="1"/>
  <c r="AJ501" i="1"/>
  <c r="AH501" i="1"/>
  <c r="U501" i="1"/>
  <c r="J501" i="1"/>
  <c r="E501" i="1"/>
  <c r="AJ500" i="1"/>
  <c r="AH500" i="1"/>
  <c r="U500" i="1"/>
  <c r="J500" i="1"/>
  <c r="E500" i="1"/>
  <c r="AJ499" i="1"/>
  <c r="AH499" i="1"/>
  <c r="U499" i="1"/>
  <c r="J499" i="1"/>
  <c r="E499" i="1"/>
  <c r="AJ498" i="1"/>
  <c r="AH498" i="1"/>
  <c r="U498" i="1"/>
  <c r="J498" i="1"/>
  <c r="E498" i="1"/>
  <c r="AJ497" i="1"/>
  <c r="AH497" i="1"/>
  <c r="U497" i="1"/>
  <c r="J497" i="1"/>
  <c r="E497" i="1"/>
  <c r="AJ496" i="1"/>
  <c r="AH496" i="1"/>
  <c r="U496" i="1"/>
  <c r="J496" i="1"/>
  <c r="E496" i="1"/>
  <c r="AJ495" i="1"/>
  <c r="AH495" i="1"/>
  <c r="U495" i="1"/>
  <c r="J495" i="1"/>
  <c r="E495" i="1"/>
  <c r="AJ494" i="1"/>
  <c r="AH494" i="1"/>
  <c r="U494" i="1"/>
  <c r="J494" i="1"/>
  <c r="E494" i="1"/>
  <c r="AJ493" i="1"/>
  <c r="AH493" i="1"/>
  <c r="U493" i="1"/>
  <c r="J493" i="1"/>
  <c r="E493" i="1"/>
  <c r="AJ492" i="1"/>
  <c r="AH492" i="1"/>
  <c r="U492" i="1"/>
  <c r="J492" i="1"/>
  <c r="E492" i="1"/>
  <c r="AJ491" i="1"/>
  <c r="AH491" i="1"/>
  <c r="U491" i="1"/>
  <c r="J491" i="1"/>
  <c r="E491" i="1"/>
  <c r="AJ490" i="1"/>
  <c r="AH490" i="1"/>
  <c r="U490" i="1"/>
  <c r="J490" i="1"/>
  <c r="E490" i="1"/>
  <c r="AJ489" i="1"/>
  <c r="AH489" i="1"/>
  <c r="U489" i="1"/>
  <c r="J489" i="1"/>
  <c r="E489" i="1"/>
  <c r="AJ488" i="1"/>
  <c r="AH488" i="1"/>
  <c r="U488" i="1"/>
  <c r="J488" i="1"/>
  <c r="E488" i="1"/>
  <c r="AJ487" i="1"/>
  <c r="AH487" i="1"/>
  <c r="U487" i="1"/>
  <c r="J487" i="1"/>
  <c r="E487" i="1"/>
  <c r="AJ486" i="1"/>
  <c r="AH486" i="1"/>
  <c r="U486" i="1"/>
  <c r="J486" i="1"/>
  <c r="E486" i="1"/>
  <c r="AJ485" i="1"/>
  <c r="AH485" i="1"/>
  <c r="U485" i="1"/>
  <c r="J485" i="1"/>
  <c r="E485" i="1"/>
  <c r="AJ484" i="1"/>
  <c r="AH484" i="1"/>
  <c r="U484" i="1"/>
  <c r="J484" i="1"/>
  <c r="E484" i="1"/>
  <c r="AJ483" i="1"/>
  <c r="AH483" i="1"/>
  <c r="U483" i="1"/>
  <c r="J483" i="1"/>
  <c r="E483" i="1"/>
  <c r="AJ482" i="1"/>
  <c r="AH482" i="1"/>
  <c r="U482" i="1"/>
  <c r="J482" i="1"/>
  <c r="E482" i="1"/>
  <c r="AJ481" i="1"/>
  <c r="AH481" i="1"/>
  <c r="U481" i="1"/>
  <c r="J481" i="1"/>
  <c r="E481" i="1"/>
  <c r="AJ480" i="1"/>
  <c r="AH480" i="1"/>
  <c r="U480" i="1"/>
  <c r="J480" i="1"/>
  <c r="E480" i="1"/>
  <c r="AJ479" i="1"/>
  <c r="AH479" i="1"/>
  <c r="U479" i="1"/>
  <c r="J479" i="1"/>
  <c r="E479" i="1"/>
  <c r="AJ478" i="1"/>
  <c r="AH478" i="1"/>
  <c r="U478" i="1"/>
  <c r="J478" i="1"/>
  <c r="E478" i="1"/>
  <c r="AJ477" i="1"/>
  <c r="AH477" i="1"/>
  <c r="U477" i="1"/>
  <c r="J477" i="1"/>
  <c r="E477" i="1"/>
  <c r="AJ476" i="1"/>
  <c r="AH476" i="1"/>
  <c r="U476" i="1"/>
  <c r="J476" i="1"/>
  <c r="E476" i="1"/>
  <c r="AJ475" i="1"/>
  <c r="AH475" i="1"/>
  <c r="U475" i="1"/>
  <c r="J475" i="1"/>
  <c r="E475" i="1"/>
  <c r="AJ474" i="1"/>
  <c r="AH474" i="1"/>
  <c r="U474" i="1"/>
  <c r="J474" i="1"/>
  <c r="E474" i="1"/>
  <c r="AJ473" i="1"/>
  <c r="AH473" i="1"/>
  <c r="U473" i="1"/>
  <c r="J473" i="1"/>
  <c r="E473" i="1"/>
  <c r="AJ472" i="1"/>
  <c r="AH472" i="1"/>
  <c r="U472" i="1"/>
  <c r="J472" i="1"/>
  <c r="E472" i="1"/>
  <c r="AJ471" i="1"/>
  <c r="AH471" i="1"/>
  <c r="U471" i="1"/>
  <c r="J471" i="1"/>
  <c r="E471" i="1"/>
  <c r="AJ470" i="1"/>
  <c r="AH470" i="1"/>
  <c r="U470" i="1"/>
  <c r="J470" i="1"/>
  <c r="E470" i="1"/>
  <c r="AJ469" i="1"/>
  <c r="AH469" i="1"/>
  <c r="U469" i="1"/>
  <c r="J469" i="1"/>
  <c r="E469" i="1"/>
  <c r="AJ468" i="1"/>
  <c r="AH468" i="1"/>
  <c r="U468" i="1"/>
  <c r="J468" i="1"/>
  <c r="E468" i="1"/>
  <c r="AJ467" i="1"/>
  <c r="AH467" i="1"/>
  <c r="U467" i="1"/>
  <c r="J467" i="1"/>
  <c r="E467" i="1"/>
  <c r="AJ466" i="1"/>
  <c r="AH466" i="1"/>
  <c r="U466" i="1"/>
  <c r="J466" i="1"/>
  <c r="E466" i="1"/>
  <c r="AJ465" i="1"/>
  <c r="AH465" i="1"/>
  <c r="U465" i="1"/>
  <c r="J465" i="1"/>
  <c r="E465" i="1"/>
  <c r="AJ464" i="1"/>
  <c r="AH464" i="1"/>
  <c r="U464" i="1"/>
  <c r="J464" i="1"/>
  <c r="E464" i="1"/>
  <c r="AJ463" i="1"/>
  <c r="AH463" i="1"/>
  <c r="U463" i="1"/>
  <c r="J463" i="1"/>
  <c r="E463" i="1"/>
  <c r="AJ462" i="1"/>
  <c r="AH462" i="1"/>
  <c r="U462" i="1"/>
  <c r="J462" i="1"/>
  <c r="E462" i="1"/>
  <c r="AJ461" i="1"/>
  <c r="AH461" i="1"/>
  <c r="U461" i="1"/>
  <c r="J461" i="1"/>
  <c r="E461" i="1"/>
  <c r="AJ460" i="1"/>
  <c r="AH460" i="1"/>
  <c r="U460" i="1"/>
  <c r="J460" i="1"/>
  <c r="E460" i="1"/>
  <c r="AJ459" i="1"/>
  <c r="AH459" i="1"/>
  <c r="U459" i="1"/>
  <c r="J459" i="1"/>
  <c r="E459" i="1"/>
  <c r="AJ458" i="1"/>
  <c r="AH458" i="1"/>
  <c r="U458" i="1"/>
  <c r="J458" i="1"/>
  <c r="E458" i="1"/>
  <c r="AJ457" i="1"/>
  <c r="AH457" i="1"/>
  <c r="U457" i="1"/>
  <c r="J457" i="1"/>
  <c r="E457" i="1"/>
  <c r="AJ456" i="1"/>
  <c r="AH456" i="1"/>
  <c r="U456" i="1"/>
  <c r="J456" i="1"/>
  <c r="E456" i="1"/>
  <c r="AJ455" i="1"/>
  <c r="AH455" i="1"/>
  <c r="U455" i="1"/>
  <c r="J455" i="1"/>
  <c r="E455" i="1"/>
  <c r="AJ454" i="1"/>
  <c r="AH454" i="1"/>
  <c r="U454" i="1"/>
  <c r="J454" i="1"/>
  <c r="E454" i="1"/>
  <c r="AJ453" i="1"/>
  <c r="AH453" i="1"/>
  <c r="U453" i="1"/>
  <c r="J453" i="1"/>
  <c r="E453" i="1"/>
  <c r="AJ452" i="1"/>
  <c r="AH452" i="1"/>
  <c r="U452" i="1"/>
  <c r="J452" i="1"/>
  <c r="E452" i="1"/>
  <c r="AJ451" i="1"/>
  <c r="AH451" i="1"/>
  <c r="U451" i="1"/>
  <c r="J451" i="1"/>
  <c r="E451" i="1"/>
  <c r="AJ450" i="1"/>
  <c r="AH450" i="1"/>
  <c r="U450" i="1"/>
  <c r="J450" i="1"/>
  <c r="E450" i="1"/>
  <c r="AJ449" i="1"/>
  <c r="AH449" i="1"/>
  <c r="U449" i="1"/>
  <c r="J449" i="1"/>
  <c r="E449" i="1"/>
  <c r="AJ448" i="1"/>
  <c r="AH448" i="1"/>
  <c r="U448" i="1"/>
  <c r="J448" i="1"/>
  <c r="E448" i="1"/>
  <c r="AJ447" i="1"/>
  <c r="AH447" i="1"/>
  <c r="U447" i="1"/>
  <c r="J447" i="1"/>
  <c r="E447" i="1"/>
  <c r="AJ446" i="1"/>
  <c r="AH446" i="1"/>
  <c r="U446" i="1"/>
  <c r="J446" i="1"/>
  <c r="E446" i="1"/>
  <c r="AJ445" i="1"/>
  <c r="AH445" i="1"/>
  <c r="U445" i="1"/>
  <c r="J445" i="1"/>
  <c r="E445" i="1"/>
  <c r="AJ444" i="1"/>
  <c r="AH444" i="1"/>
  <c r="U444" i="1"/>
  <c r="J444" i="1"/>
  <c r="E444" i="1"/>
  <c r="AJ443" i="1"/>
  <c r="AH443" i="1"/>
  <c r="U443" i="1"/>
  <c r="J443" i="1"/>
  <c r="E443" i="1"/>
  <c r="AJ442" i="1"/>
  <c r="AH442" i="1"/>
  <c r="U442" i="1"/>
  <c r="J442" i="1"/>
  <c r="E442" i="1"/>
  <c r="AJ441" i="1"/>
  <c r="AH441" i="1"/>
  <c r="U441" i="1"/>
  <c r="J441" i="1"/>
  <c r="E441" i="1"/>
  <c r="AJ440" i="1"/>
  <c r="AH440" i="1"/>
  <c r="U440" i="1"/>
  <c r="J440" i="1"/>
  <c r="E440" i="1"/>
  <c r="AJ439" i="1"/>
  <c r="AH439" i="1"/>
  <c r="U439" i="1"/>
  <c r="J439" i="1"/>
  <c r="E439" i="1"/>
  <c r="AJ438" i="1"/>
  <c r="AH438" i="1"/>
  <c r="U438" i="1"/>
  <c r="J438" i="1"/>
  <c r="E438" i="1"/>
  <c r="AJ437" i="1"/>
  <c r="AH437" i="1"/>
  <c r="U437" i="1"/>
  <c r="J437" i="1"/>
  <c r="E437" i="1"/>
  <c r="AJ436" i="1"/>
  <c r="AH436" i="1"/>
  <c r="U436" i="1"/>
  <c r="J436" i="1"/>
  <c r="E436" i="1"/>
  <c r="AJ435" i="1"/>
  <c r="AH435" i="1"/>
  <c r="U435" i="1"/>
  <c r="J435" i="1"/>
  <c r="E435" i="1"/>
  <c r="AJ434" i="1"/>
  <c r="AH434" i="1"/>
  <c r="U434" i="1"/>
  <c r="J434" i="1"/>
  <c r="E434" i="1"/>
  <c r="AJ433" i="1"/>
  <c r="AH433" i="1"/>
  <c r="U433" i="1"/>
  <c r="J433" i="1"/>
  <c r="E433" i="1"/>
  <c r="AJ432" i="1"/>
  <c r="AH432" i="1"/>
  <c r="U432" i="1"/>
  <c r="J432" i="1"/>
  <c r="E432" i="1"/>
  <c r="AJ431" i="1"/>
  <c r="AH431" i="1"/>
  <c r="U431" i="1"/>
  <c r="J431" i="1"/>
  <c r="E431" i="1"/>
  <c r="AJ430" i="1"/>
  <c r="AH430" i="1"/>
  <c r="U430" i="1"/>
  <c r="J430" i="1"/>
  <c r="E430" i="1"/>
  <c r="AJ429" i="1"/>
  <c r="AH429" i="1"/>
  <c r="U429" i="1"/>
  <c r="J429" i="1"/>
  <c r="E429" i="1"/>
  <c r="AJ428" i="1"/>
  <c r="AH428" i="1"/>
  <c r="U428" i="1"/>
  <c r="J428" i="1"/>
  <c r="E428" i="1"/>
  <c r="AJ427" i="1"/>
  <c r="AH427" i="1"/>
  <c r="U427" i="1"/>
  <c r="J427" i="1"/>
  <c r="E427" i="1"/>
  <c r="AJ426" i="1"/>
  <c r="AH426" i="1"/>
  <c r="U426" i="1"/>
  <c r="J426" i="1"/>
  <c r="E426" i="1"/>
  <c r="AJ425" i="1"/>
  <c r="AH425" i="1"/>
  <c r="U425" i="1"/>
  <c r="J425" i="1"/>
  <c r="E425" i="1"/>
  <c r="AJ424" i="1"/>
  <c r="AH424" i="1"/>
  <c r="U424" i="1"/>
  <c r="J424" i="1"/>
  <c r="E424" i="1"/>
  <c r="AJ423" i="1"/>
  <c r="AH423" i="1"/>
  <c r="U423" i="1"/>
  <c r="J423" i="1"/>
  <c r="E423" i="1"/>
  <c r="AJ422" i="1"/>
  <c r="AH422" i="1"/>
  <c r="U422" i="1"/>
  <c r="J422" i="1"/>
  <c r="E422" i="1"/>
  <c r="AJ421" i="1"/>
  <c r="AH421" i="1"/>
  <c r="U421" i="1"/>
  <c r="J421" i="1"/>
  <c r="E421" i="1"/>
  <c r="AJ420" i="1"/>
  <c r="AH420" i="1"/>
  <c r="U420" i="1"/>
  <c r="J420" i="1"/>
  <c r="E420" i="1"/>
  <c r="AJ419" i="1"/>
  <c r="AH419" i="1"/>
  <c r="U419" i="1"/>
  <c r="J419" i="1"/>
  <c r="E419" i="1"/>
  <c r="AJ418" i="1"/>
  <c r="AH418" i="1"/>
  <c r="U418" i="1"/>
  <c r="J418" i="1"/>
  <c r="E418" i="1"/>
  <c r="AJ417" i="1"/>
  <c r="AH417" i="1"/>
  <c r="U417" i="1"/>
  <c r="J417" i="1"/>
  <c r="E417" i="1"/>
  <c r="AJ416" i="1"/>
  <c r="AH416" i="1"/>
  <c r="U416" i="1"/>
  <c r="J416" i="1"/>
  <c r="E416" i="1"/>
  <c r="AJ415" i="1"/>
  <c r="AH415" i="1"/>
  <c r="U415" i="1"/>
  <c r="J415" i="1"/>
  <c r="E415" i="1"/>
  <c r="AJ414" i="1"/>
  <c r="AH414" i="1"/>
  <c r="U414" i="1"/>
  <c r="J414" i="1"/>
  <c r="E414" i="1"/>
  <c r="AJ413" i="1"/>
  <c r="AH413" i="1"/>
  <c r="U413" i="1"/>
  <c r="J413" i="1"/>
  <c r="E413" i="1"/>
  <c r="AJ412" i="1"/>
  <c r="AH412" i="1"/>
  <c r="U412" i="1"/>
  <c r="J412" i="1"/>
  <c r="E412" i="1"/>
  <c r="AJ411" i="1"/>
  <c r="AH411" i="1"/>
  <c r="U411" i="1"/>
  <c r="J411" i="1"/>
  <c r="E411" i="1"/>
  <c r="AJ410" i="1"/>
  <c r="AH410" i="1"/>
  <c r="U410" i="1"/>
  <c r="J410" i="1"/>
  <c r="E410" i="1"/>
  <c r="AJ409" i="1"/>
  <c r="AH409" i="1"/>
  <c r="U409" i="1"/>
  <c r="J409" i="1"/>
  <c r="E409" i="1"/>
  <c r="AJ408" i="1"/>
  <c r="AH408" i="1"/>
  <c r="U408" i="1"/>
  <c r="J408" i="1"/>
  <c r="E408" i="1"/>
  <c r="AJ407" i="1"/>
  <c r="AH407" i="1"/>
  <c r="U407" i="1"/>
  <c r="J407" i="1"/>
  <c r="E407" i="1"/>
  <c r="AJ406" i="1"/>
  <c r="AH406" i="1"/>
  <c r="U406" i="1"/>
  <c r="J406" i="1"/>
  <c r="E406" i="1"/>
  <c r="AJ405" i="1"/>
  <c r="AH405" i="1"/>
  <c r="U405" i="1"/>
  <c r="J405" i="1"/>
  <c r="E405" i="1"/>
  <c r="AJ404" i="1"/>
  <c r="AH404" i="1"/>
  <c r="U404" i="1"/>
  <c r="J404" i="1"/>
  <c r="E404" i="1"/>
  <c r="AJ403" i="1"/>
  <c r="AH403" i="1"/>
  <c r="U403" i="1"/>
  <c r="J403" i="1"/>
  <c r="E403" i="1"/>
  <c r="AJ402" i="1"/>
  <c r="AH402" i="1"/>
  <c r="U402" i="1"/>
  <c r="J402" i="1"/>
  <c r="E402" i="1"/>
  <c r="AJ401" i="1"/>
  <c r="AH401" i="1"/>
  <c r="U401" i="1"/>
  <c r="J401" i="1"/>
  <c r="E401" i="1"/>
  <c r="AJ400" i="1"/>
  <c r="AH400" i="1"/>
  <c r="U400" i="1"/>
  <c r="J400" i="1"/>
  <c r="E400" i="1"/>
  <c r="AJ399" i="1"/>
  <c r="AH399" i="1"/>
  <c r="U399" i="1"/>
  <c r="J399" i="1"/>
  <c r="E399" i="1"/>
  <c r="AJ398" i="1"/>
  <c r="AH398" i="1"/>
  <c r="U398" i="1"/>
  <c r="J398" i="1"/>
  <c r="E398" i="1"/>
  <c r="AJ397" i="1"/>
  <c r="AH397" i="1"/>
  <c r="U397" i="1"/>
  <c r="J397" i="1"/>
  <c r="E397" i="1"/>
  <c r="AJ396" i="1"/>
  <c r="AH396" i="1"/>
  <c r="U396" i="1"/>
  <c r="J396" i="1"/>
  <c r="E396" i="1"/>
  <c r="AJ395" i="1"/>
  <c r="AH395" i="1"/>
  <c r="U395" i="1"/>
  <c r="J395" i="1"/>
  <c r="E395" i="1"/>
  <c r="AJ394" i="1"/>
  <c r="AH394" i="1"/>
  <c r="U394" i="1"/>
  <c r="J394" i="1"/>
  <c r="E394" i="1"/>
  <c r="AJ393" i="1"/>
  <c r="AH393" i="1"/>
  <c r="U393" i="1"/>
  <c r="J393" i="1"/>
  <c r="E393" i="1"/>
  <c r="AJ392" i="1"/>
  <c r="AH392" i="1"/>
  <c r="U392" i="1"/>
  <c r="J392" i="1"/>
  <c r="E392" i="1"/>
  <c r="AJ391" i="1"/>
  <c r="AH391" i="1"/>
  <c r="U391" i="1"/>
  <c r="J391" i="1"/>
  <c r="E391" i="1"/>
  <c r="AJ390" i="1"/>
  <c r="AH390" i="1"/>
  <c r="U390" i="1"/>
  <c r="J390" i="1"/>
  <c r="E390" i="1"/>
  <c r="AJ389" i="1"/>
  <c r="AH389" i="1"/>
  <c r="U389" i="1"/>
  <c r="J389" i="1"/>
  <c r="E389" i="1"/>
  <c r="AJ388" i="1"/>
  <c r="AH388" i="1"/>
  <c r="U388" i="1"/>
  <c r="J388" i="1"/>
  <c r="E388" i="1"/>
  <c r="AJ387" i="1"/>
  <c r="AH387" i="1"/>
  <c r="U387" i="1"/>
  <c r="J387" i="1"/>
  <c r="E387" i="1"/>
  <c r="AJ386" i="1"/>
  <c r="AH386" i="1"/>
  <c r="U386" i="1"/>
  <c r="J386" i="1"/>
  <c r="E386" i="1"/>
  <c r="AJ385" i="1"/>
  <c r="AH385" i="1"/>
  <c r="U385" i="1"/>
  <c r="J385" i="1"/>
  <c r="E385" i="1"/>
  <c r="AJ384" i="1"/>
  <c r="AH384" i="1"/>
  <c r="U384" i="1"/>
  <c r="J384" i="1"/>
  <c r="E384" i="1"/>
  <c r="AJ383" i="1"/>
  <c r="AH383" i="1"/>
  <c r="U383" i="1"/>
  <c r="J383" i="1"/>
  <c r="E383" i="1"/>
  <c r="AJ382" i="1"/>
  <c r="AH382" i="1"/>
  <c r="U382" i="1"/>
  <c r="J382" i="1"/>
  <c r="E382" i="1"/>
  <c r="AJ381" i="1"/>
  <c r="AH381" i="1"/>
  <c r="U381" i="1"/>
  <c r="J381" i="1"/>
  <c r="E381" i="1"/>
  <c r="AJ380" i="1"/>
  <c r="AH380" i="1"/>
  <c r="U380" i="1"/>
  <c r="J380" i="1"/>
  <c r="E380" i="1"/>
  <c r="AJ379" i="1"/>
  <c r="AH379" i="1"/>
  <c r="U379" i="1"/>
  <c r="J379" i="1"/>
  <c r="E379" i="1"/>
  <c r="AJ378" i="1"/>
  <c r="AH378" i="1"/>
  <c r="U378" i="1"/>
  <c r="J378" i="1"/>
  <c r="E378" i="1"/>
  <c r="AJ377" i="1"/>
  <c r="AH377" i="1"/>
  <c r="U377" i="1"/>
  <c r="J377" i="1"/>
  <c r="E377" i="1"/>
  <c r="AJ376" i="1"/>
  <c r="AH376" i="1"/>
  <c r="U376" i="1"/>
  <c r="J376" i="1"/>
  <c r="E376" i="1"/>
  <c r="AJ375" i="1"/>
  <c r="AH375" i="1"/>
  <c r="U375" i="1"/>
  <c r="J375" i="1"/>
  <c r="E375" i="1"/>
  <c r="AJ374" i="1"/>
  <c r="AH374" i="1"/>
  <c r="U374" i="1"/>
  <c r="J374" i="1"/>
  <c r="E374" i="1"/>
  <c r="AJ373" i="1"/>
  <c r="AH373" i="1"/>
  <c r="U373" i="1"/>
  <c r="J373" i="1"/>
  <c r="E373" i="1"/>
  <c r="AJ372" i="1"/>
  <c r="AH372" i="1"/>
  <c r="U372" i="1"/>
  <c r="J372" i="1"/>
  <c r="E372" i="1"/>
  <c r="AJ371" i="1"/>
  <c r="AH371" i="1"/>
  <c r="U371" i="1"/>
  <c r="J371" i="1"/>
  <c r="E371" i="1"/>
  <c r="AJ370" i="1"/>
  <c r="AH370" i="1"/>
  <c r="U370" i="1"/>
  <c r="J370" i="1"/>
  <c r="E370" i="1"/>
  <c r="AJ369" i="1"/>
  <c r="AH369" i="1"/>
  <c r="U369" i="1"/>
  <c r="J369" i="1"/>
  <c r="E369" i="1"/>
  <c r="AJ368" i="1"/>
  <c r="AH368" i="1"/>
  <c r="U368" i="1"/>
  <c r="J368" i="1"/>
  <c r="E368" i="1"/>
  <c r="AJ367" i="1"/>
  <c r="AH367" i="1"/>
  <c r="U367" i="1"/>
  <c r="J367" i="1"/>
  <c r="E367" i="1"/>
  <c r="AJ366" i="1"/>
  <c r="AH366" i="1"/>
  <c r="U366" i="1"/>
  <c r="J366" i="1"/>
  <c r="E366" i="1"/>
  <c r="AJ365" i="1"/>
  <c r="AH365" i="1"/>
  <c r="U365" i="1"/>
  <c r="J365" i="1"/>
  <c r="E365" i="1"/>
  <c r="AJ364" i="1"/>
  <c r="AH364" i="1"/>
  <c r="U364" i="1"/>
  <c r="J364" i="1"/>
  <c r="E364" i="1"/>
  <c r="AJ363" i="1"/>
  <c r="AH363" i="1"/>
  <c r="U363" i="1"/>
  <c r="J363" i="1"/>
  <c r="E363" i="1"/>
  <c r="AJ362" i="1"/>
  <c r="AH362" i="1"/>
  <c r="U362" i="1"/>
  <c r="J362" i="1"/>
  <c r="E362" i="1"/>
  <c r="AJ361" i="1"/>
  <c r="AH361" i="1"/>
  <c r="U361" i="1"/>
  <c r="J361" i="1"/>
  <c r="E361" i="1"/>
  <c r="AJ360" i="1"/>
  <c r="AH360" i="1"/>
  <c r="U360" i="1"/>
  <c r="J360" i="1"/>
  <c r="E360" i="1"/>
  <c r="AJ359" i="1"/>
  <c r="AH359" i="1"/>
  <c r="U359" i="1"/>
  <c r="J359" i="1"/>
  <c r="E359" i="1"/>
  <c r="AJ358" i="1"/>
  <c r="AH358" i="1"/>
  <c r="U358" i="1"/>
  <c r="J358" i="1"/>
  <c r="E358" i="1"/>
  <c r="AJ357" i="1"/>
  <c r="AH357" i="1"/>
  <c r="U357" i="1"/>
  <c r="J357" i="1"/>
  <c r="E357" i="1"/>
  <c r="AJ356" i="1"/>
  <c r="AH356" i="1"/>
  <c r="U356" i="1"/>
  <c r="J356" i="1"/>
  <c r="E356" i="1"/>
  <c r="AJ355" i="1"/>
  <c r="AH355" i="1"/>
  <c r="U355" i="1"/>
  <c r="J355" i="1"/>
  <c r="E355" i="1"/>
  <c r="AJ354" i="1"/>
  <c r="AH354" i="1"/>
  <c r="U354" i="1"/>
  <c r="J354" i="1"/>
  <c r="E354" i="1"/>
  <c r="AJ353" i="1"/>
  <c r="AH353" i="1"/>
  <c r="U353" i="1"/>
  <c r="J353" i="1"/>
  <c r="E353" i="1"/>
  <c r="AJ352" i="1"/>
  <c r="AH352" i="1"/>
  <c r="U352" i="1"/>
  <c r="J352" i="1"/>
  <c r="E352" i="1"/>
  <c r="AJ351" i="1"/>
  <c r="AH351" i="1"/>
  <c r="U351" i="1"/>
  <c r="J351" i="1"/>
  <c r="E351" i="1"/>
  <c r="AJ350" i="1"/>
  <c r="AH350" i="1"/>
  <c r="U350" i="1"/>
  <c r="J350" i="1"/>
  <c r="E350" i="1"/>
  <c r="AJ349" i="1"/>
  <c r="AH349" i="1"/>
  <c r="U349" i="1"/>
  <c r="J349" i="1"/>
  <c r="E349" i="1"/>
  <c r="AJ348" i="1"/>
  <c r="AH348" i="1"/>
  <c r="U348" i="1"/>
  <c r="J348" i="1"/>
  <c r="E348" i="1"/>
  <c r="AJ347" i="1"/>
  <c r="AH347" i="1"/>
  <c r="U347" i="1"/>
  <c r="J347" i="1"/>
  <c r="E347" i="1"/>
  <c r="AJ346" i="1"/>
  <c r="AH346" i="1"/>
  <c r="U346" i="1"/>
  <c r="J346" i="1"/>
  <c r="E346" i="1"/>
  <c r="AJ345" i="1"/>
  <c r="AH345" i="1"/>
  <c r="U345" i="1"/>
  <c r="J345" i="1"/>
  <c r="E345" i="1"/>
  <c r="AJ344" i="1"/>
  <c r="AH344" i="1"/>
  <c r="U344" i="1"/>
  <c r="J344" i="1"/>
  <c r="E344" i="1"/>
  <c r="AJ343" i="1"/>
  <c r="AH343" i="1"/>
  <c r="U343" i="1"/>
  <c r="J343" i="1"/>
  <c r="E343" i="1"/>
  <c r="AJ342" i="1"/>
  <c r="AH342" i="1"/>
  <c r="U342" i="1"/>
  <c r="J342" i="1"/>
  <c r="E342" i="1"/>
  <c r="AJ341" i="1"/>
  <c r="AH341" i="1"/>
  <c r="U341" i="1"/>
  <c r="J341" i="1"/>
  <c r="E341" i="1"/>
  <c r="AJ340" i="1"/>
  <c r="AH340" i="1"/>
  <c r="U340" i="1"/>
  <c r="J340" i="1"/>
  <c r="E340" i="1"/>
  <c r="AJ339" i="1"/>
  <c r="AH339" i="1"/>
  <c r="U339" i="1"/>
  <c r="J339" i="1"/>
  <c r="E339" i="1"/>
  <c r="AJ338" i="1"/>
  <c r="AH338" i="1"/>
  <c r="U338" i="1"/>
  <c r="J338" i="1"/>
  <c r="E338" i="1"/>
  <c r="AJ337" i="1"/>
  <c r="AH337" i="1"/>
  <c r="U337" i="1"/>
  <c r="J337" i="1"/>
  <c r="E337" i="1"/>
  <c r="AJ336" i="1"/>
  <c r="AH336" i="1"/>
  <c r="U336" i="1"/>
  <c r="J336" i="1"/>
  <c r="E336" i="1"/>
  <c r="AJ335" i="1"/>
  <c r="AH335" i="1"/>
  <c r="U335" i="1"/>
  <c r="J335" i="1"/>
  <c r="E335" i="1"/>
  <c r="AJ334" i="1"/>
  <c r="AH334" i="1"/>
  <c r="U334" i="1"/>
  <c r="J334" i="1"/>
  <c r="E334" i="1"/>
  <c r="AJ333" i="1"/>
  <c r="AH333" i="1"/>
  <c r="U333" i="1"/>
  <c r="J333" i="1"/>
  <c r="E333" i="1"/>
  <c r="AJ332" i="1"/>
  <c r="AH332" i="1"/>
  <c r="U332" i="1"/>
  <c r="J332" i="1"/>
  <c r="E332" i="1"/>
  <c r="AJ331" i="1"/>
  <c r="AH331" i="1"/>
  <c r="U331" i="1"/>
  <c r="J331" i="1"/>
  <c r="E331" i="1"/>
  <c r="AJ330" i="1"/>
  <c r="AH330" i="1"/>
  <c r="U330" i="1"/>
  <c r="J330" i="1"/>
  <c r="E330" i="1"/>
  <c r="AJ329" i="1"/>
  <c r="AH329" i="1"/>
  <c r="U329" i="1"/>
  <c r="J329" i="1"/>
  <c r="E329" i="1"/>
  <c r="AJ328" i="1"/>
  <c r="AH328" i="1"/>
  <c r="U328" i="1"/>
  <c r="J328" i="1"/>
  <c r="E328" i="1"/>
  <c r="AJ327" i="1"/>
  <c r="AH327" i="1"/>
  <c r="U327" i="1"/>
  <c r="J327" i="1"/>
  <c r="E327" i="1"/>
  <c r="AJ326" i="1"/>
  <c r="AH326" i="1"/>
  <c r="U326" i="1"/>
  <c r="J326" i="1"/>
  <c r="E326" i="1"/>
  <c r="AJ325" i="1"/>
  <c r="AH325" i="1"/>
  <c r="U325" i="1"/>
  <c r="J325" i="1"/>
  <c r="E325" i="1"/>
  <c r="AJ324" i="1"/>
  <c r="AH324" i="1"/>
  <c r="U324" i="1"/>
  <c r="J324" i="1"/>
  <c r="E324" i="1"/>
  <c r="AJ323" i="1"/>
  <c r="AH323" i="1"/>
  <c r="U323" i="1"/>
  <c r="J323" i="1"/>
  <c r="E323" i="1"/>
  <c r="AJ322" i="1"/>
  <c r="AH322" i="1"/>
  <c r="U322" i="1"/>
  <c r="J322" i="1"/>
  <c r="E322" i="1"/>
  <c r="AJ321" i="1"/>
  <c r="AH321" i="1"/>
  <c r="U321" i="1"/>
  <c r="J321" i="1"/>
  <c r="E321" i="1"/>
  <c r="AJ320" i="1"/>
  <c r="AH320" i="1"/>
  <c r="U320" i="1"/>
  <c r="J320" i="1"/>
  <c r="E320" i="1"/>
  <c r="AJ319" i="1"/>
  <c r="AH319" i="1"/>
  <c r="U319" i="1"/>
  <c r="J319" i="1"/>
  <c r="E319" i="1"/>
  <c r="AJ318" i="1"/>
  <c r="AH318" i="1"/>
  <c r="U318" i="1"/>
  <c r="J318" i="1"/>
  <c r="E318" i="1"/>
  <c r="AJ317" i="1"/>
  <c r="AH317" i="1"/>
  <c r="U317" i="1"/>
  <c r="J317" i="1"/>
  <c r="E317" i="1"/>
  <c r="AJ316" i="1"/>
  <c r="AH316" i="1"/>
  <c r="U316" i="1"/>
  <c r="J316" i="1"/>
  <c r="E316" i="1"/>
  <c r="AJ315" i="1"/>
  <c r="AH315" i="1"/>
  <c r="U315" i="1"/>
  <c r="J315" i="1"/>
  <c r="E315" i="1"/>
  <c r="AJ314" i="1"/>
  <c r="AH314" i="1"/>
  <c r="U314" i="1"/>
  <c r="J314" i="1"/>
  <c r="E314" i="1"/>
  <c r="AJ313" i="1"/>
  <c r="AH313" i="1"/>
  <c r="U313" i="1"/>
  <c r="J313" i="1"/>
  <c r="E313" i="1"/>
  <c r="AJ312" i="1"/>
  <c r="AH312" i="1"/>
  <c r="U312" i="1"/>
  <c r="J312" i="1"/>
  <c r="E312" i="1"/>
  <c r="AJ311" i="1"/>
  <c r="AH311" i="1"/>
  <c r="U311" i="1"/>
  <c r="J311" i="1"/>
  <c r="E311" i="1"/>
  <c r="AJ310" i="1"/>
  <c r="AH310" i="1"/>
  <c r="U310" i="1"/>
  <c r="J310" i="1"/>
  <c r="E310" i="1"/>
  <c r="AJ309" i="1"/>
  <c r="AH309" i="1"/>
  <c r="U309" i="1"/>
  <c r="J309" i="1"/>
  <c r="E309" i="1"/>
  <c r="AJ308" i="1"/>
  <c r="AH308" i="1"/>
  <c r="U308" i="1"/>
  <c r="J308" i="1"/>
  <c r="E308" i="1"/>
  <c r="AJ307" i="1"/>
  <c r="AH307" i="1"/>
  <c r="U307" i="1"/>
  <c r="J307" i="1"/>
  <c r="E307" i="1"/>
  <c r="AJ306" i="1"/>
  <c r="AH306" i="1"/>
  <c r="U306" i="1"/>
  <c r="J306" i="1"/>
  <c r="E306" i="1"/>
  <c r="AJ305" i="1"/>
  <c r="AH305" i="1"/>
  <c r="U305" i="1"/>
  <c r="J305" i="1"/>
  <c r="E305" i="1"/>
  <c r="AJ304" i="1"/>
  <c r="AH304" i="1"/>
  <c r="U304" i="1"/>
  <c r="J304" i="1"/>
  <c r="E304" i="1"/>
  <c r="AJ303" i="1"/>
  <c r="AH303" i="1"/>
  <c r="U303" i="1"/>
  <c r="J303" i="1"/>
  <c r="E303" i="1"/>
  <c r="AJ302" i="1"/>
  <c r="AH302" i="1"/>
  <c r="U302" i="1"/>
  <c r="J302" i="1"/>
  <c r="E302" i="1"/>
  <c r="AJ301" i="1"/>
  <c r="AH301" i="1"/>
  <c r="U301" i="1"/>
  <c r="J301" i="1"/>
  <c r="E301" i="1"/>
  <c r="AJ300" i="1"/>
  <c r="AH300" i="1"/>
  <c r="U300" i="1"/>
  <c r="J300" i="1"/>
  <c r="E300" i="1"/>
  <c r="AJ299" i="1"/>
  <c r="AH299" i="1"/>
  <c r="U299" i="1"/>
  <c r="J299" i="1"/>
  <c r="E299" i="1"/>
  <c r="AJ298" i="1"/>
  <c r="AH298" i="1"/>
  <c r="U298" i="1"/>
  <c r="J298" i="1"/>
  <c r="E298" i="1"/>
  <c r="AJ297" i="1"/>
  <c r="AH297" i="1"/>
  <c r="U297" i="1"/>
  <c r="J297" i="1"/>
  <c r="E297" i="1"/>
  <c r="AJ296" i="1"/>
  <c r="AH296" i="1"/>
  <c r="U296" i="1"/>
  <c r="J296" i="1"/>
  <c r="E296" i="1"/>
  <c r="AJ295" i="1"/>
  <c r="AH295" i="1"/>
  <c r="U295" i="1"/>
  <c r="J295" i="1"/>
  <c r="E295" i="1"/>
  <c r="AJ294" i="1"/>
  <c r="AH294" i="1"/>
  <c r="U294" i="1"/>
  <c r="J294" i="1"/>
  <c r="E294" i="1"/>
  <c r="AJ293" i="1"/>
  <c r="AH293" i="1"/>
  <c r="U293" i="1"/>
  <c r="J293" i="1"/>
  <c r="E293" i="1"/>
  <c r="AJ292" i="1"/>
  <c r="AH292" i="1"/>
  <c r="U292" i="1"/>
  <c r="J292" i="1"/>
  <c r="E292" i="1"/>
  <c r="AJ291" i="1"/>
  <c r="AH291" i="1"/>
  <c r="U291" i="1"/>
  <c r="J291" i="1"/>
  <c r="E291" i="1"/>
  <c r="AJ290" i="1"/>
  <c r="AH290" i="1"/>
  <c r="U290" i="1"/>
  <c r="J290" i="1"/>
  <c r="E290" i="1"/>
  <c r="AJ289" i="1"/>
  <c r="AH289" i="1"/>
  <c r="U289" i="1"/>
  <c r="J289" i="1"/>
  <c r="E289" i="1"/>
  <c r="AJ288" i="1"/>
  <c r="AH288" i="1"/>
  <c r="U288" i="1"/>
  <c r="J288" i="1"/>
  <c r="E288" i="1"/>
  <c r="AJ287" i="1"/>
  <c r="AH287" i="1"/>
  <c r="U287" i="1"/>
  <c r="J287" i="1"/>
  <c r="E287" i="1"/>
  <c r="AJ286" i="1"/>
  <c r="AH286" i="1"/>
  <c r="U286" i="1"/>
  <c r="J286" i="1"/>
  <c r="E286" i="1"/>
  <c r="AJ285" i="1"/>
  <c r="AH285" i="1"/>
  <c r="U285" i="1"/>
  <c r="J285" i="1"/>
  <c r="E285" i="1"/>
  <c r="AJ284" i="1"/>
  <c r="AH284" i="1"/>
  <c r="U284" i="1"/>
  <c r="J284" i="1"/>
  <c r="E284" i="1"/>
  <c r="AJ283" i="1"/>
  <c r="AH283" i="1"/>
  <c r="U283" i="1"/>
  <c r="J283" i="1"/>
  <c r="E283" i="1"/>
  <c r="AJ282" i="1"/>
  <c r="AH282" i="1"/>
  <c r="U282" i="1"/>
  <c r="J282" i="1"/>
  <c r="E282" i="1"/>
  <c r="AJ281" i="1"/>
  <c r="AH281" i="1"/>
  <c r="U281" i="1"/>
  <c r="J281" i="1"/>
  <c r="E281" i="1"/>
  <c r="AJ280" i="1"/>
  <c r="AH280" i="1"/>
  <c r="U280" i="1"/>
  <c r="J280" i="1"/>
  <c r="E280" i="1"/>
  <c r="AJ279" i="1"/>
  <c r="AH279" i="1"/>
  <c r="U279" i="1"/>
  <c r="J279" i="1"/>
  <c r="E279" i="1"/>
  <c r="AJ278" i="1"/>
  <c r="AH278" i="1"/>
  <c r="U278" i="1"/>
  <c r="J278" i="1"/>
  <c r="E278" i="1"/>
  <c r="AJ277" i="1"/>
  <c r="AH277" i="1"/>
  <c r="U277" i="1"/>
  <c r="J277" i="1"/>
  <c r="E277" i="1"/>
  <c r="AJ276" i="1"/>
  <c r="AH276" i="1"/>
  <c r="U276" i="1"/>
  <c r="J276" i="1"/>
  <c r="E276" i="1"/>
  <c r="AJ275" i="1"/>
  <c r="AH275" i="1"/>
  <c r="U275" i="1"/>
  <c r="J275" i="1"/>
  <c r="E275" i="1"/>
  <c r="AJ274" i="1"/>
  <c r="AH274" i="1"/>
  <c r="U274" i="1"/>
  <c r="J274" i="1"/>
  <c r="E274" i="1"/>
  <c r="AJ273" i="1"/>
  <c r="AH273" i="1"/>
  <c r="U273" i="1"/>
  <c r="J273" i="1"/>
  <c r="E273" i="1"/>
  <c r="AJ272" i="1"/>
  <c r="AH272" i="1"/>
  <c r="U272" i="1"/>
  <c r="J272" i="1"/>
  <c r="E272" i="1"/>
  <c r="AJ271" i="1"/>
  <c r="AH271" i="1"/>
  <c r="U271" i="1"/>
  <c r="J271" i="1"/>
  <c r="E271" i="1"/>
  <c r="AJ270" i="1"/>
  <c r="AH270" i="1"/>
  <c r="U270" i="1"/>
  <c r="J270" i="1"/>
  <c r="E270" i="1"/>
  <c r="AJ269" i="1"/>
  <c r="AH269" i="1"/>
  <c r="U269" i="1"/>
  <c r="J269" i="1"/>
  <c r="E269" i="1"/>
  <c r="AJ268" i="1"/>
  <c r="AH268" i="1"/>
  <c r="U268" i="1"/>
  <c r="J268" i="1"/>
  <c r="E268" i="1"/>
  <c r="AJ267" i="1"/>
  <c r="AH267" i="1"/>
  <c r="U267" i="1"/>
  <c r="J267" i="1"/>
  <c r="E267" i="1"/>
  <c r="AJ266" i="1"/>
  <c r="AH266" i="1"/>
  <c r="U266" i="1"/>
  <c r="J266" i="1"/>
  <c r="E266" i="1"/>
  <c r="AJ265" i="1"/>
  <c r="AH265" i="1"/>
  <c r="U265" i="1"/>
  <c r="J265" i="1"/>
  <c r="E265" i="1"/>
  <c r="AJ264" i="1"/>
  <c r="AH264" i="1"/>
  <c r="U264" i="1"/>
  <c r="J264" i="1"/>
  <c r="E264" i="1"/>
  <c r="AJ263" i="1"/>
  <c r="AH263" i="1"/>
  <c r="U263" i="1"/>
  <c r="J263" i="1"/>
  <c r="E263" i="1"/>
  <c r="AJ262" i="1"/>
  <c r="AH262" i="1"/>
  <c r="U262" i="1"/>
  <c r="J262" i="1"/>
  <c r="E262" i="1"/>
  <c r="AJ261" i="1"/>
  <c r="AH261" i="1"/>
  <c r="U261" i="1"/>
  <c r="J261" i="1"/>
  <c r="E261" i="1"/>
  <c r="AJ260" i="1"/>
  <c r="AH260" i="1"/>
  <c r="U260" i="1"/>
  <c r="J260" i="1"/>
  <c r="E260" i="1"/>
  <c r="AJ259" i="1"/>
  <c r="AH259" i="1"/>
  <c r="U259" i="1"/>
  <c r="J259" i="1"/>
  <c r="E259" i="1"/>
  <c r="AJ258" i="1"/>
  <c r="AH258" i="1"/>
  <c r="U258" i="1"/>
  <c r="J258" i="1"/>
  <c r="E258" i="1"/>
  <c r="AJ257" i="1"/>
  <c r="AH257" i="1"/>
  <c r="U257" i="1"/>
  <c r="J257" i="1"/>
  <c r="E257" i="1"/>
  <c r="AJ256" i="1"/>
  <c r="AH256" i="1"/>
  <c r="U256" i="1"/>
  <c r="J256" i="1"/>
  <c r="E256" i="1"/>
  <c r="AJ255" i="1"/>
  <c r="AH255" i="1"/>
  <c r="U255" i="1"/>
  <c r="J255" i="1"/>
  <c r="E255" i="1"/>
  <c r="AJ254" i="1"/>
  <c r="AH254" i="1"/>
  <c r="U254" i="1"/>
  <c r="J254" i="1"/>
  <c r="E254" i="1"/>
  <c r="AJ253" i="1"/>
  <c r="AH253" i="1"/>
  <c r="U253" i="1"/>
  <c r="J253" i="1"/>
  <c r="E253" i="1"/>
  <c r="AJ252" i="1"/>
  <c r="AH252" i="1"/>
  <c r="U252" i="1"/>
  <c r="J252" i="1"/>
  <c r="E252" i="1"/>
  <c r="AJ251" i="1"/>
  <c r="AH251" i="1"/>
  <c r="U251" i="1"/>
  <c r="J251" i="1"/>
  <c r="E251" i="1"/>
  <c r="AJ250" i="1"/>
  <c r="AH250" i="1"/>
  <c r="U250" i="1"/>
  <c r="J250" i="1"/>
  <c r="E250" i="1"/>
  <c r="AJ249" i="1"/>
  <c r="AH249" i="1"/>
  <c r="U249" i="1"/>
  <c r="J249" i="1"/>
  <c r="E249" i="1"/>
  <c r="AJ248" i="1"/>
  <c r="AH248" i="1"/>
  <c r="U248" i="1"/>
  <c r="J248" i="1"/>
  <c r="E248" i="1"/>
  <c r="AJ247" i="1"/>
  <c r="AH247" i="1"/>
  <c r="U247" i="1"/>
  <c r="J247" i="1"/>
  <c r="E247" i="1"/>
  <c r="AJ246" i="1"/>
  <c r="AH246" i="1"/>
  <c r="U246" i="1"/>
  <c r="J246" i="1"/>
  <c r="E246" i="1"/>
  <c r="AJ245" i="1"/>
  <c r="AH245" i="1"/>
  <c r="U245" i="1"/>
  <c r="J245" i="1"/>
  <c r="E245" i="1"/>
  <c r="AJ244" i="1"/>
  <c r="AH244" i="1"/>
  <c r="U244" i="1"/>
  <c r="J244" i="1"/>
  <c r="E244" i="1"/>
  <c r="AJ243" i="1"/>
  <c r="AH243" i="1"/>
  <c r="U243" i="1"/>
  <c r="J243" i="1"/>
  <c r="E243" i="1"/>
  <c r="AJ242" i="1"/>
  <c r="AH242" i="1"/>
  <c r="U242" i="1"/>
  <c r="J242" i="1"/>
  <c r="E242" i="1"/>
  <c r="AJ241" i="1"/>
  <c r="AH241" i="1"/>
  <c r="U241" i="1"/>
  <c r="J241" i="1"/>
  <c r="E241" i="1"/>
  <c r="AJ240" i="1"/>
  <c r="AH240" i="1"/>
  <c r="U240" i="1"/>
  <c r="J240" i="1"/>
  <c r="E240" i="1"/>
  <c r="AJ239" i="1"/>
  <c r="AH239" i="1"/>
  <c r="U239" i="1"/>
  <c r="J239" i="1"/>
  <c r="E239" i="1"/>
  <c r="AJ238" i="1"/>
  <c r="AH238" i="1"/>
  <c r="U238" i="1"/>
  <c r="J238" i="1"/>
  <c r="E238" i="1"/>
  <c r="AJ237" i="1"/>
  <c r="AH237" i="1"/>
  <c r="U237" i="1"/>
  <c r="J237" i="1"/>
  <c r="E237" i="1"/>
  <c r="AJ236" i="1"/>
  <c r="AH236" i="1"/>
  <c r="U236" i="1"/>
  <c r="J236" i="1"/>
  <c r="E236" i="1"/>
  <c r="AJ235" i="1"/>
  <c r="AH235" i="1"/>
  <c r="U235" i="1"/>
  <c r="J235" i="1"/>
  <c r="E235" i="1"/>
  <c r="AJ234" i="1"/>
  <c r="AH234" i="1"/>
  <c r="U234" i="1"/>
  <c r="J234" i="1"/>
  <c r="E234" i="1"/>
  <c r="AJ233" i="1"/>
  <c r="AH233" i="1"/>
  <c r="U233" i="1"/>
  <c r="J233" i="1"/>
  <c r="E233" i="1"/>
  <c r="AJ232" i="1"/>
  <c r="AH232" i="1"/>
  <c r="U232" i="1"/>
  <c r="J232" i="1"/>
  <c r="E232" i="1"/>
  <c r="AJ231" i="1"/>
  <c r="AH231" i="1"/>
  <c r="U231" i="1"/>
  <c r="J231" i="1"/>
  <c r="E231" i="1"/>
  <c r="AJ230" i="1"/>
  <c r="AH230" i="1"/>
  <c r="U230" i="1"/>
  <c r="J230" i="1"/>
  <c r="E230" i="1"/>
  <c r="AJ229" i="1"/>
  <c r="AH229" i="1"/>
  <c r="U229" i="1"/>
  <c r="J229" i="1"/>
  <c r="E229" i="1"/>
  <c r="AJ228" i="1"/>
  <c r="AH228" i="1"/>
  <c r="U228" i="1"/>
  <c r="J228" i="1"/>
  <c r="E228" i="1"/>
  <c r="AJ227" i="1"/>
  <c r="AH227" i="1"/>
  <c r="U227" i="1"/>
  <c r="J227" i="1"/>
  <c r="E227" i="1"/>
  <c r="AJ226" i="1"/>
  <c r="AH226" i="1"/>
  <c r="U226" i="1"/>
  <c r="J226" i="1"/>
  <c r="E226" i="1"/>
  <c r="AJ225" i="1"/>
  <c r="AH225" i="1"/>
  <c r="U225" i="1"/>
  <c r="J225" i="1"/>
  <c r="E225" i="1"/>
  <c r="AJ224" i="1"/>
  <c r="AH224" i="1"/>
  <c r="U224" i="1"/>
  <c r="J224" i="1"/>
  <c r="E224" i="1"/>
  <c r="AJ223" i="1"/>
  <c r="AH223" i="1"/>
  <c r="U223" i="1"/>
  <c r="J223" i="1"/>
  <c r="E223" i="1"/>
  <c r="AJ222" i="1"/>
  <c r="AH222" i="1"/>
  <c r="U222" i="1"/>
  <c r="J222" i="1"/>
  <c r="E222" i="1"/>
  <c r="AJ221" i="1"/>
  <c r="AH221" i="1"/>
  <c r="U221" i="1"/>
  <c r="J221" i="1"/>
  <c r="E221" i="1"/>
  <c r="AJ220" i="1"/>
  <c r="AH220" i="1"/>
  <c r="U220" i="1"/>
  <c r="J220" i="1"/>
  <c r="E220" i="1"/>
  <c r="AJ219" i="1"/>
  <c r="AH219" i="1"/>
  <c r="U219" i="1"/>
  <c r="J219" i="1"/>
  <c r="E219" i="1"/>
  <c r="AJ218" i="1"/>
  <c r="AH218" i="1"/>
  <c r="U218" i="1"/>
  <c r="J218" i="1"/>
  <c r="E218" i="1"/>
  <c r="AJ217" i="1"/>
  <c r="AH217" i="1"/>
  <c r="U217" i="1"/>
  <c r="J217" i="1"/>
  <c r="E217" i="1"/>
  <c r="AJ216" i="1"/>
  <c r="AH216" i="1"/>
  <c r="U216" i="1"/>
  <c r="J216" i="1"/>
  <c r="E216" i="1"/>
  <c r="AJ215" i="1"/>
  <c r="AH215" i="1"/>
  <c r="U215" i="1"/>
  <c r="J215" i="1"/>
  <c r="E215" i="1"/>
  <c r="AJ214" i="1"/>
  <c r="AH214" i="1"/>
  <c r="U214" i="1"/>
  <c r="J214" i="1"/>
  <c r="E214" i="1"/>
  <c r="AJ213" i="1"/>
  <c r="AH213" i="1"/>
  <c r="U213" i="1"/>
  <c r="J213" i="1"/>
  <c r="E213" i="1"/>
  <c r="AJ212" i="1"/>
  <c r="AH212" i="1"/>
  <c r="U212" i="1"/>
  <c r="J212" i="1"/>
  <c r="E212" i="1"/>
  <c r="AJ211" i="1"/>
  <c r="AH211" i="1"/>
  <c r="U211" i="1"/>
  <c r="J211" i="1"/>
  <c r="E211" i="1"/>
  <c r="AJ210" i="1"/>
  <c r="AH210" i="1"/>
  <c r="U210" i="1"/>
  <c r="J210" i="1"/>
  <c r="E210" i="1"/>
  <c r="AJ209" i="1"/>
  <c r="AH209" i="1"/>
  <c r="U209" i="1"/>
  <c r="J209" i="1"/>
  <c r="E209" i="1"/>
  <c r="AJ208" i="1"/>
  <c r="AH208" i="1"/>
  <c r="U208" i="1"/>
  <c r="J208" i="1"/>
  <c r="E208" i="1"/>
  <c r="AJ207" i="1"/>
  <c r="AH207" i="1"/>
  <c r="U207" i="1"/>
  <c r="J207" i="1"/>
  <c r="E207" i="1"/>
  <c r="AJ206" i="1"/>
  <c r="AH206" i="1"/>
  <c r="U206" i="1"/>
  <c r="J206" i="1"/>
  <c r="E206" i="1"/>
  <c r="AJ205" i="1"/>
  <c r="AH205" i="1"/>
  <c r="U205" i="1"/>
  <c r="J205" i="1"/>
  <c r="E205" i="1"/>
  <c r="AJ204" i="1"/>
  <c r="AH204" i="1"/>
  <c r="U204" i="1"/>
  <c r="J204" i="1"/>
  <c r="E204" i="1"/>
  <c r="AJ203" i="1"/>
  <c r="AH203" i="1"/>
  <c r="U203" i="1"/>
  <c r="J203" i="1"/>
  <c r="E203" i="1"/>
  <c r="AJ202" i="1"/>
  <c r="AH202" i="1"/>
  <c r="U202" i="1"/>
  <c r="J202" i="1"/>
  <c r="E202" i="1"/>
  <c r="AJ201" i="1"/>
  <c r="AH201" i="1"/>
  <c r="U201" i="1"/>
  <c r="J201" i="1"/>
  <c r="E201" i="1"/>
  <c r="AJ200" i="1"/>
  <c r="AH200" i="1"/>
  <c r="U200" i="1"/>
  <c r="J200" i="1"/>
  <c r="E200" i="1"/>
  <c r="AJ199" i="1"/>
  <c r="AH199" i="1"/>
  <c r="U199" i="1"/>
  <c r="J199" i="1"/>
  <c r="E199" i="1"/>
  <c r="AJ198" i="1"/>
  <c r="AH198" i="1"/>
  <c r="U198" i="1"/>
  <c r="J198" i="1"/>
  <c r="E198" i="1"/>
  <c r="AJ197" i="1"/>
  <c r="AH197" i="1"/>
  <c r="U197" i="1"/>
  <c r="J197" i="1"/>
  <c r="E197" i="1"/>
  <c r="AJ196" i="1"/>
  <c r="AH196" i="1"/>
  <c r="U196" i="1"/>
  <c r="J196" i="1"/>
  <c r="E196" i="1"/>
  <c r="AJ195" i="1"/>
  <c r="AH195" i="1"/>
  <c r="U195" i="1"/>
  <c r="J195" i="1"/>
  <c r="E195" i="1"/>
  <c r="AJ194" i="1"/>
  <c r="AH194" i="1"/>
  <c r="U194" i="1"/>
  <c r="J194" i="1"/>
  <c r="E194" i="1"/>
  <c r="AJ193" i="1"/>
  <c r="AH193" i="1"/>
  <c r="U193" i="1"/>
  <c r="J193" i="1"/>
  <c r="E193" i="1"/>
  <c r="AJ192" i="1"/>
  <c r="AH192" i="1"/>
  <c r="U192" i="1"/>
  <c r="J192" i="1"/>
  <c r="E192" i="1"/>
  <c r="AJ191" i="1"/>
  <c r="AH191" i="1"/>
  <c r="U191" i="1"/>
  <c r="J191" i="1"/>
  <c r="E191" i="1"/>
  <c r="AJ190" i="1"/>
  <c r="AH190" i="1"/>
  <c r="U190" i="1"/>
  <c r="J190" i="1"/>
  <c r="E190" i="1"/>
  <c r="AJ189" i="1"/>
  <c r="AH189" i="1"/>
  <c r="U189" i="1"/>
  <c r="J189" i="1"/>
  <c r="E189" i="1"/>
  <c r="AJ188" i="1"/>
  <c r="AH188" i="1"/>
  <c r="U188" i="1"/>
  <c r="J188" i="1"/>
  <c r="E188" i="1"/>
  <c r="AJ187" i="1"/>
  <c r="AH187" i="1"/>
  <c r="U187" i="1"/>
  <c r="J187" i="1"/>
  <c r="E187" i="1"/>
  <c r="AJ186" i="1"/>
  <c r="AH186" i="1"/>
  <c r="U186" i="1"/>
  <c r="J186" i="1"/>
  <c r="E186" i="1"/>
  <c r="AJ185" i="1"/>
  <c r="AH185" i="1"/>
  <c r="U185" i="1"/>
  <c r="J185" i="1"/>
  <c r="E185" i="1"/>
  <c r="AJ184" i="1"/>
  <c r="AH184" i="1"/>
  <c r="U184" i="1"/>
  <c r="J184" i="1"/>
  <c r="E184" i="1"/>
  <c r="AJ183" i="1"/>
  <c r="AH183" i="1"/>
  <c r="U183" i="1"/>
  <c r="J183" i="1"/>
  <c r="E183" i="1"/>
  <c r="AJ182" i="1"/>
  <c r="AH182" i="1"/>
  <c r="U182" i="1"/>
  <c r="J182" i="1"/>
  <c r="E182" i="1"/>
  <c r="AJ181" i="1"/>
  <c r="AH181" i="1"/>
  <c r="U181" i="1"/>
  <c r="J181" i="1"/>
  <c r="E181" i="1"/>
  <c r="AJ180" i="1"/>
  <c r="AH180" i="1"/>
  <c r="U180" i="1"/>
  <c r="J180" i="1"/>
  <c r="E180" i="1"/>
  <c r="AJ179" i="1"/>
  <c r="AH179" i="1"/>
  <c r="U179" i="1"/>
  <c r="J179" i="1"/>
  <c r="E179" i="1"/>
  <c r="AJ178" i="1"/>
  <c r="AH178" i="1"/>
  <c r="U178" i="1"/>
  <c r="J178" i="1"/>
  <c r="E178" i="1"/>
  <c r="AJ177" i="1"/>
  <c r="AH177" i="1"/>
  <c r="U177" i="1"/>
  <c r="J177" i="1"/>
  <c r="E177" i="1"/>
  <c r="AJ176" i="1"/>
  <c r="AH176" i="1"/>
  <c r="U176" i="1"/>
  <c r="J176" i="1"/>
  <c r="E176" i="1"/>
  <c r="AJ175" i="1"/>
  <c r="AH175" i="1"/>
  <c r="U175" i="1"/>
  <c r="J175" i="1"/>
  <c r="E175" i="1"/>
  <c r="AJ174" i="1"/>
  <c r="AH174" i="1"/>
  <c r="U174" i="1"/>
  <c r="J174" i="1"/>
  <c r="E174" i="1"/>
  <c r="AJ173" i="1"/>
  <c r="AH173" i="1"/>
  <c r="U173" i="1"/>
  <c r="J173" i="1"/>
  <c r="E173" i="1"/>
  <c r="AJ172" i="1"/>
  <c r="AH172" i="1"/>
  <c r="U172" i="1"/>
  <c r="J172" i="1"/>
  <c r="E172" i="1"/>
  <c r="AJ171" i="1"/>
  <c r="AH171" i="1"/>
  <c r="U171" i="1"/>
  <c r="J171" i="1"/>
  <c r="E171" i="1"/>
  <c r="AJ170" i="1"/>
  <c r="AH170" i="1"/>
  <c r="U170" i="1"/>
  <c r="J170" i="1"/>
  <c r="E170" i="1"/>
  <c r="AJ169" i="1"/>
  <c r="AH169" i="1"/>
  <c r="U169" i="1"/>
  <c r="J169" i="1"/>
  <c r="E169" i="1"/>
  <c r="AJ168" i="1"/>
  <c r="AH168" i="1"/>
  <c r="U168" i="1"/>
  <c r="J168" i="1"/>
  <c r="E168" i="1"/>
  <c r="AJ167" i="1"/>
  <c r="AH167" i="1"/>
  <c r="U167" i="1"/>
  <c r="J167" i="1"/>
  <c r="E167" i="1"/>
  <c r="AJ166" i="1"/>
  <c r="AH166" i="1"/>
  <c r="U166" i="1"/>
  <c r="J166" i="1"/>
  <c r="E166" i="1"/>
  <c r="AJ165" i="1"/>
  <c r="AH165" i="1"/>
  <c r="U165" i="1"/>
  <c r="J165" i="1"/>
  <c r="E165" i="1"/>
  <c r="AJ164" i="1"/>
  <c r="AH164" i="1"/>
  <c r="U164" i="1"/>
  <c r="J164" i="1"/>
  <c r="E164" i="1"/>
  <c r="AJ163" i="1"/>
  <c r="AH163" i="1"/>
  <c r="U163" i="1"/>
  <c r="J163" i="1"/>
  <c r="E163" i="1"/>
  <c r="AJ162" i="1"/>
  <c r="AH162" i="1"/>
  <c r="U162" i="1"/>
  <c r="J162" i="1"/>
  <c r="E162" i="1"/>
  <c r="AJ161" i="1"/>
  <c r="AH161" i="1"/>
  <c r="U161" i="1"/>
  <c r="J161" i="1"/>
  <c r="E161" i="1"/>
  <c r="AJ160" i="1"/>
  <c r="AH160" i="1"/>
  <c r="U160" i="1"/>
  <c r="J160" i="1"/>
  <c r="E160" i="1"/>
  <c r="AJ159" i="1"/>
  <c r="AH159" i="1"/>
  <c r="U159" i="1"/>
  <c r="J159" i="1"/>
  <c r="E159" i="1"/>
  <c r="AJ158" i="1"/>
  <c r="AH158" i="1"/>
  <c r="U158" i="1"/>
  <c r="J158" i="1"/>
  <c r="E158" i="1"/>
  <c r="AJ157" i="1"/>
  <c r="AH157" i="1"/>
  <c r="U157" i="1"/>
  <c r="J157" i="1"/>
  <c r="E157" i="1"/>
  <c r="AJ156" i="1"/>
  <c r="AH156" i="1"/>
  <c r="U156" i="1"/>
  <c r="J156" i="1"/>
  <c r="E156" i="1"/>
  <c r="AJ155" i="1"/>
  <c r="AH155" i="1"/>
  <c r="U155" i="1"/>
  <c r="J155" i="1"/>
  <c r="E155" i="1"/>
  <c r="AJ154" i="1"/>
  <c r="AH154" i="1"/>
  <c r="U154" i="1"/>
  <c r="J154" i="1"/>
  <c r="E154" i="1"/>
  <c r="AJ153" i="1"/>
  <c r="AH153" i="1"/>
  <c r="U153" i="1"/>
  <c r="J153" i="1"/>
  <c r="E153" i="1"/>
  <c r="AJ152" i="1"/>
  <c r="AH152" i="1"/>
  <c r="U152" i="1"/>
  <c r="J152" i="1"/>
  <c r="E152" i="1"/>
  <c r="AJ151" i="1"/>
  <c r="AH151" i="1"/>
  <c r="U151" i="1"/>
  <c r="J151" i="1"/>
  <c r="E151" i="1"/>
  <c r="AJ150" i="1"/>
  <c r="AH150" i="1"/>
  <c r="U150" i="1"/>
  <c r="J150" i="1"/>
  <c r="E150" i="1"/>
  <c r="AJ149" i="1"/>
  <c r="AH149" i="1"/>
  <c r="U149" i="1"/>
  <c r="J149" i="1"/>
  <c r="E149" i="1"/>
  <c r="AJ148" i="1"/>
  <c r="AH148" i="1"/>
  <c r="U148" i="1"/>
  <c r="J148" i="1"/>
  <c r="E148" i="1"/>
  <c r="AJ147" i="1"/>
  <c r="AH147" i="1"/>
  <c r="U147" i="1"/>
  <c r="J147" i="1"/>
  <c r="E147" i="1"/>
  <c r="AJ146" i="1"/>
  <c r="AH146" i="1"/>
  <c r="U146" i="1"/>
  <c r="J146" i="1"/>
  <c r="E146" i="1"/>
  <c r="AJ145" i="1"/>
  <c r="AH145" i="1"/>
  <c r="U145" i="1"/>
  <c r="J145" i="1"/>
  <c r="E145" i="1"/>
  <c r="AJ144" i="1"/>
  <c r="AH144" i="1"/>
  <c r="U144" i="1"/>
  <c r="J144" i="1"/>
  <c r="E144" i="1"/>
  <c r="AJ143" i="1"/>
  <c r="AH143" i="1"/>
  <c r="U143" i="1"/>
  <c r="J143" i="1"/>
  <c r="E143" i="1"/>
  <c r="AJ142" i="1"/>
  <c r="AH142" i="1"/>
  <c r="U142" i="1"/>
  <c r="J142" i="1"/>
  <c r="E142" i="1"/>
  <c r="AJ141" i="1"/>
  <c r="AH141" i="1"/>
  <c r="U141" i="1"/>
  <c r="J141" i="1"/>
  <c r="E141" i="1"/>
  <c r="AJ140" i="1"/>
  <c r="AH140" i="1"/>
  <c r="U140" i="1"/>
  <c r="J140" i="1"/>
  <c r="E140" i="1"/>
  <c r="AJ139" i="1"/>
  <c r="AH139" i="1"/>
  <c r="U139" i="1"/>
  <c r="J139" i="1"/>
  <c r="E139" i="1"/>
  <c r="AJ138" i="1"/>
  <c r="AH138" i="1"/>
  <c r="U138" i="1"/>
  <c r="J138" i="1"/>
  <c r="E138" i="1"/>
  <c r="AJ137" i="1"/>
  <c r="AH137" i="1"/>
  <c r="U137" i="1"/>
  <c r="J137" i="1"/>
  <c r="E137" i="1"/>
  <c r="AJ136" i="1"/>
  <c r="AH136" i="1"/>
  <c r="U136" i="1"/>
  <c r="J136" i="1"/>
  <c r="E136" i="1"/>
  <c r="AJ135" i="1"/>
  <c r="AH135" i="1"/>
  <c r="U135" i="1"/>
  <c r="J135" i="1"/>
  <c r="E135" i="1"/>
  <c r="AJ134" i="1"/>
  <c r="AH134" i="1"/>
  <c r="U134" i="1"/>
  <c r="J134" i="1"/>
  <c r="E134" i="1"/>
  <c r="AJ133" i="1"/>
  <c r="AH133" i="1"/>
  <c r="U133" i="1"/>
  <c r="J133" i="1"/>
  <c r="E133" i="1"/>
  <c r="AJ132" i="1"/>
  <c r="AH132" i="1"/>
  <c r="U132" i="1"/>
  <c r="J132" i="1"/>
  <c r="E132" i="1"/>
  <c r="AJ131" i="1"/>
  <c r="AH131" i="1"/>
  <c r="U131" i="1"/>
  <c r="J131" i="1"/>
  <c r="E131" i="1"/>
  <c r="AJ130" i="1"/>
  <c r="AH130" i="1"/>
  <c r="U130" i="1"/>
  <c r="J130" i="1"/>
  <c r="E130" i="1"/>
  <c r="AJ129" i="1"/>
  <c r="AH129" i="1"/>
  <c r="U129" i="1"/>
  <c r="J129" i="1"/>
  <c r="E129" i="1"/>
  <c r="AJ128" i="1"/>
  <c r="AH128" i="1"/>
  <c r="U128" i="1"/>
  <c r="J128" i="1"/>
  <c r="E128" i="1"/>
  <c r="AJ127" i="1"/>
  <c r="AH127" i="1"/>
  <c r="U127" i="1"/>
  <c r="J127" i="1"/>
  <c r="E127" i="1"/>
  <c r="AJ126" i="1"/>
  <c r="AH126" i="1"/>
  <c r="U126" i="1"/>
  <c r="J126" i="1"/>
  <c r="E126" i="1"/>
  <c r="AJ125" i="1"/>
  <c r="AH125" i="1"/>
  <c r="U125" i="1"/>
  <c r="J125" i="1"/>
  <c r="E125" i="1"/>
  <c r="AJ124" i="1"/>
  <c r="AH124" i="1"/>
  <c r="U124" i="1"/>
  <c r="J124" i="1"/>
  <c r="E124" i="1"/>
  <c r="AJ123" i="1"/>
  <c r="AH123" i="1"/>
  <c r="U123" i="1"/>
  <c r="J123" i="1"/>
  <c r="E123" i="1"/>
  <c r="AJ122" i="1"/>
  <c r="AH122" i="1"/>
  <c r="U122" i="1"/>
  <c r="J122" i="1"/>
  <c r="E122" i="1"/>
  <c r="AJ121" i="1"/>
  <c r="AH121" i="1"/>
  <c r="U121" i="1"/>
  <c r="J121" i="1"/>
  <c r="E121" i="1"/>
  <c r="AJ120" i="1"/>
  <c r="AH120" i="1"/>
  <c r="U120" i="1"/>
  <c r="J120" i="1"/>
  <c r="E120" i="1"/>
  <c r="AJ119" i="1"/>
  <c r="AH119" i="1"/>
  <c r="U119" i="1"/>
  <c r="J119" i="1"/>
  <c r="E119" i="1"/>
  <c r="AJ118" i="1"/>
  <c r="AH118" i="1"/>
  <c r="U118" i="1"/>
  <c r="J118" i="1"/>
  <c r="E118" i="1"/>
  <c r="AJ117" i="1"/>
  <c r="AH117" i="1"/>
  <c r="U117" i="1"/>
  <c r="J117" i="1"/>
  <c r="E117" i="1"/>
  <c r="AJ116" i="1"/>
  <c r="AH116" i="1"/>
  <c r="U116" i="1"/>
  <c r="J116" i="1"/>
  <c r="E116" i="1"/>
  <c r="AJ115" i="1"/>
  <c r="AH115" i="1"/>
  <c r="U115" i="1"/>
  <c r="J115" i="1"/>
  <c r="E115" i="1"/>
  <c r="AJ114" i="1"/>
  <c r="AH114" i="1"/>
  <c r="U114" i="1"/>
  <c r="J114" i="1"/>
  <c r="E114" i="1"/>
  <c r="AJ113" i="1"/>
  <c r="AH113" i="1"/>
  <c r="U113" i="1"/>
  <c r="J113" i="1"/>
  <c r="E113" i="1"/>
  <c r="AJ112" i="1"/>
  <c r="AH112" i="1"/>
  <c r="U112" i="1"/>
  <c r="J112" i="1"/>
  <c r="E112" i="1"/>
  <c r="AJ111" i="1"/>
  <c r="AH111" i="1"/>
  <c r="U111" i="1"/>
  <c r="J111" i="1"/>
  <c r="E111" i="1"/>
  <c r="AJ110" i="1"/>
  <c r="AH110" i="1"/>
  <c r="U110" i="1"/>
  <c r="J110" i="1"/>
  <c r="E110" i="1"/>
  <c r="AJ109" i="1"/>
  <c r="AH109" i="1"/>
  <c r="U109" i="1"/>
  <c r="J109" i="1"/>
  <c r="E109" i="1"/>
  <c r="AJ108" i="1"/>
  <c r="AH108" i="1"/>
  <c r="U108" i="1"/>
  <c r="J108" i="1"/>
  <c r="E108" i="1"/>
  <c r="AJ107" i="1"/>
  <c r="AH107" i="1"/>
  <c r="U107" i="1"/>
  <c r="J107" i="1"/>
  <c r="E107" i="1"/>
  <c r="AJ106" i="1"/>
  <c r="AH106" i="1"/>
  <c r="U106" i="1"/>
  <c r="J106" i="1"/>
  <c r="E106" i="1"/>
  <c r="AJ105" i="1"/>
  <c r="AH105" i="1"/>
  <c r="U105" i="1"/>
  <c r="J105" i="1"/>
  <c r="E105" i="1"/>
  <c r="AJ104" i="1"/>
  <c r="AH104" i="1"/>
  <c r="U104" i="1"/>
  <c r="J104" i="1"/>
  <c r="E104" i="1"/>
  <c r="AJ103" i="1"/>
  <c r="AH103" i="1"/>
  <c r="U103" i="1"/>
  <c r="J103" i="1"/>
  <c r="E103" i="1"/>
  <c r="AJ102" i="1"/>
  <c r="AH102" i="1"/>
  <c r="U102" i="1"/>
  <c r="J102" i="1"/>
  <c r="E102" i="1"/>
  <c r="AJ101" i="1"/>
  <c r="AH101" i="1"/>
  <c r="U101" i="1"/>
  <c r="J101" i="1"/>
  <c r="E101" i="1"/>
  <c r="AJ100" i="1"/>
  <c r="AH100" i="1"/>
  <c r="U100" i="1"/>
  <c r="J100" i="1"/>
  <c r="E100" i="1"/>
  <c r="AJ99" i="1"/>
  <c r="AH99" i="1"/>
  <c r="U99" i="1"/>
  <c r="J99" i="1"/>
  <c r="E99" i="1"/>
  <c r="AJ98" i="1"/>
  <c r="AH98" i="1"/>
  <c r="U98" i="1"/>
  <c r="J98" i="1"/>
  <c r="E98" i="1"/>
  <c r="AJ97" i="1"/>
  <c r="AH97" i="1"/>
  <c r="U97" i="1"/>
  <c r="J97" i="1"/>
  <c r="E97" i="1"/>
  <c r="AJ96" i="1"/>
  <c r="AH96" i="1"/>
  <c r="U96" i="1"/>
  <c r="J96" i="1"/>
  <c r="E96" i="1"/>
  <c r="AJ95" i="1"/>
  <c r="AH95" i="1"/>
  <c r="U95" i="1"/>
  <c r="J95" i="1"/>
  <c r="E95" i="1"/>
  <c r="AJ94" i="1"/>
  <c r="AH94" i="1"/>
  <c r="U94" i="1"/>
  <c r="J94" i="1"/>
  <c r="E94" i="1"/>
  <c r="AJ93" i="1"/>
  <c r="AH93" i="1"/>
  <c r="U93" i="1"/>
  <c r="J93" i="1"/>
  <c r="E93" i="1"/>
  <c r="AJ92" i="1"/>
  <c r="AH92" i="1"/>
  <c r="U92" i="1"/>
  <c r="J92" i="1"/>
  <c r="E92" i="1"/>
  <c r="AJ91" i="1"/>
  <c r="AH91" i="1"/>
  <c r="U91" i="1"/>
  <c r="J91" i="1"/>
  <c r="E91" i="1"/>
  <c r="AJ90" i="1"/>
  <c r="AH90" i="1"/>
  <c r="U90" i="1"/>
  <c r="J90" i="1"/>
  <c r="E90" i="1"/>
  <c r="AJ89" i="1"/>
  <c r="AH89" i="1"/>
  <c r="U89" i="1"/>
  <c r="J89" i="1"/>
  <c r="E89" i="1"/>
  <c r="AJ88" i="1"/>
  <c r="AH88" i="1"/>
  <c r="U88" i="1"/>
  <c r="J88" i="1"/>
  <c r="E88" i="1"/>
  <c r="AJ87" i="1"/>
  <c r="AH87" i="1"/>
  <c r="U87" i="1"/>
  <c r="J87" i="1"/>
  <c r="E87" i="1"/>
  <c r="AJ86" i="1"/>
  <c r="AH86" i="1"/>
  <c r="U86" i="1"/>
  <c r="J86" i="1"/>
  <c r="E86" i="1"/>
  <c r="AJ85" i="1"/>
  <c r="AH85" i="1"/>
  <c r="U85" i="1"/>
  <c r="J85" i="1"/>
  <c r="E85" i="1"/>
  <c r="AJ84" i="1"/>
  <c r="AH84" i="1"/>
  <c r="U84" i="1"/>
  <c r="J84" i="1"/>
  <c r="E84" i="1"/>
  <c r="AJ83" i="1"/>
  <c r="AH83" i="1"/>
  <c r="U83" i="1"/>
  <c r="J83" i="1"/>
  <c r="E83" i="1"/>
  <c r="AJ82" i="1"/>
  <c r="AH82" i="1"/>
  <c r="U82" i="1"/>
  <c r="J82" i="1"/>
  <c r="E82" i="1"/>
  <c r="AJ81" i="1"/>
  <c r="AH81" i="1"/>
  <c r="U81" i="1"/>
  <c r="J81" i="1"/>
  <c r="E81" i="1"/>
  <c r="AJ80" i="1"/>
  <c r="AH80" i="1"/>
  <c r="U80" i="1"/>
  <c r="J80" i="1"/>
  <c r="E80" i="1"/>
  <c r="AJ79" i="1"/>
  <c r="AH79" i="1"/>
  <c r="U79" i="1"/>
  <c r="J79" i="1"/>
  <c r="E79" i="1"/>
  <c r="AJ78" i="1"/>
  <c r="AH78" i="1"/>
  <c r="U78" i="1"/>
  <c r="J78" i="1"/>
  <c r="E78" i="1"/>
  <c r="AJ77" i="1"/>
  <c r="AH77" i="1"/>
  <c r="U77" i="1"/>
  <c r="J77" i="1"/>
  <c r="E77" i="1"/>
  <c r="AJ76" i="1"/>
  <c r="AH76" i="1"/>
  <c r="U76" i="1"/>
  <c r="J76" i="1"/>
  <c r="E76" i="1"/>
  <c r="AJ75" i="1"/>
  <c r="AH75" i="1"/>
  <c r="U75" i="1"/>
  <c r="J75" i="1"/>
  <c r="E75" i="1"/>
  <c r="AJ74" i="1"/>
  <c r="AH74" i="1"/>
  <c r="U74" i="1"/>
  <c r="J74" i="1"/>
  <c r="E74" i="1"/>
  <c r="AJ73" i="1"/>
  <c r="AH73" i="1"/>
  <c r="U73" i="1"/>
  <c r="J73" i="1"/>
  <c r="E73" i="1"/>
  <c r="AJ72" i="1"/>
  <c r="AH72" i="1"/>
  <c r="U72" i="1"/>
  <c r="J72" i="1"/>
  <c r="E72" i="1"/>
  <c r="AJ71" i="1"/>
  <c r="AH71" i="1"/>
  <c r="U71" i="1"/>
  <c r="J71" i="1"/>
  <c r="E71" i="1"/>
  <c r="AJ70" i="1"/>
  <c r="AH70" i="1"/>
  <c r="U70" i="1"/>
  <c r="J70" i="1"/>
  <c r="E70" i="1"/>
  <c r="AJ69" i="1"/>
  <c r="AH69" i="1"/>
  <c r="U69" i="1"/>
  <c r="J69" i="1"/>
  <c r="E69" i="1"/>
  <c r="AJ68" i="1"/>
  <c r="AH68" i="1"/>
  <c r="U68" i="1"/>
  <c r="J68" i="1"/>
  <c r="E68" i="1"/>
  <c r="AJ67" i="1"/>
  <c r="AH67" i="1"/>
  <c r="U67" i="1"/>
  <c r="J67" i="1"/>
  <c r="E67" i="1"/>
  <c r="AJ66" i="1"/>
  <c r="AH66" i="1"/>
  <c r="U66" i="1"/>
  <c r="J66" i="1"/>
  <c r="E66" i="1"/>
  <c r="AJ65" i="1"/>
  <c r="AH65" i="1"/>
  <c r="U65" i="1"/>
  <c r="J65" i="1"/>
  <c r="E65" i="1"/>
  <c r="AJ64" i="1"/>
  <c r="AH64" i="1"/>
  <c r="U64" i="1"/>
  <c r="J64" i="1"/>
  <c r="E64" i="1"/>
  <c r="AJ63" i="1"/>
  <c r="AH63" i="1"/>
  <c r="U63" i="1"/>
  <c r="J63" i="1"/>
  <c r="E63" i="1"/>
  <c r="AJ62" i="1"/>
  <c r="AH62" i="1"/>
  <c r="U62" i="1"/>
  <c r="J62" i="1"/>
  <c r="E62" i="1"/>
  <c r="AJ61" i="1"/>
  <c r="AH61" i="1"/>
  <c r="U61" i="1"/>
  <c r="J61" i="1"/>
  <c r="E61" i="1"/>
  <c r="AJ60" i="1"/>
  <c r="AH60" i="1"/>
  <c r="U60" i="1"/>
  <c r="J60" i="1"/>
  <c r="E60" i="1"/>
  <c r="AJ59" i="1"/>
  <c r="AH59" i="1"/>
  <c r="U59" i="1"/>
  <c r="J59" i="1"/>
  <c r="E59" i="1"/>
  <c r="AJ58" i="1"/>
  <c r="AH58" i="1"/>
  <c r="U58" i="1"/>
  <c r="J58" i="1"/>
  <c r="E58" i="1"/>
  <c r="AJ57" i="1"/>
  <c r="AH57" i="1"/>
  <c r="U57" i="1"/>
  <c r="J57" i="1"/>
  <c r="E57" i="1"/>
  <c r="AJ56" i="1"/>
  <c r="AH56" i="1"/>
  <c r="U56" i="1"/>
  <c r="J56" i="1"/>
  <c r="E56" i="1"/>
  <c r="AJ55" i="1"/>
  <c r="AH55" i="1"/>
  <c r="U55" i="1"/>
  <c r="J55" i="1"/>
  <c r="E55" i="1"/>
  <c r="AJ54" i="1"/>
  <c r="AH54" i="1"/>
  <c r="U54" i="1"/>
  <c r="J54" i="1"/>
  <c r="E54" i="1"/>
  <c r="AJ53" i="1"/>
  <c r="AH53" i="1"/>
  <c r="U53" i="1"/>
  <c r="J53" i="1"/>
  <c r="E53" i="1"/>
  <c r="AJ52" i="1"/>
  <c r="AH52" i="1"/>
  <c r="U52" i="1"/>
  <c r="J52" i="1"/>
  <c r="E52" i="1"/>
  <c r="AJ51" i="1"/>
  <c r="AH51" i="1"/>
  <c r="U51" i="1"/>
  <c r="J51" i="1"/>
  <c r="E51" i="1"/>
  <c r="AJ50" i="1"/>
  <c r="AH50" i="1"/>
  <c r="U50" i="1"/>
  <c r="J50" i="1"/>
  <c r="E50" i="1"/>
  <c r="AJ49" i="1"/>
  <c r="AH49" i="1"/>
  <c r="U49" i="1"/>
  <c r="J49" i="1"/>
  <c r="E49" i="1"/>
  <c r="AJ48" i="1"/>
  <c r="AH48" i="1"/>
  <c r="U48" i="1"/>
  <c r="J48" i="1"/>
  <c r="E48" i="1"/>
  <c r="AJ47" i="1"/>
  <c r="AH47" i="1"/>
  <c r="U47" i="1"/>
  <c r="J47" i="1"/>
  <c r="E47" i="1"/>
  <c r="AJ46" i="1"/>
  <c r="AH46" i="1"/>
  <c r="U46" i="1"/>
  <c r="J46" i="1"/>
  <c r="E46" i="1"/>
  <c r="AJ45" i="1"/>
  <c r="AH45" i="1"/>
  <c r="U45" i="1"/>
  <c r="J45" i="1"/>
  <c r="E45" i="1"/>
  <c r="AJ44" i="1"/>
  <c r="AH44" i="1"/>
  <c r="U44" i="1"/>
  <c r="J44" i="1"/>
  <c r="E44" i="1"/>
  <c r="AJ43" i="1"/>
  <c r="AH43" i="1"/>
  <c r="U43" i="1"/>
  <c r="J43" i="1"/>
  <c r="E43" i="1"/>
  <c r="AJ42" i="1"/>
  <c r="AH42" i="1"/>
  <c r="U42" i="1"/>
  <c r="J42" i="1"/>
  <c r="E42" i="1"/>
  <c r="AJ41" i="1"/>
  <c r="AH41" i="1"/>
  <c r="U41" i="1"/>
  <c r="J41" i="1"/>
  <c r="E41" i="1"/>
  <c r="AJ40" i="1"/>
  <c r="AH40" i="1"/>
  <c r="U40" i="1"/>
  <c r="J40" i="1"/>
  <c r="E40" i="1"/>
  <c r="AJ39" i="1"/>
  <c r="AH39" i="1"/>
  <c r="U39" i="1"/>
  <c r="J39" i="1"/>
  <c r="E39" i="1"/>
  <c r="AJ38" i="1"/>
  <c r="AH38" i="1"/>
  <c r="U38" i="1"/>
  <c r="J38" i="1"/>
  <c r="E38" i="1"/>
  <c r="AJ37" i="1"/>
  <c r="AH37" i="1"/>
  <c r="U37" i="1"/>
  <c r="J37" i="1"/>
  <c r="E37" i="1"/>
  <c r="AJ36" i="1"/>
  <c r="AH36" i="1"/>
  <c r="U36" i="1"/>
  <c r="J36" i="1"/>
  <c r="E36" i="1"/>
  <c r="AJ35" i="1"/>
  <c r="AH35" i="1"/>
  <c r="U35" i="1"/>
  <c r="J35" i="1"/>
  <c r="E35" i="1"/>
  <c r="AJ34" i="1"/>
  <c r="AH34" i="1"/>
  <c r="U34" i="1"/>
  <c r="J34" i="1"/>
  <c r="E34" i="1"/>
  <c r="AJ33" i="1"/>
  <c r="AH33" i="1"/>
  <c r="U33" i="1"/>
  <c r="J33" i="1"/>
  <c r="E33" i="1"/>
  <c r="AJ32" i="1"/>
  <c r="AH32" i="1"/>
  <c r="U32" i="1"/>
  <c r="J32" i="1"/>
  <c r="E32" i="1"/>
  <c r="AJ31" i="1"/>
  <c r="AH31" i="1"/>
  <c r="U31" i="1"/>
  <c r="J31" i="1"/>
  <c r="E31" i="1"/>
  <c r="AJ30" i="1"/>
  <c r="AH30" i="1"/>
  <c r="U30" i="1"/>
  <c r="J30" i="1"/>
  <c r="E30" i="1"/>
  <c r="AJ29" i="1"/>
  <c r="AH29" i="1"/>
  <c r="U29" i="1"/>
  <c r="J29" i="1"/>
  <c r="E29" i="1"/>
  <c r="AJ28" i="1"/>
  <c r="AH28" i="1"/>
  <c r="U28" i="1"/>
  <c r="J28" i="1"/>
  <c r="E28" i="1"/>
  <c r="AJ27" i="1"/>
  <c r="AH27" i="1"/>
  <c r="U27" i="1"/>
  <c r="J27" i="1"/>
  <c r="E27" i="1"/>
  <c r="AJ26" i="1"/>
  <c r="AH26" i="1"/>
  <c r="U26" i="1"/>
  <c r="J26" i="1"/>
  <c r="E26" i="1"/>
  <c r="AJ25" i="1"/>
  <c r="AH25" i="1"/>
  <c r="U25" i="1"/>
  <c r="J25" i="1"/>
  <c r="E25" i="1"/>
  <c r="AJ24" i="1"/>
  <c r="AH24" i="1"/>
  <c r="U24" i="1"/>
  <c r="J24" i="1"/>
  <c r="E24" i="1"/>
  <c r="AJ23" i="1"/>
  <c r="AH23" i="1"/>
  <c r="U23" i="1"/>
  <c r="J23" i="1"/>
  <c r="E23" i="1"/>
  <c r="AJ22" i="1"/>
  <c r="AH22" i="1"/>
  <c r="U22" i="1"/>
  <c r="J22" i="1"/>
  <c r="E22" i="1"/>
  <c r="AJ21" i="1"/>
  <c r="AH21" i="1"/>
  <c r="U21" i="1"/>
  <c r="J21" i="1"/>
  <c r="E21" i="1"/>
  <c r="AJ20" i="1"/>
  <c r="AH20" i="1"/>
  <c r="U20" i="1"/>
  <c r="J20" i="1"/>
  <c r="E20" i="1"/>
  <c r="AJ19" i="1"/>
  <c r="AH19" i="1"/>
  <c r="U19" i="1"/>
  <c r="J19" i="1"/>
  <c r="E19" i="1"/>
  <c r="AJ18" i="1"/>
  <c r="AH18" i="1"/>
  <c r="U18" i="1"/>
  <c r="J18" i="1"/>
  <c r="E18" i="1"/>
  <c r="AJ17" i="1"/>
  <c r="AH17" i="1"/>
  <c r="U17" i="1"/>
  <c r="J17" i="1"/>
  <c r="E17" i="1"/>
  <c r="AJ16" i="1"/>
  <c r="AH16" i="1"/>
  <c r="U16" i="1"/>
  <c r="J16" i="1"/>
  <c r="E16" i="1"/>
  <c r="AJ15" i="1"/>
  <c r="AH15" i="1"/>
  <c r="U15" i="1"/>
  <c r="J15" i="1"/>
  <c r="E15" i="1"/>
  <c r="AJ14" i="1"/>
  <c r="AH14" i="1"/>
  <c r="U14" i="1"/>
  <c r="J14" i="1"/>
  <c r="E14" i="1"/>
  <c r="AJ13" i="1"/>
  <c r="AH13" i="1"/>
  <c r="U13" i="1"/>
  <c r="J13" i="1"/>
  <c r="E13" i="1"/>
  <c r="AJ12" i="1"/>
  <c r="AH12" i="1"/>
  <c r="U12" i="1"/>
  <c r="J12" i="1"/>
  <c r="E12" i="1"/>
  <c r="AJ11" i="1"/>
  <c r="AH11" i="1"/>
  <c r="U11" i="1"/>
  <c r="J11" i="1"/>
  <c r="E11" i="1"/>
  <c r="AJ10" i="1"/>
  <c r="AH10" i="1"/>
  <c r="U10" i="1"/>
  <c r="J10" i="1"/>
  <c r="E10" i="1"/>
  <c r="AJ9" i="1"/>
  <c r="AH9" i="1"/>
  <c r="U9" i="1"/>
  <c r="J9" i="1"/>
  <c r="E9" i="1"/>
  <c r="AJ8" i="1"/>
  <c r="AH8" i="1"/>
  <c r="U8" i="1"/>
  <c r="J8" i="1"/>
  <c r="E8" i="1"/>
  <c r="AJ7" i="1"/>
  <c r="AH7" i="1"/>
  <c r="U7" i="1"/>
  <c r="J7" i="1"/>
  <c r="E7" i="1"/>
  <c r="AJ6" i="1"/>
  <c r="AH6" i="1"/>
  <c r="U6" i="1"/>
  <c r="J6" i="1"/>
  <c r="E6" i="1"/>
  <c r="AJ5" i="1"/>
  <c r="AH5" i="1"/>
  <c r="U5" i="1"/>
  <c r="J5" i="1"/>
  <c r="E5" i="1"/>
  <c r="AJ4" i="1"/>
  <c r="AH4" i="1"/>
  <c r="U4" i="1"/>
  <c r="J4" i="1"/>
  <c r="E4" i="1"/>
  <c r="AJ3" i="1"/>
  <c r="AH3" i="1"/>
  <c r="U3" i="1"/>
  <c r="J3" i="1"/>
  <c r="E3" i="1"/>
  <c r="AJ2" i="1"/>
  <c r="AH2" i="1"/>
  <c r="U2" i="1"/>
  <c r="J2" i="1"/>
  <c r="E2" i="1"/>
  <c r="B2" i="1"/>
</calcChain>
</file>

<file path=xl/sharedStrings.xml><?xml version="1.0" encoding="utf-8"?>
<sst xmlns="http://schemas.openxmlformats.org/spreadsheetml/2006/main" count="11798" uniqueCount="65">
  <si>
    <t>Employee Number</t>
  </si>
  <si>
    <t>Gender</t>
  </si>
  <si>
    <t>Marital Status</t>
  </si>
  <si>
    <t>Age</t>
  </si>
  <si>
    <t>Age Group</t>
  </si>
  <si>
    <t>Attrition</t>
  </si>
  <si>
    <t>Business  Travel</t>
  </si>
  <si>
    <t>Department</t>
  </si>
  <si>
    <t>Distance From Home(MI)</t>
  </si>
  <si>
    <t>Distance Group</t>
  </si>
  <si>
    <t xml:space="preserve">Education  </t>
  </si>
  <si>
    <t>Education  Field</t>
  </si>
  <si>
    <t>Environment Satisfaction</t>
  </si>
  <si>
    <t>Job Involvement</t>
  </si>
  <si>
    <t>Job Level</t>
  </si>
  <si>
    <t>Job Role</t>
  </si>
  <si>
    <t>Job Satisfaction</t>
  </si>
  <si>
    <t>Daily Rate</t>
  </si>
  <si>
    <t>Hourly Rate</t>
  </si>
  <si>
    <t>Monthly Income</t>
  </si>
  <si>
    <t>Annual Income</t>
  </si>
  <si>
    <t>Monthly Rate</t>
  </si>
  <si>
    <t>Num Companies Worked</t>
  </si>
  <si>
    <t>OverTime</t>
  </si>
  <si>
    <t>Percent Salary Hike</t>
  </si>
  <si>
    <t>Performance Rating</t>
  </si>
  <si>
    <t>Relationship Satisfaction</t>
  </si>
  <si>
    <t>Stock Option Level</t>
  </si>
  <si>
    <t>Total Working Years</t>
  </si>
  <si>
    <t>Training Times Last Year</t>
  </si>
  <si>
    <t>Work Life Balance</t>
  </si>
  <si>
    <t>Years At Company</t>
  </si>
  <si>
    <t>Years In Current Role</t>
  </si>
  <si>
    <t xml:space="preserve"> Tenure Group</t>
  </si>
  <si>
    <t>Years Since Last Promotion</t>
  </si>
  <si>
    <t>Promotion Group</t>
  </si>
  <si>
    <t>Years With Current Manager</t>
  </si>
  <si>
    <t>Single</t>
  </si>
  <si>
    <t>Yes</t>
  </si>
  <si>
    <t>Travel_Rarely</t>
  </si>
  <si>
    <t>Sales</t>
  </si>
  <si>
    <t>Life Sciences</t>
  </si>
  <si>
    <t>Sales Executive</t>
  </si>
  <si>
    <t># 94</t>
  </si>
  <si>
    <t>Male</t>
  </si>
  <si>
    <t>Married</t>
  </si>
  <si>
    <t>No</t>
  </si>
  <si>
    <t>Travel_Frequently</t>
  </si>
  <si>
    <t>Research &amp; Development</t>
  </si>
  <si>
    <t>Research Scientist</t>
  </si>
  <si>
    <t>Other</t>
  </si>
  <si>
    <t>Laboratory Technician</t>
  </si>
  <si>
    <t>Female</t>
  </si>
  <si>
    <t>Medical</t>
  </si>
  <si>
    <t>Divorced</t>
  </si>
  <si>
    <t>Manufacturing Director</t>
  </si>
  <si>
    <t>Healthcare Representative</t>
  </si>
  <si>
    <t xml:space="preserve">  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</si>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</sst>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164" formatCode="&quot;$&quot;#,##0.00"/>
    <numFmt numFmtId="165" formatCode="[$₦-468]\ #,##0"/>
    <numFmt numFmtId="166" formatCode="&quot;$&quot;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3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164" fontId="2" fillId="2" borderId="0" xfId="0" applyNumberFormat="1" applyFont="1" applyFill="1" applyAlignment="1">
      <alignment horizontal="center"/>
    </xf>
    <xf numFmtId="165" fontId="2" fillId="2" borderId="0" xfId="1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9" fontId="2" fillId="2" borderId="0" xfId="2" applyNumberFormat="1" applyFont="1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165" fontId="0" fillId="0" borderId="0" xfId="1" applyNumberFormat="1" applyFont="1"/>
    <xf numFmtId="165" fontId="0" fillId="0" borderId="0" xfId="0" applyNumberFormat="1"/>
    <xf numFmtId="9" fontId="0" fillId="0" borderId="0" xfId="2" applyNumberFormat="1" applyFont="1"/>
    <xf numFmtId="0" fontId="0" fillId="4" borderId="0" xfId="0" applyFill="1"/>
  </cellXfs>
  <cellStyles count="3">
    <cellStyle name="Currency" xfId="1" builtinId="4"/>
    <cellStyle name="Normal" xfId="0" builtinId="0"/>
    <cellStyle name="Percent" xfId="2" builtinId="5"/>
  </cellStyles>
  <dxfs count="6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nal%20HR-Employee-Attrition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_Fn-UseC_-HR-Employee-Attriti"/>
      <sheetName val="Q1"/>
      <sheetName val="Q2"/>
      <sheetName val="Q3"/>
      <sheetName val="Q4"/>
      <sheetName val="Q5"/>
      <sheetName val="Q6"/>
      <sheetName val="Q7"/>
      <sheetName val="Q8"/>
      <sheetName val="Q9"/>
      <sheetName val="Q10"/>
      <sheetName val="Q11"/>
      <sheetName val="Q12"/>
      <sheetName val="Q13"/>
      <sheetName val="Q14"/>
      <sheetName val="Q15"/>
    </sheetNames>
    <sheetDataSet>
      <sheetData sheetId="0">
        <row r="1">
          <cell r="AC1" t="str">
            <v>Total Working Years</v>
          </cell>
        </row>
        <row r="2">
          <cell r="AC2">
            <v>8</v>
          </cell>
        </row>
        <row r="3">
          <cell r="AC3">
            <v>10</v>
          </cell>
        </row>
        <row r="4">
          <cell r="AC4">
            <v>7</v>
          </cell>
        </row>
        <row r="5">
          <cell r="AC5">
            <v>8</v>
          </cell>
        </row>
        <row r="6">
          <cell r="AC6">
            <v>6</v>
          </cell>
        </row>
        <row r="7">
          <cell r="AC7">
            <v>8</v>
          </cell>
        </row>
        <row r="8">
          <cell r="AC8">
            <v>12</v>
          </cell>
        </row>
        <row r="9">
          <cell r="AC9">
            <v>1</v>
          </cell>
        </row>
        <row r="10">
          <cell r="AC10">
            <v>10</v>
          </cell>
        </row>
        <row r="11">
          <cell r="AC11">
            <v>17</v>
          </cell>
        </row>
        <row r="12">
          <cell r="AC12">
            <v>6</v>
          </cell>
        </row>
        <row r="13">
          <cell r="AC13">
            <v>10</v>
          </cell>
        </row>
        <row r="14">
          <cell r="AC14">
            <v>5</v>
          </cell>
        </row>
        <row r="15">
          <cell r="AC15">
            <v>3</v>
          </cell>
        </row>
        <row r="16">
          <cell r="AC16">
            <v>6</v>
          </cell>
        </row>
        <row r="17">
          <cell r="AC17">
            <v>10</v>
          </cell>
        </row>
        <row r="18">
          <cell r="AC18">
            <v>7</v>
          </cell>
        </row>
        <row r="19">
          <cell r="AC19">
            <v>1</v>
          </cell>
        </row>
        <row r="20">
          <cell r="AC20">
            <v>31</v>
          </cell>
        </row>
        <row r="21">
          <cell r="AC21">
            <v>6</v>
          </cell>
        </row>
        <row r="22">
          <cell r="AC22">
            <v>5</v>
          </cell>
        </row>
        <row r="23">
          <cell r="AC23">
            <v>10</v>
          </cell>
        </row>
        <row r="24">
          <cell r="AC24">
            <v>13</v>
          </cell>
        </row>
        <row r="25">
          <cell r="AC25">
            <v>0</v>
          </cell>
        </row>
        <row r="26">
          <cell r="AC26">
            <v>8</v>
          </cell>
        </row>
        <row r="27">
          <cell r="AC27">
            <v>26</v>
          </cell>
        </row>
        <row r="28">
          <cell r="AC28">
            <v>10</v>
          </cell>
        </row>
        <row r="29">
          <cell r="AC29">
            <v>10</v>
          </cell>
        </row>
        <row r="30">
          <cell r="AC30">
            <v>24</v>
          </cell>
        </row>
        <row r="31">
          <cell r="AC31">
            <v>22</v>
          </cell>
        </row>
        <row r="32">
          <cell r="AC32">
            <v>7</v>
          </cell>
        </row>
        <row r="33">
          <cell r="AC33">
            <v>9</v>
          </cell>
        </row>
        <row r="34">
          <cell r="AC34">
            <v>10</v>
          </cell>
        </row>
        <row r="35">
          <cell r="AC35">
            <v>19</v>
          </cell>
        </row>
        <row r="36">
          <cell r="AC36">
            <v>6</v>
          </cell>
        </row>
        <row r="37">
          <cell r="AC37">
            <v>6</v>
          </cell>
        </row>
        <row r="38">
          <cell r="AC38">
            <v>3</v>
          </cell>
        </row>
        <row r="39">
          <cell r="AC39">
            <v>2</v>
          </cell>
        </row>
        <row r="40">
          <cell r="AC40">
            <v>6</v>
          </cell>
        </row>
        <row r="41">
          <cell r="AC41">
            <v>10</v>
          </cell>
        </row>
        <row r="42">
          <cell r="AC42">
            <v>1</v>
          </cell>
        </row>
        <row r="43">
          <cell r="AC43">
            <v>1</v>
          </cell>
        </row>
        <row r="44">
          <cell r="AC44">
            <v>1</v>
          </cell>
        </row>
        <row r="45">
          <cell r="AC45">
            <v>9</v>
          </cell>
        </row>
        <row r="46">
          <cell r="AC46">
            <v>12</v>
          </cell>
        </row>
        <row r="47">
          <cell r="AC47">
            <v>23</v>
          </cell>
        </row>
        <row r="48">
          <cell r="AC48">
            <v>10</v>
          </cell>
        </row>
        <row r="49">
          <cell r="AC49">
            <v>8</v>
          </cell>
        </row>
        <row r="50">
          <cell r="AC50">
            <v>14</v>
          </cell>
        </row>
        <row r="51">
          <cell r="AC51">
            <v>1</v>
          </cell>
        </row>
        <row r="52">
          <cell r="AC52">
            <v>23</v>
          </cell>
        </row>
        <row r="53">
          <cell r="AC53">
            <v>2</v>
          </cell>
        </row>
        <row r="54">
          <cell r="AC54">
            <v>9</v>
          </cell>
        </row>
        <row r="55">
          <cell r="AC55">
            <v>10</v>
          </cell>
        </row>
        <row r="56">
          <cell r="AC56">
            <v>5</v>
          </cell>
        </row>
        <row r="57">
          <cell r="AC57">
            <v>15</v>
          </cell>
        </row>
        <row r="58">
          <cell r="AC58">
            <v>9</v>
          </cell>
        </row>
        <row r="59">
          <cell r="AC59">
            <v>4</v>
          </cell>
        </row>
        <row r="60">
          <cell r="AC60">
            <v>10</v>
          </cell>
        </row>
        <row r="61">
          <cell r="AC61">
            <v>7</v>
          </cell>
        </row>
        <row r="62">
          <cell r="AC62">
            <v>9</v>
          </cell>
        </row>
        <row r="63">
          <cell r="AC63">
            <v>10</v>
          </cell>
        </row>
        <row r="64">
          <cell r="AC64">
            <v>29</v>
          </cell>
        </row>
        <row r="65">
          <cell r="AC65">
            <v>28</v>
          </cell>
        </row>
        <row r="66">
          <cell r="AC66">
            <v>17</v>
          </cell>
        </row>
        <row r="67">
          <cell r="AC67">
            <v>21</v>
          </cell>
        </row>
        <row r="68">
          <cell r="AC68">
            <v>6</v>
          </cell>
        </row>
        <row r="69">
          <cell r="AC69">
            <v>25</v>
          </cell>
        </row>
        <row r="70">
          <cell r="AC70">
            <v>5</v>
          </cell>
        </row>
        <row r="71">
          <cell r="AC71">
            <v>2</v>
          </cell>
        </row>
        <row r="72">
          <cell r="AC72">
            <v>20</v>
          </cell>
        </row>
        <row r="73">
          <cell r="AC73">
            <v>6</v>
          </cell>
        </row>
        <row r="74">
          <cell r="AC74">
            <v>1</v>
          </cell>
        </row>
        <row r="75">
          <cell r="AC75">
            <v>10</v>
          </cell>
        </row>
        <row r="76">
          <cell r="AC76">
            <v>5</v>
          </cell>
        </row>
        <row r="77">
          <cell r="AC77">
            <v>11</v>
          </cell>
        </row>
        <row r="78">
          <cell r="AC78">
            <v>16</v>
          </cell>
        </row>
        <row r="79">
          <cell r="AC79">
            <v>17</v>
          </cell>
        </row>
        <row r="80">
          <cell r="AC80">
            <v>16</v>
          </cell>
        </row>
        <row r="81">
          <cell r="AC81">
            <v>16</v>
          </cell>
        </row>
        <row r="82">
          <cell r="AC82">
            <v>10</v>
          </cell>
        </row>
        <row r="83">
          <cell r="AC83">
            <v>6</v>
          </cell>
        </row>
        <row r="84">
          <cell r="AC84">
            <v>24</v>
          </cell>
        </row>
        <row r="85">
          <cell r="AC85">
            <v>17</v>
          </cell>
        </row>
        <row r="86">
          <cell r="AC86">
            <v>5</v>
          </cell>
        </row>
        <row r="87">
          <cell r="AC87">
            <v>37</v>
          </cell>
        </row>
        <row r="88">
          <cell r="AC88">
            <v>3</v>
          </cell>
        </row>
        <row r="89">
          <cell r="AC89">
            <v>10</v>
          </cell>
        </row>
        <row r="90">
          <cell r="AC90">
            <v>11</v>
          </cell>
        </row>
        <row r="91">
          <cell r="AC91">
            <v>9</v>
          </cell>
        </row>
        <row r="92">
          <cell r="AC92">
            <v>22</v>
          </cell>
        </row>
        <row r="93">
          <cell r="AC93">
            <v>11</v>
          </cell>
        </row>
        <row r="94">
          <cell r="AC94">
            <v>11</v>
          </cell>
        </row>
        <row r="95">
          <cell r="AC95">
            <v>21</v>
          </cell>
        </row>
        <row r="96">
          <cell r="AC96">
            <v>12</v>
          </cell>
        </row>
        <row r="97">
          <cell r="AC97">
            <v>16</v>
          </cell>
        </row>
        <row r="98">
          <cell r="AC98">
            <v>4</v>
          </cell>
        </row>
        <row r="99">
          <cell r="AC99">
            <v>5</v>
          </cell>
        </row>
        <row r="100">
          <cell r="AC100">
            <v>38</v>
          </cell>
        </row>
        <row r="101">
          <cell r="AC101">
            <v>17</v>
          </cell>
        </row>
        <row r="102">
          <cell r="AC102">
            <v>7</v>
          </cell>
        </row>
        <row r="103">
          <cell r="AC103">
            <v>1</v>
          </cell>
        </row>
        <row r="104">
          <cell r="AC104">
            <v>1</v>
          </cell>
        </row>
        <row r="105">
          <cell r="AC105">
            <v>16</v>
          </cell>
        </row>
        <row r="106">
          <cell r="AC106">
            <v>17</v>
          </cell>
        </row>
        <row r="107">
          <cell r="AC107">
            <v>30</v>
          </cell>
        </row>
        <row r="108">
          <cell r="AC108">
            <v>28</v>
          </cell>
        </row>
        <row r="109">
          <cell r="AC109">
            <v>6</v>
          </cell>
        </row>
        <row r="110">
          <cell r="AC110">
            <v>2</v>
          </cell>
        </row>
        <row r="111">
          <cell r="AC111">
            <v>1</v>
          </cell>
        </row>
        <row r="112">
          <cell r="AC112">
            <v>23</v>
          </cell>
        </row>
        <row r="113">
          <cell r="AC113">
            <v>9</v>
          </cell>
        </row>
        <row r="114">
          <cell r="AC114">
            <v>23</v>
          </cell>
        </row>
        <row r="115">
          <cell r="AC115">
            <v>6</v>
          </cell>
        </row>
        <row r="116">
          <cell r="AC116">
            <v>12</v>
          </cell>
        </row>
        <row r="117">
          <cell r="AC117">
            <v>12</v>
          </cell>
        </row>
        <row r="118">
          <cell r="AC118">
            <v>14</v>
          </cell>
        </row>
        <row r="119">
          <cell r="AC119">
            <v>10</v>
          </cell>
        </row>
        <row r="120">
          <cell r="AC120">
            <v>7</v>
          </cell>
        </row>
        <row r="121">
          <cell r="AC121">
            <v>25</v>
          </cell>
        </row>
        <row r="122">
          <cell r="AC122">
            <v>10</v>
          </cell>
        </row>
        <row r="123">
          <cell r="AC123">
            <v>8</v>
          </cell>
        </row>
        <row r="124">
          <cell r="AC124">
            <v>7</v>
          </cell>
        </row>
        <row r="125">
          <cell r="AC125">
            <v>23</v>
          </cell>
        </row>
        <row r="126">
          <cell r="AC126">
            <v>12</v>
          </cell>
        </row>
        <row r="127">
          <cell r="AC127">
            <v>5</v>
          </cell>
        </row>
        <row r="128">
          <cell r="AC128">
            <v>40</v>
          </cell>
        </row>
        <row r="129">
          <cell r="AC129">
            <v>0</v>
          </cell>
        </row>
        <row r="130">
          <cell r="AC130">
            <v>3</v>
          </cell>
        </row>
        <row r="131">
          <cell r="AC131">
            <v>16</v>
          </cell>
        </row>
        <row r="132">
          <cell r="AC132">
            <v>18</v>
          </cell>
        </row>
        <row r="133">
          <cell r="AC133">
            <v>16</v>
          </cell>
        </row>
        <row r="134">
          <cell r="AC134">
            <v>4</v>
          </cell>
        </row>
        <row r="135">
          <cell r="AC135">
            <v>12</v>
          </cell>
        </row>
        <row r="136">
          <cell r="AC136">
            <v>8</v>
          </cell>
        </row>
        <row r="137">
          <cell r="AC137">
            <v>7</v>
          </cell>
        </row>
        <row r="138">
          <cell r="AC138">
            <v>18</v>
          </cell>
        </row>
        <row r="139">
          <cell r="AC139">
            <v>17</v>
          </cell>
        </row>
        <row r="140">
          <cell r="AC140">
            <v>6</v>
          </cell>
        </row>
        <row r="141">
          <cell r="AC141">
            <v>12</v>
          </cell>
        </row>
        <row r="142">
          <cell r="AC142">
            <v>10</v>
          </cell>
        </row>
        <row r="143">
          <cell r="AC143">
            <v>9</v>
          </cell>
        </row>
        <row r="144">
          <cell r="AC144">
            <v>19</v>
          </cell>
        </row>
        <row r="145">
          <cell r="AC145">
            <v>5</v>
          </cell>
        </row>
        <row r="146">
          <cell r="AC146">
            <v>9</v>
          </cell>
        </row>
        <row r="147">
          <cell r="AC147">
            <v>8</v>
          </cell>
        </row>
        <row r="148">
          <cell r="AC148">
            <v>6</v>
          </cell>
        </row>
        <row r="149">
          <cell r="AC149">
            <v>21</v>
          </cell>
        </row>
        <row r="150">
          <cell r="AC150">
            <v>7</v>
          </cell>
        </row>
        <row r="151">
          <cell r="AC151">
            <v>1</v>
          </cell>
        </row>
        <row r="152">
          <cell r="AC152">
            <v>20</v>
          </cell>
        </row>
        <row r="153">
          <cell r="AC153">
            <v>10</v>
          </cell>
        </row>
        <row r="154">
          <cell r="AC154">
            <v>13</v>
          </cell>
        </row>
        <row r="155">
          <cell r="AC155">
            <v>20</v>
          </cell>
        </row>
        <row r="156">
          <cell r="AC156">
            <v>9</v>
          </cell>
        </row>
        <row r="157">
          <cell r="AC157">
            <v>10</v>
          </cell>
        </row>
        <row r="158">
          <cell r="AC158">
            <v>10</v>
          </cell>
        </row>
        <row r="159">
          <cell r="AC159">
            <v>9</v>
          </cell>
        </row>
        <row r="160">
          <cell r="AC160">
            <v>15</v>
          </cell>
        </row>
        <row r="161">
          <cell r="AC161">
            <v>6</v>
          </cell>
        </row>
        <row r="162">
          <cell r="AC162">
            <v>2</v>
          </cell>
        </row>
        <row r="163">
          <cell r="AC163">
            <v>6</v>
          </cell>
        </row>
        <row r="164">
          <cell r="AC164">
            <v>5</v>
          </cell>
        </row>
        <row r="165">
          <cell r="AC165">
            <v>12</v>
          </cell>
        </row>
        <row r="166">
          <cell r="AC166">
            <v>1</v>
          </cell>
        </row>
        <row r="167">
          <cell r="AC167">
            <v>21</v>
          </cell>
        </row>
        <row r="168">
          <cell r="AC168">
            <v>13</v>
          </cell>
        </row>
        <row r="169">
          <cell r="AC169">
            <v>12</v>
          </cell>
        </row>
        <row r="170">
          <cell r="AC170">
            <v>12</v>
          </cell>
        </row>
        <row r="171">
          <cell r="AC171">
            <v>8</v>
          </cell>
        </row>
        <row r="172">
          <cell r="AC172">
            <v>6</v>
          </cell>
        </row>
        <row r="173">
          <cell r="AC173">
            <v>1</v>
          </cell>
        </row>
        <row r="174">
          <cell r="AC174">
            <v>13</v>
          </cell>
        </row>
        <row r="175">
          <cell r="AC175">
            <v>12</v>
          </cell>
        </row>
        <row r="176">
          <cell r="AC176">
            <v>9</v>
          </cell>
        </row>
        <row r="177">
          <cell r="AC177">
            <v>19</v>
          </cell>
        </row>
        <row r="178">
          <cell r="AC178">
            <v>4</v>
          </cell>
        </row>
        <row r="179">
          <cell r="AC179">
            <v>1</v>
          </cell>
        </row>
        <row r="180">
          <cell r="AC180">
            <v>24</v>
          </cell>
        </row>
        <row r="181">
          <cell r="AC181">
            <v>2</v>
          </cell>
        </row>
        <row r="182">
          <cell r="AC182">
            <v>7</v>
          </cell>
        </row>
        <row r="183">
          <cell r="AC183">
            <v>9</v>
          </cell>
        </row>
        <row r="184">
          <cell r="AC184">
            <v>4</v>
          </cell>
        </row>
        <row r="185">
          <cell r="AC185">
            <v>5</v>
          </cell>
        </row>
        <row r="186">
          <cell r="AC186">
            <v>5</v>
          </cell>
        </row>
        <row r="187">
          <cell r="AC187">
            <v>8</v>
          </cell>
        </row>
        <row r="188">
          <cell r="AC188">
            <v>21</v>
          </cell>
        </row>
        <row r="189">
          <cell r="AC189">
            <v>36</v>
          </cell>
        </row>
        <row r="190">
          <cell r="AC190">
            <v>10</v>
          </cell>
        </row>
        <row r="191">
          <cell r="AC191">
            <v>21</v>
          </cell>
        </row>
        <row r="192">
          <cell r="AC192">
            <v>34</v>
          </cell>
        </row>
        <row r="193">
          <cell r="AC193">
            <v>7</v>
          </cell>
        </row>
        <row r="194">
          <cell r="AC194">
            <v>8</v>
          </cell>
        </row>
        <row r="195">
          <cell r="AC195">
            <v>7</v>
          </cell>
        </row>
        <row r="196">
          <cell r="AC196">
            <v>22</v>
          </cell>
        </row>
        <row r="197">
          <cell r="AC197">
            <v>8</v>
          </cell>
        </row>
        <row r="198">
          <cell r="AC198">
            <v>10</v>
          </cell>
        </row>
        <row r="199">
          <cell r="AC199">
            <v>11</v>
          </cell>
        </row>
        <row r="200">
          <cell r="AC200">
            <v>14</v>
          </cell>
        </row>
        <row r="201">
          <cell r="AC201">
            <v>9</v>
          </cell>
        </row>
        <row r="202">
          <cell r="AC202">
            <v>6</v>
          </cell>
        </row>
        <row r="203">
          <cell r="AC203">
            <v>7</v>
          </cell>
        </row>
        <row r="204">
          <cell r="AC204">
            <v>5</v>
          </cell>
        </row>
        <row r="205">
          <cell r="AC205">
            <v>15</v>
          </cell>
        </row>
        <row r="206">
          <cell r="AC206">
            <v>17</v>
          </cell>
        </row>
        <row r="207">
          <cell r="AC207">
            <v>10</v>
          </cell>
        </row>
        <row r="208">
          <cell r="AC208">
            <v>4</v>
          </cell>
        </row>
        <row r="209">
          <cell r="AC209">
            <v>8</v>
          </cell>
        </row>
        <row r="210">
          <cell r="AC210">
            <v>5</v>
          </cell>
        </row>
        <row r="211">
          <cell r="AC211">
            <v>17</v>
          </cell>
        </row>
        <row r="212">
          <cell r="AC212">
            <v>14</v>
          </cell>
        </row>
        <row r="213">
          <cell r="AC213">
            <v>12</v>
          </cell>
        </row>
        <row r="214">
          <cell r="AC214">
            <v>7</v>
          </cell>
        </row>
        <row r="215">
          <cell r="AC215">
            <v>16</v>
          </cell>
        </row>
        <row r="216">
          <cell r="AC216">
            <v>8</v>
          </cell>
        </row>
        <row r="217">
          <cell r="AC217">
            <v>16</v>
          </cell>
        </row>
        <row r="218">
          <cell r="AC218">
            <v>9</v>
          </cell>
        </row>
        <row r="219">
          <cell r="AC219">
            <v>7</v>
          </cell>
        </row>
        <row r="220">
          <cell r="AC220">
            <v>23</v>
          </cell>
        </row>
        <row r="221">
          <cell r="AC221">
            <v>16</v>
          </cell>
        </row>
        <row r="222">
          <cell r="AC222">
            <v>16</v>
          </cell>
        </row>
        <row r="223">
          <cell r="AC223">
            <v>7</v>
          </cell>
        </row>
        <row r="224">
          <cell r="AC224">
            <v>10</v>
          </cell>
        </row>
        <row r="225">
          <cell r="AC225">
            <v>17</v>
          </cell>
        </row>
        <row r="226">
          <cell r="AC226">
            <v>6</v>
          </cell>
        </row>
        <row r="227">
          <cell r="AC227">
            <v>7</v>
          </cell>
        </row>
        <row r="228">
          <cell r="AC228">
            <v>13</v>
          </cell>
        </row>
        <row r="229">
          <cell r="AC229">
            <v>11</v>
          </cell>
        </row>
        <row r="230">
          <cell r="AC230">
            <v>10</v>
          </cell>
        </row>
        <row r="231">
          <cell r="AC231">
            <v>4</v>
          </cell>
        </row>
        <row r="232">
          <cell r="AC232">
            <v>6</v>
          </cell>
        </row>
        <row r="233">
          <cell r="AC233">
            <v>22</v>
          </cell>
        </row>
        <row r="234">
          <cell r="AC234">
            <v>7</v>
          </cell>
        </row>
        <row r="235">
          <cell r="AC235">
            <v>32</v>
          </cell>
        </row>
        <row r="236">
          <cell r="AC236">
            <v>8</v>
          </cell>
        </row>
        <row r="237">
          <cell r="AC237">
            <v>22</v>
          </cell>
        </row>
        <row r="238">
          <cell r="AC238">
            <v>13</v>
          </cell>
        </row>
        <row r="239">
          <cell r="AC239">
            <v>33</v>
          </cell>
        </row>
        <row r="240">
          <cell r="AC240">
            <v>6</v>
          </cell>
        </row>
        <row r="241">
          <cell r="AC241">
            <v>4</v>
          </cell>
        </row>
        <row r="242">
          <cell r="AC242">
            <v>7</v>
          </cell>
        </row>
        <row r="243">
          <cell r="AC243">
            <v>4</v>
          </cell>
        </row>
        <row r="244">
          <cell r="AC244">
            <v>17</v>
          </cell>
        </row>
        <row r="245">
          <cell r="AC245">
            <v>9</v>
          </cell>
        </row>
        <row r="246">
          <cell r="AC246">
            <v>25</v>
          </cell>
        </row>
        <row r="247">
          <cell r="AC247">
            <v>9</v>
          </cell>
        </row>
        <row r="248">
          <cell r="AC248">
            <v>2</v>
          </cell>
        </row>
        <row r="249">
          <cell r="AC249">
            <v>13</v>
          </cell>
        </row>
        <row r="250">
          <cell r="AC250">
            <v>17</v>
          </cell>
        </row>
        <row r="251">
          <cell r="AC251">
            <v>9</v>
          </cell>
        </row>
        <row r="252">
          <cell r="AC252">
            <v>17</v>
          </cell>
        </row>
        <row r="253">
          <cell r="AC253">
            <v>20</v>
          </cell>
        </row>
        <row r="254">
          <cell r="AC254">
            <v>6</v>
          </cell>
        </row>
        <row r="255">
          <cell r="AC255">
            <v>10</v>
          </cell>
        </row>
        <row r="256">
          <cell r="AC256">
            <v>10</v>
          </cell>
        </row>
        <row r="257">
          <cell r="AC257">
            <v>5</v>
          </cell>
        </row>
        <row r="258">
          <cell r="AC258">
            <v>10</v>
          </cell>
        </row>
        <row r="259">
          <cell r="AC259">
            <v>22</v>
          </cell>
        </row>
        <row r="260">
          <cell r="AC260">
            <v>1</v>
          </cell>
        </row>
        <row r="261">
          <cell r="AC261">
            <v>6</v>
          </cell>
        </row>
        <row r="262">
          <cell r="AC262">
            <v>5</v>
          </cell>
        </row>
        <row r="263">
          <cell r="AC263">
            <v>13</v>
          </cell>
        </row>
        <row r="264">
          <cell r="AC264">
            <v>9</v>
          </cell>
        </row>
        <row r="265">
          <cell r="AC265">
            <v>28</v>
          </cell>
        </row>
        <row r="266">
          <cell r="AC266">
            <v>5</v>
          </cell>
        </row>
        <row r="267">
          <cell r="AC267">
            <v>10</v>
          </cell>
        </row>
        <row r="268">
          <cell r="AC268">
            <v>10</v>
          </cell>
        </row>
        <row r="269">
          <cell r="AC269">
            <v>6</v>
          </cell>
        </row>
        <row r="270">
          <cell r="AC270">
            <v>21</v>
          </cell>
        </row>
        <row r="271">
          <cell r="AC271">
            <v>16</v>
          </cell>
        </row>
        <row r="272">
          <cell r="AC272">
            <v>37</v>
          </cell>
        </row>
        <row r="273">
          <cell r="AC273">
            <v>10</v>
          </cell>
        </row>
        <row r="274">
          <cell r="AC274">
            <v>5</v>
          </cell>
        </row>
        <row r="275">
          <cell r="AC275">
            <v>7</v>
          </cell>
        </row>
        <row r="276">
          <cell r="AC276">
            <v>3</v>
          </cell>
        </row>
        <row r="277">
          <cell r="AC277">
            <v>15</v>
          </cell>
        </row>
        <row r="278">
          <cell r="AC278">
            <v>10</v>
          </cell>
        </row>
        <row r="279">
          <cell r="AC279">
            <v>8</v>
          </cell>
        </row>
        <row r="280">
          <cell r="AC280">
            <v>6</v>
          </cell>
        </row>
        <row r="281">
          <cell r="AC281">
            <v>28</v>
          </cell>
        </row>
        <row r="282">
          <cell r="AC282">
            <v>21</v>
          </cell>
        </row>
        <row r="283">
          <cell r="AC283">
            <v>20</v>
          </cell>
        </row>
        <row r="284">
          <cell r="AC284">
            <v>10</v>
          </cell>
        </row>
        <row r="285">
          <cell r="AC285">
            <v>12</v>
          </cell>
        </row>
        <row r="286">
          <cell r="AC286">
            <v>5</v>
          </cell>
        </row>
        <row r="287">
          <cell r="AC287">
            <v>17</v>
          </cell>
        </row>
        <row r="288">
          <cell r="AC288">
            <v>19</v>
          </cell>
        </row>
        <row r="289">
          <cell r="AC289">
            <v>10</v>
          </cell>
        </row>
        <row r="290">
          <cell r="AC290">
            <v>5</v>
          </cell>
        </row>
        <row r="291">
          <cell r="AC291">
            <v>5</v>
          </cell>
        </row>
        <row r="292">
          <cell r="AC292">
            <v>22</v>
          </cell>
        </row>
        <row r="293">
          <cell r="AC293">
            <v>10</v>
          </cell>
        </row>
        <row r="294">
          <cell r="AC294">
            <v>2</v>
          </cell>
        </row>
        <row r="295">
          <cell r="AC295">
            <v>8</v>
          </cell>
        </row>
        <row r="296">
          <cell r="AC296">
            <v>4</v>
          </cell>
        </row>
        <row r="297">
          <cell r="AC297">
            <v>23</v>
          </cell>
        </row>
        <row r="298">
          <cell r="AC298">
            <v>0</v>
          </cell>
        </row>
        <row r="299">
          <cell r="AC299">
            <v>12</v>
          </cell>
        </row>
        <row r="300">
          <cell r="AC300">
            <v>4</v>
          </cell>
        </row>
        <row r="301">
          <cell r="AC301">
            <v>13</v>
          </cell>
        </row>
        <row r="302">
          <cell r="AC302">
            <v>22</v>
          </cell>
        </row>
        <row r="303">
          <cell r="AC303">
            <v>0</v>
          </cell>
        </row>
        <row r="304">
          <cell r="AC304">
            <v>9</v>
          </cell>
        </row>
        <row r="305">
          <cell r="AC305">
            <v>10</v>
          </cell>
        </row>
        <row r="306">
          <cell r="AC306">
            <v>19</v>
          </cell>
        </row>
        <row r="307">
          <cell r="AC307">
            <v>11</v>
          </cell>
        </row>
        <row r="308">
          <cell r="AC308">
            <v>13</v>
          </cell>
        </row>
        <row r="309">
          <cell r="AC309">
            <v>19</v>
          </cell>
        </row>
        <row r="310">
          <cell r="AC310">
            <v>12</v>
          </cell>
        </row>
        <row r="311">
          <cell r="AC311">
            <v>6</v>
          </cell>
        </row>
        <row r="312">
          <cell r="AC312">
            <v>9</v>
          </cell>
        </row>
        <row r="313">
          <cell r="AC313">
            <v>24</v>
          </cell>
        </row>
        <row r="314">
          <cell r="AC314">
            <v>3</v>
          </cell>
        </row>
        <row r="315">
          <cell r="AC315">
            <v>12</v>
          </cell>
        </row>
        <row r="316">
          <cell r="AC316">
            <v>21</v>
          </cell>
        </row>
        <row r="317">
          <cell r="AC317">
            <v>9</v>
          </cell>
        </row>
        <row r="318">
          <cell r="AC318">
            <v>25</v>
          </cell>
        </row>
        <row r="319">
          <cell r="AC319">
            <v>11</v>
          </cell>
        </row>
        <row r="320">
          <cell r="AC320">
            <v>4</v>
          </cell>
        </row>
        <row r="321">
          <cell r="AC321">
            <v>13</v>
          </cell>
        </row>
        <row r="322">
          <cell r="AC322">
            <v>5</v>
          </cell>
        </row>
        <row r="323">
          <cell r="AC323">
            <v>13</v>
          </cell>
        </row>
        <row r="324">
          <cell r="AC324">
            <v>10</v>
          </cell>
        </row>
        <row r="325">
          <cell r="AC325">
            <v>5</v>
          </cell>
        </row>
        <row r="326">
          <cell r="AC326">
            <v>11</v>
          </cell>
        </row>
        <row r="327">
          <cell r="AC327">
            <v>10</v>
          </cell>
        </row>
        <row r="328">
          <cell r="AC328">
            <v>21</v>
          </cell>
        </row>
        <row r="329">
          <cell r="AC329">
            <v>12</v>
          </cell>
        </row>
        <row r="330">
          <cell r="AC330">
            <v>9</v>
          </cell>
        </row>
        <row r="331">
          <cell r="AC331">
            <v>21</v>
          </cell>
        </row>
        <row r="332">
          <cell r="AC332">
            <v>9</v>
          </cell>
        </row>
        <row r="333">
          <cell r="AC333">
            <v>6</v>
          </cell>
        </row>
        <row r="334">
          <cell r="AC334">
            <v>20</v>
          </cell>
        </row>
        <row r="335">
          <cell r="AC335">
            <v>10</v>
          </cell>
        </row>
        <row r="336">
          <cell r="AC336">
            <v>12</v>
          </cell>
        </row>
        <row r="337">
          <cell r="AC337">
            <v>6</v>
          </cell>
        </row>
        <row r="338">
          <cell r="AC338">
            <v>7</v>
          </cell>
        </row>
        <row r="339">
          <cell r="AC339">
            <v>4</v>
          </cell>
        </row>
        <row r="340">
          <cell r="AC340">
            <v>10</v>
          </cell>
        </row>
        <row r="341">
          <cell r="AC341">
            <v>8</v>
          </cell>
        </row>
        <row r="342">
          <cell r="AC342">
            <v>8</v>
          </cell>
        </row>
        <row r="343">
          <cell r="AC343">
            <v>12</v>
          </cell>
        </row>
        <row r="344">
          <cell r="AC344">
            <v>11</v>
          </cell>
        </row>
        <row r="345">
          <cell r="AC345">
            <v>7</v>
          </cell>
        </row>
        <row r="346">
          <cell r="AC346">
            <v>17</v>
          </cell>
        </row>
        <row r="347">
          <cell r="AC347">
            <v>4</v>
          </cell>
        </row>
        <row r="348">
          <cell r="AC348">
            <v>8</v>
          </cell>
        </row>
        <row r="349">
          <cell r="AC349">
            <v>5</v>
          </cell>
        </row>
        <row r="350">
          <cell r="AC350">
            <v>16</v>
          </cell>
        </row>
        <row r="351">
          <cell r="AC351">
            <v>4</v>
          </cell>
        </row>
        <row r="352">
          <cell r="AC352">
            <v>4</v>
          </cell>
        </row>
        <row r="353">
          <cell r="AC353">
            <v>8</v>
          </cell>
        </row>
        <row r="354">
          <cell r="AC354">
            <v>15</v>
          </cell>
        </row>
        <row r="355">
          <cell r="AC355">
            <v>13</v>
          </cell>
        </row>
        <row r="356">
          <cell r="AC356">
            <v>4</v>
          </cell>
        </row>
        <row r="357">
          <cell r="AC357">
            <v>8</v>
          </cell>
        </row>
        <row r="358">
          <cell r="AC358">
            <v>14</v>
          </cell>
        </row>
        <row r="359">
          <cell r="AC359">
            <v>3</v>
          </cell>
        </row>
        <row r="360">
          <cell r="AC360">
            <v>7</v>
          </cell>
        </row>
        <row r="361">
          <cell r="AC361">
            <v>16</v>
          </cell>
        </row>
        <row r="362">
          <cell r="AC362">
            <v>15</v>
          </cell>
        </row>
        <row r="363">
          <cell r="AC363">
            <v>10</v>
          </cell>
        </row>
        <row r="364">
          <cell r="AC364">
            <v>3</v>
          </cell>
        </row>
        <row r="365">
          <cell r="AC365">
            <v>1</v>
          </cell>
        </row>
        <row r="366">
          <cell r="AC366">
            <v>17</v>
          </cell>
        </row>
        <row r="367">
          <cell r="AC367">
            <v>7</v>
          </cell>
        </row>
        <row r="368">
          <cell r="AC368">
            <v>8</v>
          </cell>
        </row>
        <row r="369">
          <cell r="AC369">
            <v>20</v>
          </cell>
        </row>
        <row r="370">
          <cell r="AC370">
            <v>8</v>
          </cell>
        </row>
        <row r="371">
          <cell r="AC371">
            <v>3</v>
          </cell>
        </row>
        <row r="372">
          <cell r="AC372">
            <v>1</v>
          </cell>
        </row>
        <row r="373">
          <cell r="AC373">
            <v>6</v>
          </cell>
        </row>
        <row r="374">
          <cell r="AC374">
            <v>10</v>
          </cell>
        </row>
        <row r="375">
          <cell r="AC375">
            <v>5</v>
          </cell>
        </row>
        <row r="376">
          <cell r="AC376">
            <v>7</v>
          </cell>
        </row>
        <row r="377">
          <cell r="AC377">
            <v>26</v>
          </cell>
        </row>
        <row r="378">
          <cell r="AC378">
            <v>18</v>
          </cell>
        </row>
        <row r="379">
          <cell r="AC379">
            <v>6</v>
          </cell>
        </row>
        <row r="380">
          <cell r="AC380">
            <v>9</v>
          </cell>
        </row>
        <row r="381">
          <cell r="AC381">
            <v>30</v>
          </cell>
        </row>
        <row r="382">
          <cell r="AC382">
            <v>5</v>
          </cell>
        </row>
        <row r="383">
          <cell r="AC383">
            <v>1</v>
          </cell>
        </row>
        <row r="384">
          <cell r="AC384">
            <v>7</v>
          </cell>
        </row>
        <row r="385">
          <cell r="AC385">
            <v>2</v>
          </cell>
        </row>
        <row r="386">
          <cell r="AC386">
            <v>10</v>
          </cell>
        </row>
        <row r="387">
          <cell r="AC387">
            <v>3</v>
          </cell>
        </row>
        <row r="388">
          <cell r="AC388">
            <v>18</v>
          </cell>
        </row>
        <row r="389">
          <cell r="AC389">
            <v>8</v>
          </cell>
        </row>
        <row r="390">
          <cell r="AC390">
            <v>8</v>
          </cell>
        </row>
        <row r="391">
          <cell r="AC391">
            <v>18</v>
          </cell>
        </row>
        <row r="392">
          <cell r="AC392">
            <v>25</v>
          </cell>
        </row>
        <row r="393">
          <cell r="AC393">
            <v>20</v>
          </cell>
        </row>
        <row r="394">
          <cell r="AC394">
            <v>24</v>
          </cell>
        </row>
        <row r="395">
          <cell r="AC395">
            <v>6</v>
          </cell>
        </row>
        <row r="396">
          <cell r="AC396">
            <v>13</v>
          </cell>
        </row>
        <row r="397">
          <cell r="AC397">
            <v>8</v>
          </cell>
        </row>
        <row r="398">
          <cell r="AC398">
            <v>8</v>
          </cell>
        </row>
        <row r="399">
          <cell r="AC399">
            <v>5</v>
          </cell>
        </row>
        <row r="400">
          <cell r="AC400">
            <v>15</v>
          </cell>
        </row>
        <row r="401">
          <cell r="AC401">
            <v>4</v>
          </cell>
        </row>
        <row r="402">
          <cell r="AC402">
            <v>21</v>
          </cell>
        </row>
        <row r="403">
          <cell r="AC403">
            <v>36</v>
          </cell>
        </row>
        <row r="404">
          <cell r="AC404">
            <v>6</v>
          </cell>
        </row>
        <row r="405">
          <cell r="AC405">
            <v>10</v>
          </cell>
        </row>
        <row r="406">
          <cell r="AC406">
            <v>10</v>
          </cell>
        </row>
        <row r="407">
          <cell r="AC407">
            <v>6</v>
          </cell>
        </row>
        <row r="408">
          <cell r="AC408">
            <v>28</v>
          </cell>
        </row>
        <row r="409">
          <cell r="AC409">
            <v>8</v>
          </cell>
        </row>
        <row r="410">
          <cell r="AC410">
            <v>31</v>
          </cell>
        </row>
        <row r="411">
          <cell r="AC411">
            <v>19</v>
          </cell>
        </row>
        <row r="412">
          <cell r="AC412">
            <v>11</v>
          </cell>
        </row>
        <row r="413">
          <cell r="AC413">
            <v>33</v>
          </cell>
        </row>
        <row r="414">
          <cell r="AC414">
            <v>19</v>
          </cell>
        </row>
        <row r="415">
          <cell r="AC415">
            <v>7</v>
          </cell>
        </row>
        <row r="416">
          <cell r="AC416">
            <v>6</v>
          </cell>
        </row>
        <row r="417">
          <cell r="AC417">
            <v>3</v>
          </cell>
        </row>
        <row r="418">
          <cell r="AC418">
            <v>1</v>
          </cell>
        </row>
        <row r="419">
          <cell r="AC419">
            <v>21</v>
          </cell>
        </row>
        <row r="420">
          <cell r="AC420">
            <v>3</v>
          </cell>
        </row>
        <row r="421">
          <cell r="AC421">
            <v>9</v>
          </cell>
        </row>
        <row r="422">
          <cell r="AC422">
            <v>10</v>
          </cell>
        </row>
        <row r="423">
          <cell r="AC423">
            <v>6</v>
          </cell>
        </row>
        <row r="424">
          <cell r="AC424">
            <v>1</v>
          </cell>
        </row>
        <row r="425">
          <cell r="AC425">
            <v>10</v>
          </cell>
        </row>
        <row r="426">
          <cell r="AC426">
            <v>32</v>
          </cell>
        </row>
        <row r="427">
          <cell r="AC427">
            <v>28</v>
          </cell>
        </row>
        <row r="428">
          <cell r="AC428">
            <v>12</v>
          </cell>
        </row>
        <row r="429">
          <cell r="AC429">
            <v>22</v>
          </cell>
        </row>
        <row r="430">
          <cell r="AC430">
            <v>20</v>
          </cell>
        </row>
        <row r="431">
          <cell r="AC431">
            <v>26</v>
          </cell>
        </row>
        <row r="432">
          <cell r="AC432">
            <v>6</v>
          </cell>
        </row>
        <row r="433">
          <cell r="AC433">
            <v>19</v>
          </cell>
        </row>
        <row r="434">
          <cell r="AC434">
            <v>14</v>
          </cell>
        </row>
        <row r="435">
          <cell r="AC435">
            <v>15</v>
          </cell>
        </row>
        <row r="436">
          <cell r="AC436">
            <v>13</v>
          </cell>
        </row>
        <row r="437">
          <cell r="AC437">
            <v>15</v>
          </cell>
        </row>
        <row r="438">
          <cell r="AC438">
            <v>8</v>
          </cell>
        </row>
        <row r="439">
          <cell r="AC439">
            <v>4</v>
          </cell>
        </row>
        <row r="440">
          <cell r="AC440">
            <v>10</v>
          </cell>
        </row>
        <row r="441">
          <cell r="AC441">
            <v>12</v>
          </cell>
        </row>
        <row r="442">
          <cell r="AC442">
            <v>11</v>
          </cell>
        </row>
        <row r="443">
          <cell r="AC443">
            <v>8</v>
          </cell>
        </row>
        <row r="444">
          <cell r="AC444">
            <v>10</v>
          </cell>
        </row>
        <row r="445">
          <cell r="AC445">
            <v>4</v>
          </cell>
        </row>
        <row r="446">
          <cell r="AC446">
            <v>14</v>
          </cell>
        </row>
        <row r="447">
          <cell r="AC447">
            <v>37</v>
          </cell>
        </row>
        <row r="448">
          <cell r="AC448">
            <v>16</v>
          </cell>
        </row>
        <row r="449">
          <cell r="AC449">
            <v>15</v>
          </cell>
        </row>
        <row r="450">
          <cell r="AC450">
            <v>22</v>
          </cell>
        </row>
        <row r="451">
          <cell r="AC451">
            <v>8</v>
          </cell>
        </row>
        <row r="452">
          <cell r="AC452">
            <v>10</v>
          </cell>
        </row>
        <row r="453">
          <cell r="AC453">
            <v>10</v>
          </cell>
        </row>
        <row r="454">
          <cell r="AC454">
            <v>9</v>
          </cell>
        </row>
        <row r="455">
          <cell r="AC455">
            <v>8</v>
          </cell>
        </row>
        <row r="456">
          <cell r="AC456">
            <v>8</v>
          </cell>
        </row>
        <row r="457">
          <cell r="AC457">
            <v>10</v>
          </cell>
        </row>
        <row r="458">
          <cell r="AC458">
            <v>10</v>
          </cell>
        </row>
        <row r="459">
          <cell r="AC459">
            <v>0</v>
          </cell>
        </row>
        <row r="460">
          <cell r="AC460">
            <v>20</v>
          </cell>
        </row>
        <row r="461">
          <cell r="AC461">
            <v>10</v>
          </cell>
        </row>
        <row r="462">
          <cell r="AC462">
            <v>8</v>
          </cell>
        </row>
        <row r="463">
          <cell r="AC463">
            <v>5</v>
          </cell>
        </row>
        <row r="464">
          <cell r="AC464">
            <v>10</v>
          </cell>
        </row>
        <row r="465">
          <cell r="AC465">
            <v>1</v>
          </cell>
        </row>
        <row r="466">
          <cell r="AC466">
            <v>12</v>
          </cell>
        </row>
        <row r="467">
          <cell r="AC467">
            <v>28</v>
          </cell>
        </row>
        <row r="468">
          <cell r="AC468">
            <v>22</v>
          </cell>
        </row>
        <row r="469">
          <cell r="AC469">
            <v>9</v>
          </cell>
        </row>
        <row r="470">
          <cell r="AC470">
            <v>18</v>
          </cell>
        </row>
        <row r="471">
          <cell r="AC471">
            <v>6</v>
          </cell>
        </row>
        <row r="472">
          <cell r="AC472">
            <v>3</v>
          </cell>
        </row>
        <row r="473">
          <cell r="AC473">
            <v>18</v>
          </cell>
        </row>
        <row r="474">
          <cell r="AC474">
            <v>8</v>
          </cell>
        </row>
        <row r="475">
          <cell r="AC475">
            <v>31</v>
          </cell>
        </row>
        <row r="476">
          <cell r="AC476">
            <v>6</v>
          </cell>
        </row>
        <row r="477">
          <cell r="AC477">
            <v>6</v>
          </cell>
        </row>
        <row r="478">
          <cell r="AC478">
            <v>1</v>
          </cell>
        </row>
        <row r="479">
          <cell r="AC479">
            <v>32</v>
          </cell>
        </row>
        <row r="480">
          <cell r="AC480">
            <v>7</v>
          </cell>
        </row>
        <row r="481">
          <cell r="AC481">
            <v>6</v>
          </cell>
        </row>
        <row r="482">
          <cell r="AC482">
            <v>1</v>
          </cell>
        </row>
        <row r="483">
          <cell r="AC483">
            <v>6</v>
          </cell>
        </row>
        <row r="484">
          <cell r="AC484">
            <v>9</v>
          </cell>
        </row>
        <row r="485">
          <cell r="AC485">
            <v>9</v>
          </cell>
        </row>
        <row r="486">
          <cell r="AC486">
            <v>13</v>
          </cell>
        </row>
        <row r="487">
          <cell r="AC487">
            <v>6</v>
          </cell>
        </row>
        <row r="488">
          <cell r="AC488">
            <v>17</v>
          </cell>
        </row>
        <row r="489">
          <cell r="AC489">
            <v>1</v>
          </cell>
        </row>
        <row r="490">
          <cell r="AC490">
            <v>10</v>
          </cell>
        </row>
        <row r="491">
          <cell r="AC491">
            <v>21</v>
          </cell>
        </row>
        <row r="492">
          <cell r="AC492">
            <v>8</v>
          </cell>
        </row>
        <row r="493">
          <cell r="AC493">
            <v>10</v>
          </cell>
        </row>
        <row r="494">
          <cell r="AC494">
            <v>21</v>
          </cell>
        </row>
        <row r="495">
          <cell r="AC495">
            <v>10</v>
          </cell>
        </row>
        <row r="496">
          <cell r="AC496">
            <v>8</v>
          </cell>
        </row>
        <row r="497">
          <cell r="AC497">
            <v>5</v>
          </cell>
        </row>
        <row r="498">
          <cell r="AC498">
            <v>3</v>
          </cell>
        </row>
        <row r="499">
          <cell r="AC499">
            <v>26</v>
          </cell>
        </row>
        <row r="500">
          <cell r="AC500">
            <v>3</v>
          </cell>
        </row>
        <row r="501">
          <cell r="AC501">
            <v>6</v>
          </cell>
        </row>
        <row r="502">
          <cell r="AC502">
            <v>6</v>
          </cell>
        </row>
        <row r="503">
          <cell r="AC503">
            <v>1</v>
          </cell>
        </row>
        <row r="504">
          <cell r="AC504">
            <v>18</v>
          </cell>
        </row>
        <row r="505">
          <cell r="AC505">
            <v>10</v>
          </cell>
        </row>
        <row r="506">
          <cell r="AC506">
            <v>5</v>
          </cell>
        </row>
        <row r="507">
          <cell r="AC507">
            <v>3</v>
          </cell>
        </row>
        <row r="508">
          <cell r="AC508">
            <v>10</v>
          </cell>
        </row>
        <row r="509">
          <cell r="AC509">
            <v>6</v>
          </cell>
        </row>
        <row r="510">
          <cell r="AC510">
            <v>17</v>
          </cell>
        </row>
        <row r="511">
          <cell r="AC511">
            <v>15</v>
          </cell>
        </row>
        <row r="512">
          <cell r="AC512">
            <v>16</v>
          </cell>
        </row>
        <row r="513">
          <cell r="AC513">
            <v>13</v>
          </cell>
        </row>
        <row r="514">
          <cell r="AC514">
            <v>5</v>
          </cell>
        </row>
        <row r="515">
          <cell r="AC515">
            <v>1</v>
          </cell>
        </row>
        <row r="516">
          <cell r="AC516">
            <v>10</v>
          </cell>
        </row>
        <row r="517">
          <cell r="AC517">
            <v>1</v>
          </cell>
        </row>
        <row r="518">
          <cell r="AC518">
            <v>5</v>
          </cell>
        </row>
        <row r="519">
          <cell r="AC519">
            <v>4</v>
          </cell>
        </row>
        <row r="520">
          <cell r="AC520">
            <v>8</v>
          </cell>
        </row>
        <row r="521">
          <cell r="AC521">
            <v>10</v>
          </cell>
        </row>
        <row r="522">
          <cell r="AC522">
            <v>12</v>
          </cell>
        </row>
        <row r="523">
          <cell r="AC523">
            <v>6</v>
          </cell>
        </row>
        <row r="524">
          <cell r="AC524">
            <v>4</v>
          </cell>
        </row>
        <row r="525">
          <cell r="AC525">
            <v>20</v>
          </cell>
        </row>
        <row r="526">
          <cell r="AC526">
            <v>9</v>
          </cell>
        </row>
        <row r="527">
          <cell r="AC527">
            <v>4</v>
          </cell>
        </row>
        <row r="528">
          <cell r="AC528">
            <v>20</v>
          </cell>
        </row>
        <row r="529">
          <cell r="AC529">
            <v>10</v>
          </cell>
        </row>
        <row r="530">
          <cell r="AC530">
            <v>18</v>
          </cell>
        </row>
        <row r="531">
          <cell r="AC531">
            <v>10</v>
          </cell>
        </row>
        <row r="532">
          <cell r="AC532">
            <v>9</v>
          </cell>
        </row>
        <row r="533">
          <cell r="AC533">
            <v>10</v>
          </cell>
        </row>
        <row r="534">
          <cell r="AC534">
            <v>20</v>
          </cell>
        </row>
        <row r="535">
          <cell r="AC535">
            <v>20</v>
          </cell>
        </row>
        <row r="536">
          <cell r="AC536">
            <v>32</v>
          </cell>
        </row>
        <row r="537">
          <cell r="AC537">
            <v>23</v>
          </cell>
        </row>
        <row r="538">
          <cell r="AC538">
            <v>10</v>
          </cell>
        </row>
        <row r="539">
          <cell r="AC539">
            <v>9</v>
          </cell>
        </row>
        <row r="540">
          <cell r="AC540">
            <v>22</v>
          </cell>
        </row>
        <row r="541">
          <cell r="AC541">
            <v>4</v>
          </cell>
        </row>
        <row r="542">
          <cell r="AC542">
            <v>10</v>
          </cell>
        </row>
        <row r="543">
          <cell r="AC543">
            <v>10</v>
          </cell>
        </row>
        <row r="544">
          <cell r="AC544">
            <v>10</v>
          </cell>
        </row>
        <row r="545">
          <cell r="AC545">
            <v>9</v>
          </cell>
        </row>
        <row r="546">
          <cell r="AC546">
            <v>28</v>
          </cell>
        </row>
        <row r="547">
          <cell r="AC547">
            <v>10</v>
          </cell>
        </row>
        <row r="548">
          <cell r="AC548">
            <v>1</v>
          </cell>
        </row>
        <row r="549">
          <cell r="AC549">
            <v>7</v>
          </cell>
        </row>
        <row r="550">
          <cell r="AC550">
            <v>7</v>
          </cell>
        </row>
        <row r="551">
          <cell r="AC551">
            <v>10</v>
          </cell>
        </row>
        <row r="552">
          <cell r="AC552">
            <v>5</v>
          </cell>
        </row>
        <row r="553">
          <cell r="AC553">
            <v>12</v>
          </cell>
        </row>
        <row r="554">
          <cell r="AC554">
            <v>30</v>
          </cell>
        </row>
        <row r="555">
          <cell r="AC555">
            <v>5</v>
          </cell>
        </row>
        <row r="556">
          <cell r="AC556">
            <v>9</v>
          </cell>
        </row>
        <row r="557">
          <cell r="AC557">
            <v>2</v>
          </cell>
        </row>
        <row r="558">
          <cell r="AC558">
            <v>19</v>
          </cell>
        </row>
        <row r="559">
          <cell r="AC559">
            <v>16</v>
          </cell>
        </row>
        <row r="560">
          <cell r="AC560">
            <v>10</v>
          </cell>
        </row>
        <row r="561">
          <cell r="AC561">
            <v>6</v>
          </cell>
        </row>
        <row r="562">
          <cell r="AC562">
            <v>7</v>
          </cell>
        </row>
        <row r="563">
          <cell r="AC563">
            <v>34</v>
          </cell>
        </row>
        <row r="564">
          <cell r="AC564">
            <v>10</v>
          </cell>
        </row>
        <row r="565">
          <cell r="AC565">
            <v>6</v>
          </cell>
        </row>
        <row r="566">
          <cell r="AC566">
            <v>9</v>
          </cell>
        </row>
        <row r="567">
          <cell r="AC567">
            <v>2</v>
          </cell>
        </row>
        <row r="568">
          <cell r="AC568">
            <v>8</v>
          </cell>
        </row>
        <row r="569">
          <cell r="AC569">
            <v>6</v>
          </cell>
        </row>
        <row r="570">
          <cell r="AC570">
            <v>24</v>
          </cell>
        </row>
        <row r="571">
          <cell r="AC571">
            <v>10</v>
          </cell>
        </row>
        <row r="572">
          <cell r="AC572">
            <v>5</v>
          </cell>
        </row>
        <row r="573">
          <cell r="AC573">
            <v>5</v>
          </cell>
        </row>
        <row r="574">
          <cell r="AC574">
            <v>11</v>
          </cell>
        </row>
        <row r="575">
          <cell r="AC575">
            <v>6</v>
          </cell>
        </row>
        <row r="576">
          <cell r="AC576">
            <v>10</v>
          </cell>
        </row>
        <row r="577">
          <cell r="AC577">
            <v>9</v>
          </cell>
        </row>
        <row r="578">
          <cell r="AC578">
            <v>5</v>
          </cell>
        </row>
        <row r="579">
          <cell r="AC579">
            <v>6</v>
          </cell>
        </row>
        <row r="580">
          <cell r="AC580">
            <v>17</v>
          </cell>
        </row>
        <row r="581">
          <cell r="AC581">
            <v>6</v>
          </cell>
        </row>
        <row r="582">
          <cell r="AC582">
            <v>3</v>
          </cell>
        </row>
        <row r="583">
          <cell r="AC583">
            <v>7</v>
          </cell>
        </row>
        <row r="584">
          <cell r="AC584">
            <v>8</v>
          </cell>
        </row>
        <row r="585">
          <cell r="AC585">
            <v>6</v>
          </cell>
        </row>
        <row r="586">
          <cell r="AC586">
            <v>24</v>
          </cell>
        </row>
        <row r="587">
          <cell r="AC587">
            <v>1</v>
          </cell>
        </row>
        <row r="588">
          <cell r="AC588">
            <v>1</v>
          </cell>
        </row>
        <row r="589">
          <cell r="AC589">
            <v>9</v>
          </cell>
        </row>
        <row r="590">
          <cell r="AC590">
            <v>30</v>
          </cell>
        </row>
        <row r="591">
          <cell r="AC591">
            <v>1</v>
          </cell>
        </row>
        <row r="592">
          <cell r="AC592">
            <v>14</v>
          </cell>
        </row>
        <row r="593">
          <cell r="AC593">
            <v>6</v>
          </cell>
        </row>
        <row r="594">
          <cell r="AC594">
            <v>26</v>
          </cell>
        </row>
        <row r="595">
          <cell r="AC595">
            <v>10</v>
          </cell>
        </row>
        <row r="596">
          <cell r="AC596">
            <v>10</v>
          </cell>
        </row>
        <row r="597">
          <cell r="AC597">
            <v>40</v>
          </cell>
        </row>
        <row r="598">
          <cell r="AC598">
            <v>7</v>
          </cell>
        </row>
        <row r="599">
          <cell r="AC599">
            <v>8</v>
          </cell>
        </row>
        <row r="600">
          <cell r="AC600">
            <v>5</v>
          </cell>
        </row>
        <row r="601">
          <cell r="AC601">
            <v>8</v>
          </cell>
        </row>
        <row r="602">
          <cell r="AC602">
            <v>14</v>
          </cell>
        </row>
        <row r="603">
          <cell r="AC603">
            <v>10</v>
          </cell>
        </row>
        <row r="604">
          <cell r="AC604">
            <v>12</v>
          </cell>
        </row>
        <row r="605">
          <cell r="AC605">
            <v>1</v>
          </cell>
        </row>
        <row r="606">
          <cell r="AC606">
            <v>10</v>
          </cell>
        </row>
        <row r="607">
          <cell r="AC607">
            <v>13</v>
          </cell>
        </row>
        <row r="608">
          <cell r="AC608">
            <v>6</v>
          </cell>
        </row>
        <row r="609">
          <cell r="AC609">
            <v>9</v>
          </cell>
        </row>
        <row r="610">
          <cell r="AC610">
            <v>12</v>
          </cell>
        </row>
        <row r="611">
          <cell r="AC611">
            <v>22</v>
          </cell>
        </row>
        <row r="612">
          <cell r="AC612">
            <v>9</v>
          </cell>
        </row>
        <row r="613">
          <cell r="AC613">
            <v>17</v>
          </cell>
        </row>
        <row r="614">
          <cell r="AC614">
            <v>8</v>
          </cell>
        </row>
        <row r="615">
          <cell r="AC615">
            <v>4</v>
          </cell>
        </row>
        <row r="616">
          <cell r="AC616">
            <v>8</v>
          </cell>
        </row>
        <row r="617">
          <cell r="AC617">
            <v>0</v>
          </cell>
        </row>
        <row r="618">
          <cell r="AC618">
            <v>29</v>
          </cell>
        </row>
        <row r="619">
          <cell r="AC619">
            <v>10</v>
          </cell>
        </row>
        <row r="620">
          <cell r="AC620">
            <v>6</v>
          </cell>
        </row>
        <row r="621">
          <cell r="AC621">
            <v>9</v>
          </cell>
        </row>
        <row r="622">
          <cell r="AC622">
            <v>6</v>
          </cell>
        </row>
        <row r="623">
          <cell r="AC623">
            <v>18</v>
          </cell>
        </row>
        <row r="624">
          <cell r="AC624">
            <v>8</v>
          </cell>
        </row>
        <row r="625">
          <cell r="AC625">
            <v>10</v>
          </cell>
        </row>
        <row r="626">
          <cell r="AC626">
            <v>35</v>
          </cell>
        </row>
        <row r="627">
          <cell r="AC627">
            <v>18</v>
          </cell>
        </row>
        <row r="628">
          <cell r="AC628">
            <v>9</v>
          </cell>
        </row>
        <row r="629">
          <cell r="AC629">
            <v>31</v>
          </cell>
        </row>
        <row r="630">
          <cell r="AC630">
            <v>9</v>
          </cell>
        </row>
        <row r="631">
          <cell r="AC631">
            <v>6</v>
          </cell>
        </row>
        <row r="632">
          <cell r="AC632">
            <v>4</v>
          </cell>
        </row>
        <row r="633">
          <cell r="AC633">
            <v>10</v>
          </cell>
        </row>
        <row r="634">
          <cell r="AC634">
            <v>8</v>
          </cell>
        </row>
        <row r="635">
          <cell r="AC635">
            <v>6</v>
          </cell>
        </row>
        <row r="636">
          <cell r="AC636">
            <v>5</v>
          </cell>
        </row>
        <row r="637">
          <cell r="AC637">
            <v>17</v>
          </cell>
        </row>
        <row r="638">
          <cell r="AC638">
            <v>10</v>
          </cell>
        </row>
        <row r="639">
          <cell r="AC639">
            <v>4</v>
          </cell>
        </row>
        <row r="640">
          <cell r="AC640">
            <v>5</v>
          </cell>
        </row>
        <row r="641">
          <cell r="AC641">
            <v>7</v>
          </cell>
        </row>
        <row r="642">
          <cell r="AC642">
            <v>6</v>
          </cell>
        </row>
        <row r="643">
          <cell r="AC643">
            <v>10</v>
          </cell>
        </row>
        <row r="644">
          <cell r="AC644">
            <v>3</v>
          </cell>
        </row>
        <row r="645">
          <cell r="AC645">
            <v>17</v>
          </cell>
        </row>
        <row r="646">
          <cell r="AC646">
            <v>8</v>
          </cell>
        </row>
        <row r="647">
          <cell r="AC647">
            <v>5</v>
          </cell>
        </row>
        <row r="648">
          <cell r="AC648">
            <v>28</v>
          </cell>
        </row>
        <row r="649">
          <cell r="AC649">
            <v>16</v>
          </cell>
        </row>
        <row r="650">
          <cell r="AC650">
            <v>10</v>
          </cell>
        </row>
        <row r="651">
          <cell r="AC651">
            <v>33</v>
          </cell>
        </row>
        <row r="652">
          <cell r="AC652">
            <v>12</v>
          </cell>
        </row>
        <row r="653">
          <cell r="AC653">
            <v>8</v>
          </cell>
        </row>
        <row r="654">
          <cell r="AC654">
            <v>10</v>
          </cell>
        </row>
        <row r="655">
          <cell r="AC655">
            <v>31</v>
          </cell>
        </row>
        <row r="656">
          <cell r="AC656">
            <v>13</v>
          </cell>
        </row>
        <row r="657">
          <cell r="AC657">
            <v>7</v>
          </cell>
        </row>
        <row r="658">
          <cell r="AC658">
            <v>1</v>
          </cell>
        </row>
        <row r="659">
          <cell r="AC659">
            <v>8</v>
          </cell>
        </row>
        <row r="660">
          <cell r="AC660">
            <v>8</v>
          </cell>
        </row>
        <row r="661">
          <cell r="AC661">
            <v>4</v>
          </cell>
        </row>
        <row r="662">
          <cell r="AC662">
            <v>3</v>
          </cell>
        </row>
        <row r="663">
          <cell r="AC663">
            <v>4</v>
          </cell>
        </row>
        <row r="664">
          <cell r="AC664">
            <v>2</v>
          </cell>
        </row>
        <row r="665">
          <cell r="AC665">
            <v>1</v>
          </cell>
        </row>
        <row r="666">
          <cell r="AC666">
            <v>17</v>
          </cell>
        </row>
        <row r="667">
          <cell r="AC667">
            <v>3</v>
          </cell>
        </row>
        <row r="668">
          <cell r="AC668">
            <v>4</v>
          </cell>
        </row>
        <row r="669">
          <cell r="AC669">
            <v>10</v>
          </cell>
        </row>
        <row r="670">
          <cell r="AC670">
            <v>6</v>
          </cell>
        </row>
        <row r="671">
          <cell r="AC671">
            <v>8</v>
          </cell>
        </row>
        <row r="672">
          <cell r="AC672">
            <v>1</v>
          </cell>
        </row>
        <row r="673">
          <cell r="AC673">
            <v>1</v>
          </cell>
        </row>
        <row r="674">
          <cell r="AC674">
            <v>10</v>
          </cell>
        </row>
        <row r="675">
          <cell r="AC675">
            <v>6</v>
          </cell>
        </row>
        <row r="676">
          <cell r="AC676">
            <v>24</v>
          </cell>
        </row>
        <row r="677">
          <cell r="AC677">
            <v>13</v>
          </cell>
        </row>
        <row r="678">
          <cell r="AC678">
            <v>10</v>
          </cell>
        </row>
        <row r="679">
          <cell r="AC679">
            <v>29</v>
          </cell>
        </row>
        <row r="680">
          <cell r="AC680">
            <v>13</v>
          </cell>
        </row>
        <row r="681">
          <cell r="AC681">
            <v>9</v>
          </cell>
        </row>
        <row r="682">
          <cell r="AC682">
            <v>8</v>
          </cell>
        </row>
        <row r="683">
          <cell r="AC683">
            <v>15</v>
          </cell>
        </row>
        <row r="684">
          <cell r="AC684">
            <v>5</v>
          </cell>
        </row>
        <row r="685">
          <cell r="AC685">
            <v>1</v>
          </cell>
        </row>
        <row r="686">
          <cell r="AC686">
            <v>11</v>
          </cell>
        </row>
        <row r="687">
          <cell r="AC687">
            <v>7</v>
          </cell>
        </row>
        <row r="688">
          <cell r="AC688">
            <v>20</v>
          </cell>
        </row>
        <row r="689">
          <cell r="AC689">
            <v>16</v>
          </cell>
        </row>
        <row r="690">
          <cell r="AC690">
            <v>1</v>
          </cell>
        </row>
        <row r="691">
          <cell r="AC691">
            <v>1</v>
          </cell>
        </row>
        <row r="692">
          <cell r="AC692">
            <v>10</v>
          </cell>
        </row>
        <row r="693">
          <cell r="AC693">
            <v>3</v>
          </cell>
        </row>
        <row r="694">
          <cell r="AC694">
            <v>8</v>
          </cell>
        </row>
        <row r="695">
          <cell r="AC695">
            <v>16</v>
          </cell>
        </row>
        <row r="696">
          <cell r="AC696">
            <v>6</v>
          </cell>
        </row>
        <row r="697">
          <cell r="AC697">
            <v>17</v>
          </cell>
        </row>
        <row r="698">
          <cell r="AC698">
            <v>9</v>
          </cell>
        </row>
        <row r="699">
          <cell r="AC699">
            <v>3</v>
          </cell>
        </row>
        <row r="700">
          <cell r="AC700">
            <v>5</v>
          </cell>
        </row>
        <row r="701">
          <cell r="AC701">
            <v>26</v>
          </cell>
        </row>
        <row r="702">
          <cell r="AC702">
            <v>7</v>
          </cell>
        </row>
        <row r="703">
          <cell r="AC703">
            <v>22</v>
          </cell>
        </row>
        <row r="704">
          <cell r="AC704">
            <v>10</v>
          </cell>
        </row>
        <row r="705">
          <cell r="AC705">
            <v>6</v>
          </cell>
        </row>
        <row r="706">
          <cell r="AC706">
            <v>12</v>
          </cell>
        </row>
        <row r="707">
          <cell r="AC707">
            <v>9</v>
          </cell>
        </row>
        <row r="708">
          <cell r="AC708">
            <v>22</v>
          </cell>
        </row>
        <row r="709">
          <cell r="AC709">
            <v>20</v>
          </cell>
        </row>
        <row r="710">
          <cell r="AC710">
            <v>12</v>
          </cell>
        </row>
        <row r="711">
          <cell r="AC711">
            <v>4</v>
          </cell>
        </row>
        <row r="712">
          <cell r="AC712">
            <v>10</v>
          </cell>
        </row>
        <row r="713">
          <cell r="AC713">
            <v>3</v>
          </cell>
        </row>
        <row r="714">
          <cell r="AC714">
            <v>5</v>
          </cell>
        </row>
        <row r="715">
          <cell r="AC715">
            <v>8</v>
          </cell>
        </row>
        <row r="716">
          <cell r="AC716">
            <v>32</v>
          </cell>
        </row>
        <row r="717">
          <cell r="AC717">
            <v>6</v>
          </cell>
        </row>
        <row r="718">
          <cell r="AC718">
            <v>21</v>
          </cell>
        </row>
        <row r="719">
          <cell r="AC719">
            <v>4</v>
          </cell>
        </row>
        <row r="720">
          <cell r="AC720">
            <v>9</v>
          </cell>
        </row>
        <row r="721">
          <cell r="AC721">
            <v>9</v>
          </cell>
        </row>
        <row r="722">
          <cell r="AC722">
            <v>7</v>
          </cell>
        </row>
        <row r="723">
          <cell r="AC723">
            <v>22</v>
          </cell>
        </row>
        <row r="724">
          <cell r="AC724">
            <v>3</v>
          </cell>
        </row>
        <row r="725">
          <cell r="AC725">
            <v>13</v>
          </cell>
        </row>
        <row r="726">
          <cell r="AC726">
            <v>5</v>
          </cell>
        </row>
        <row r="727">
          <cell r="AC727">
            <v>5</v>
          </cell>
        </row>
        <row r="728">
          <cell r="AC728">
            <v>4</v>
          </cell>
        </row>
        <row r="729">
          <cell r="AC729">
            <v>0</v>
          </cell>
        </row>
        <row r="730">
          <cell r="AC730">
            <v>22</v>
          </cell>
        </row>
        <row r="731">
          <cell r="AC731">
            <v>16</v>
          </cell>
        </row>
        <row r="732">
          <cell r="AC732">
            <v>9</v>
          </cell>
        </row>
        <row r="733">
          <cell r="AC733">
            <v>1</v>
          </cell>
        </row>
        <row r="734">
          <cell r="AC734">
            <v>4</v>
          </cell>
        </row>
        <row r="735">
          <cell r="AC735">
            <v>8</v>
          </cell>
        </row>
        <row r="736">
          <cell r="AC736">
            <v>4</v>
          </cell>
        </row>
        <row r="737">
          <cell r="AC737">
            <v>19</v>
          </cell>
        </row>
        <row r="738">
          <cell r="AC738">
            <v>27</v>
          </cell>
        </row>
        <row r="739">
          <cell r="AC739">
            <v>8</v>
          </cell>
        </row>
        <row r="740">
          <cell r="AC740">
            <v>21</v>
          </cell>
        </row>
        <row r="741">
          <cell r="AC741">
            <v>4</v>
          </cell>
        </row>
        <row r="742">
          <cell r="AC742">
            <v>3</v>
          </cell>
        </row>
        <row r="743">
          <cell r="AC743">
            <v>21</v>
          </cell>
        </row>
        <row r="744">
          <cell r="AC744">
            <v>8</v>
          </cell>
        </row>
        <row r="745">
          <cell r="AC745">
            <v>30</v>
          </cell>
        </row>
        <row r="746">
          <cell r="AC746">
            <v>15</v>
          </cell>
        </row>
        <row r="747">
          <cell r="AC747">
            <v>17</v>
          </cell>
        </row>
        <row r="748">
          <cell r="AC748">
            <v>21</v>
          </cell>
        </row>
        <row r="749">
          <cell r="AC749">
            <v>19</v>
          </cell>
        </row>
        <row r="750">
          <cell r="AC750">
            <v>7</v>
          </cell>
        </row>
        <row r="751">
          <cell r="AC751">
            <v>33</v>
          </cell>
        </row>
        <row r="752">
          <cell r="AC752">
            <v>23</v>
          </cell>
        </row>
        <row r="753">
          <cell r="AC753">
            <v>19</v>
          </cell>
        </row>
        <row r="754">
          <cell r="AC754">
            <v>18</v>
          </cell>
        </row>
        <row r="755">
          <cell r="AC755">
            <v>21</v>
          </cell>
        </row>
        <row r="756">
          <cell r="AC756">
            <v>3</v>
          </cell>
        </row>
        <row r="757">
          <cell r="AC757">
            <v>26</v>
          </cell>
        </row>
        <row r="758">
          <cell r="AC758">
            <v>10</v>
          </cell>
        </row>
        <row r="759">
          <cell r="AC759">
            <v>16</v>
          </cell>
        </row>
        <row r="760">
          <cell r="AC760">
            <v>14</v>
          </cell>
        </row>
        <row r="761">
          <cell r="AC761">
            <v>6</v>
          </cell>
        </row>
        <row r="762">
          <cell r="AC762">
            <v>30</v>
          </cell>
        </row>
        <row r="763">
          <cell r="AC763">
            <v>9</v>
          </cell>
        </row>
        <row r="764">
          <cell r="AC764">
            <v>6</v>
          </cell>
        </row>
        <row r="765">
          <cell r="AC765">
            <v>1</v>
          </cell>
        </row>
        <row r="766">
          <cell r="AC766">
            <v>1</v>
          </cell>
        </row>
        <row r="767">
          <cell r="AC767">
            <v>8</v>
          </cell>
        </row>
        <row r="768">
          <cell r="AC768">
            <v>29</v>
          </cell>
        </row>
        <row r="769">
          <cell r="AC769">
            <v>8</v>
          </cell>
        </row>
        <row r="770">
          <cell r="AC770">
            <v>8</v>
          </cell>
        </row>
        <row r="771">
          <cell r="AC771">
            <v>5</v>
          </cell>
        </row>
        <row r="772">
          <cell r="AC772">
            <v>23</v>
          </cell>
        </row>
        <row r="773">
          <cell r="AC773">
            <v>13</v>
          </cell>
        </row>
        <row r="774">
          <cell r="AC774">
            <v>18</v>
          </cell>
        </row>
        <row r="775">
          <cell r="AC775">
            <v>15</v>
          </cell>
        </row>
        <row r="776">
          <cell r="AC776">
            <v>31</v>
          </cell>
        </row>
        <row r="777">
          <cell r="AC777">
            <v>18</v>
          </cell>
        </row>
        <row r="778">
          <cell r="AC778">
            <v>2</v>
          </cell>
        </row>
        <row r="779">
          <cell r="AC779">
            <v>1</v>
          </cell>
        </row>
        <row r="780">
          <cell r="AC780">
            <v>19</v>
          </cell>
        </row>
        <row r="781">
          <cell r="AC781">
            <v>18</v>
          </cell>
        </row>
        <row r="782">
          <cell r="AC782">
            <v>10</v>
          </cell>
        </row>
        <row r="783">
          <cell r="AC783">
            <v>6</v>
          </cell>
        </row>
        <row r="784">
          <cell r="AC784">
            <v>7</v>
          </cell>
        </row>
        <row r="785">
          <cell r="AC785">
            <v>10</v>
          </cell>
        </row>
        <row r="786">
          <cell r="AC786">
            <v>20</v>
          </cell>
        </row>
        <row r="787">
          <cell r="AC787">
            <v>14</v>
          </cell>
        </row>
        <row r="788">
          <cell r="AC788">
            <v>3</v>
          </cell>
        </row>
        <row r="789">
          <cell r="AC789">
            <v>23</v>
          </cell>
        </row>
        <row r="790">
          <cell r="AC790">
            <v>10</v>
          </cell>
        </row>
        <row r="791">
          <cell r="AC791">
            <v>24</v>
          </cell>
        </row>
        <row r="792">
          <cell r="AC792">
            <v>9</v>
          </cell>
        </row>
        <row r="793">
          <cell r="AC793">
            <v>9</v>
          </cell>
        </row>
        <row r="794">
          <cell r="AC794">
            <v>14</v>
          </cell>
        </row>
        <row r="795">
          <cell r="AC795">
            <v>4</v>
          </cell>
        </row>
        <row r="796">
          <cell r="AC796">
            <v>7</v>
          </cell>
        </row>
        <row r="797">
          <cell r="AC797">
            <v>8</v>
          </cell>
        </row>
        <row r="798">
          <cell r="AC798">
            <v>7</v>
          </cell>
        </row>
        <row r="799">
          <cell r="AC799">
            <v>1</v>
          </cell>
        </row>
        <row r="800">
          <cell r="AC800">
            <v>5</v>
          </cell>
        </row>
        <row r="801">
          <cell r="AC801">
            <v>23</v>
          </cell>
        </row>
        <row r="802">
          <cell r="AC802">
            <v>1</v>
          </cell>
        </row>
        <row r="803">
          <cell r="AC803">
            <v>5</v>
          </cell>
        </row>
        <row r="804">
          <cell r="AC804">
            <v>4</v>
          </cell>
        </row>
        <row r="805">
          <cell r="AC805">
            <v>6</v>
          </cell>
        </row>
        <row r="806">
          <cell r="AC806">
            <v>27</v>
          </cell>
        </row>
        <row r="807">
          <cell r="AC807">
            <v>15</v>
          </cell>
        </row>
        <row r="808">
          <cell r="AC808">
            <v>18</v>
          </cell>
        </row>
        <row r="809">
          <cell r="AC809">
            <v>9</v>
          </cell>
        </row>
        <row r="810">
          <cell r="AC810">
            <v>11</v>
          </cell>
        </row>
        <row r="811">
          <cell r="AC811">
            <v>10</v>
          </cell>
        </row>
        <row r="812">
          <cell r="AC812">
            <v>23</v>
          </cell>
        </row>
        <row r="813">
          <cell r="AC813">
            <v>10</v>
          </cell>
        </row>
        <row r="814">
          <cell r="AC814">
            <v>18</v>
          </cell>
        </row>
        <row r="815">
          <cell r="AC815">
            <v>21</v>
          </cell>
        </row>
        <row r="816">
          <cell r="AC816">
            <v>21</v>
          </cell>
        </row>
        <row r="817">
          <cell r="AC817">
            <v>2</v>
          </cell>
        </row>
        <row r="818">
          <cell r="AC818">
            <v>9</v>
          </cell>
        </row>
        <row r="819">
          <cell r="AC819">
            <v>18</v>
          </cell>
        </row>
        <row r="820">
          <cell r="AC820">
            <v>3</v>
          </cell>
        </row>
        <row r="821">
          <cell r="AC821">
            <v>6</v>
          </cell>
        </row>
        <row r="822">
          <cell r="AC822">
            <v>5</v>
          </cell>
        </row>
        <row r="823">
          <cell r="AC823">
            <v>22</v>
          </cell>
        </row>
        <row r="824">
          <cell r="AC824">
            <v>5</v>
          </cell>
        </row>
        <row r="825">
          <cell r="AC825">
            <v>8</v>
          </cell>
        </row>
        <row r="826">
          <cell r="AC826">
            <v>16</v>
          </cell>
        </row>
        <row r="827">
          <cell r="AC827">
            <v>10</v>
          </cell>
        </row>
        <row r="828">
          <cell r="AC828">
            <v>7</v>
          </cell>
        </row>
        <row r="829">
          <cell r="AC829">
            <v>3</v>
          </cell>
        </row>
        <row r="830">
          <cell r="AC830">
            <v>0</v>
          </cell>
        </row>
        <row r="831">
          <cell r="AC831">
            <v>6</v>
          </cell>
        </row>
        <row r="832">
          <cell r="AC832">
            <v>6</v>
          </cell>
        </row>
        <row r="833">
          <cell r="AC833">
            <v>2</v>
          </cell>
        </row>
        <row r="834">
          <cell r="AC834">
            <v>9</v>
          </cell>
        </row>
        <row r="835">
          <cell r="AC835">
            <v>4</v>
          </cell>
        </row>
        <row r="836">
          <cell r="AC836">
            <v>6</v>
          </cell>
        </row>
        <row r="837">
          <cell r="AC837">
            <v>6</v>
          </cell>
        </row>
        <row r="838">
          <cell r="AC838">
            <v>11</v>
          </cell>
        </row>
        <row r="839">
          <cell r="AC839">
            <v>20</v>
          </cell>
        </row>
        <row r="840">
          <cell r="AC840">
            <v>22</v>
          </cell>
        </row>
        <row r="841">
          <cell r="AC841">
            <v>9</v>
          </cell>
        </row>
        <row r="842">
          <cell r="AC842">
            <v>10</v>
          </cell>
        </row>
        <row r="843">
          <cell r="AC843">
            <v>6</v>
          </cell>
        </row>
        <row r="844">
          <cell r="AC844">
            <v>1</v>
          </cell>
        </row>
        <row r="845">
          <cell r="AC845">
            <v>8</v>
          </cell>
        </row>
        <row r="846">
          <cell r="AC846">
            <v>10</v>
          </cell>
        </row>
        <row r="847">
          <cell r="AC847">
            <v>16</v>
          </cell>
        </row>
        <row r="848">
          <cell r="AC848">
            <v>15</v>
          </cell>
        </row>
        <row r="849">
          <cell r="AC849">
            <v>14</v>
          </cell>
        </row>
        <row r="850">
          <cell r="AC850">
            <v>2</v>
          </cell>
        </row>
        <row r="851">
          <cell r="AC851">
            <v>7</v>
          </cell>
        </row>
        <row r="852">
          <cell r="AC852">
            <v>1</v>
          </cell>
        </row>
        <row r="853">
          <cell r="AC853">
            <v>28</v>
          </cell>
        </row>
        <row r="854">
          <cell r="AC854">
            <v>10</v>
          </cell>
        </row>
        <row r="855">
          <cell r="AC855">
            <v>1</v>
          </cell>
        </row>
        <row r="856">
          <cell r="AC856">
            <v>7</v>
          </cell>
        </row>
        <row r="857">
          <cell r="AC857">
            <v>14</v>
          </cell>
        </row>
        <row r="858">
          <cell r="AC858">
            <v>2</v>
          </cell>
        </row>
        <row r="859">
          <cell r="AC859">
            <v>6</v>
          </cell>
        </row>
        <row r="860">
          <cell r="AC860">
            <v>26</v>
          </cell>
        </row>
        <row r="861">
          <cell r="AC861">
            <v>6</v>
          </cell>
        </row>
        <row r="862">
          <cell r="AC862">
            <v>1</v>
          </cell>
        </row>
        <row r="863">
          <cell r="AC863">
            <v>28</v>
          </cell>
        </row>
        <row r="864">
          <cell r="AC864">
            <v>6</v>
          </cell>
        </row>
        <row r="865">
          <cell r="AC865">
            <v>5</v>
          </cell>
        </row>
        <row r="866">
          <cell r="AC866">
            <v>5</v>
          </cell>
        </row>
        <row r="867">
          <cell r="AC867">
            <v>8</v>
          </cell>
        </row>
        <row r="868">
          <cell r="AC868">
            <v>5</v>
          </cell>
        </row>
        <row r="869">
          <cell r="AC869">
            <v>32</v>
          </cell>
        </row>
        <row r="870">
          <cell r="AC870">
            <v>6</v>
          </cell>
        </row>
        <row r="871">
          <cell r="AC871">
            <v>25</v>
          </cell>
        </row>
        <row r="872">
          <cell r="AC872">
            <v>15</v>
          </cell>
        </row>
        <row r="873">
          <cell r="AC873">
            <v>1</v>
          </cell>
        </row>
        <row r="874">
          <cell r="AC874">
            <v>10</v>
          </cell>
        </row>
        <row r="875">
          <cell r="AC875">
            <v>7</v>
          </cell>
        </row>
        <row r="876">
          <cell r="AC876">
            <v>10</v>
          </cell>
        </row>
        <row r="877">
          <cell r="AC877">
            <v>20</v>
          </cell>
        </row>
        <row r="878">
          <cell r="AC878">
            <v>2</v>
          </cell>
        </row>
        <row r="879">
          <cell r="AC879">
            <v>12</v>
          </cell>
        </row>
        <row r="880">
          <cell r="AC880">
            <v>10</v>
          </cell>
        </row>
        <row r="881">
          <cell r="AC881">
            <v>12</v>
          </cell>
        </row>
        <row r="882">
          <cell r="AC882">
            <v>2</v>
          </cell>
        </row>
        <row r="883">
          <cell r="AC883">
            <v>10</v>
          </cell>
        </row>
        <row r="884">
          <cell r="AC884">
            <v>17</v>
          </cell>
        </row>
        <row r="885">
          <cell r="AC885">
            <v>15</v>
          </cell>
        </row>
        <row r="886">
          <cell r="AC886">
            <v>7</v>
          </cell>
        </row>
        <row r="887">
          <cell r="AC887">
            <v>5</v>
          </cell>
        </row>
        <row r="888">
          <cell r="AC888">
            <v>12</v>
          </cell>
        </row>
        <row r="889">
          <cell r="AC889">
            <v>20</v>
          </cell>
        </row>
        <row r="890">
          <cell r="AC890">
            <v>16</v>
          </cell>
        </row>
        <row r="891">
          <cell r="AC891">
            <v>9</v>
          </cell>
        </row>
        <row r="892">
          <cell r="AC892">
            <v>33</v>
          </cell>
        </row>
        <row r="893">
          <cell r="AC893">
            <v>10</v>
          </cell>
        </row>
        <row r="894">
          <cell r="AC894">
            <v>1</v>
          </cell>
        </row>
        <row r="895">
          <cell r="AC895">
            <v>3</v>
          </cell>
        </row>
        <row r="896">
          <cell r="AC896">
            <v>36</v>
          </cell>
        </row>
        <row r="897">
          <cell r="AC897">
            <v>6</v>
          </cell>
        </row>
        <row r="898">
          <cell r="AC898">
            <v>10</v>
          </cell>
        </row>
        <row r="899">
          <cell r="AC899">
            <v>13</v>
          </cell>
        </row>
        <row r="900">
          <cell r="AC900">
            <v>25</v>
          </cell>
        </row>
        <row r="901">
          <cell r="AC901">
            <v>23</v>
          </cell>
        </row>
        <row r="902">
          <cell r="AC902">
            <v>12</v>
          </cell>
        </row>
        <row r="903">
          <cell r="AC903">
            <v>7</v>
          </cell>
        </row>
        <row r="904">
          <cell r="AC904">
            <v>5</v>
          </cell>
        </row>
        <row r="905">
          <cell r="AC905">
            <v>6</v>
          </cell>
        </row>
        <row r="906">
          <cell r="AC906">
            <v>25</v>
          </cell>
        </row>
        <row r="907">
          <cell r="AC907">
            <v>9</v>
          </cell>
        </row>
        <row r="908">
          <cell r="AC908">
            <v>2</v>
          </cell>
        </row>
        <row r="909">
          <cell r="AC909">
            <v>26</v>
          </cell>
        </row>
        <row r="910">
          <cell r="AC910">
            <v>10</v>
          </cell>
        </row>
        <row r="911">
          <cell r="AC911">
            <v>1</v>
          </cell>
        </row>
        <row r="912">
          <cell r="AC912">
            <v>1</v>
          </cell>
        </row>
        <row r="913">
          <cell r="AC913">
            <v>1</v>
          </cell>
        </row>
        <row r="914">
          <cell r="AC914">
            <v>8</v>
          </cell>
        </row>
        <row r="915">
          <cell r="AC915">
            <v>26</v>
          </cell>
        </row>
        <row r="916">
          <cell r="AC916">
            <v>34</v>
          </cell>
        </row>
        <row r="917">
          <cell r="AC917">
            <v>2</v>
          </cell>
        </row>
        <row r="918">
          <cell r="AC918">
            <v>26</v>
          </cell>
        </row>
        <row r="919">
          <cell r="AC919">
            <v>4</v>
          </cell>
        </row>
        <row r="920">
          <cell r="AC920">
            <v>31</v>
          </cell>
        </row>
        <row r="921">
          <cell r="AC921">
            <v>25</v>
          </cell>
        </row>
        <row r="922">
          <cell r="AC922">
            <v>15</v>
          </cell>
        </row>
        <row r="923">
          <cell r="AC923">
            <v>5</v>
          </cell>
        </row>
        <row r="924">
          <cell r="AC924">
            <v>26</v>
          </cell>
        </row>
        <row r="925">
          <cell r="AC925">
            <v>14</v>
          </cell>
        </row>
        <row r="926">
          <cell r="AC926">
            <v>4</v>
          </cell>
        </row>
        <row r="927">
          <cell r="AC927">
            <v>18</v>
          </cell>
        </row>
        <row r="928">
          <cell r="AC928">
            <v>23</v>
          </cell>
        </row>
        <row r="929">
          <cell r="AC929">
            <v>18</v>
          </cell>
        </row>
        <row r="930">
          <cell r="AC930">
            <v>10</v>
          </cell>
        </row>
        <row r="931">
          <cell r="AC931">
            <v>2</v>
          </cell>
        </row>
        <row r="932">
          <cell r="AC932">
            <v>8</v>
          </cell>
        </row>
        <row r="933">
          <cell r="AC933">
            <v>10</v>
          </cell>
        </row>
        <row r="934">
          <cell r="AC934">
            <v>10</v>
          </cell>
        </row>
        <row r="935">
          <cell r="AC935">
            <v>5</v>
          </cell>
        </row>
        <row r="936">
          <cell r="AC936">
            <v>2</v>
          </cell>
        </row>
        <row r="937">
          <cell r="AC937">
            <v>10</v>
          </cell>
        </row>
        <row r="938">
          <cell r="AC938">
            <v>22</v>
          </cell>
        </row>
        <row r="939">
          <cell r="AC939">
            <v>21</v>
          </cell>
        </row>
        <row r="940">
          <cell r="AC940">
            <v>2</v>
          </cell>
        </row>
        <row r="941">
          <cell r="AC941">
            <v>10</v>
          </cell>
        </row>
        <row r="942">
          <cell r="AC942">
            <v>6</v>
          </cell>
        </row>
        <row r="943">
          <cell r="AC943">
            <v>10</v>
          </cell>
        </row>
        <row r="944">
          <cell r="AC944">
            <v>10</v>
          </cell>
        </row>
        <row r="945">
          <cell r="AC945">
            <v>10</v>
          </cell>
        </row>
        <row r="946">
          <cell r="AC946">
            <v>10</v>
          </cell>
        </row>
        <row r="947">
          <cell r="AC947">
            <v>25</v>
          </cell>
        </row>
        <row r="948">
          <cell r="AC948">
            <v>9</v>
          </cell>
        </row>
        <row r="949">
          <cell r="AC949">
            <v>10</v>
          </cell>
        </row>
        <row r="950">
          <cell r="AC950">
            <v>9</v>
          </cell>
        </row>
        <row r="951">
          <cell r="AC951">
            <v>9</v>
          </cell>
        </row>
        <row r="952">
          <cell r="AC952">
            <v>10</v>
          </cell>
        </row>
        <row r="953">
          <cell r="AC953">
            <v>19</v>
          </cell>
        </row>
        <row r="954">
          <cell r="AC954">
            <v>3</v>
          </cell>
        </row>
        <row r="955">
          <cell r="AC955">
            <v>10</v>
          </cell>
        </row>
        <row r="956">
          <cell r="AC956">
            <v>21</v>
          </cell>
        </row>
        <row r="957">
          <cell r="AC957">
            <v>23</v>
          </cell>
        </row>
        <row r="958">
          <cell r="AC958">
            <v>36</v>
          </cell>
        </row>
        <row r="959">
          <cell r="AC959">
            <v>6</v>
          </cell>
        </row>
        <row r="960">
          <cell r="AC960">
            <v>10</v>
          </cell>
        </row>
        <row r="961">
          <cell r="AC961">
            <v>9</v>
          </cell>
        </row>
        <row r="962">
          <cell r="AC962">
            <v>10</v>
          </cell>
        </row>
        <row r="963">
          <cell r="AC963">
            <v>9</v>
          </cell>
        </row>
        <row r="964">
          <cell r="AC964">
            <v>33</v>
          </cell>
        </row>
        <row r="965">
          <cell r="AC965">
            <v>11</v>
          </cell>
        </row>
        <row r="966">
          <cell r="AC966">
            <v>10</v>
          </cell>
        </row>
        <row r="967">
          <cell r="AC967">
            <v>7</v>
          </cell>
        </row>
        <row r="968">
          <cell r="AC968">
            <v>31</v>
          </cell>
        </row>
        <row r="969">
          <cell r="AC969">
            <v>7</v>
          </cell>
        </row>
        <row r="970">
          <cell r="AC970">
            <v>17</v>
          </cell>
        </row>
        <row r="971">
          <cell r="AC971">
            <v>11</v>
          </cell>
        </row>
        <row r="972">
          <cell r="AC972">
            <v>5</v>
          </cell>
        </row>
        <row r="973">
          <cell r="AC973">
            <v>29</v>
          </cell>
        </row>
        <row r="974">
          <cell r="AC974">
            <v>0</v>
          </cell>
        </row>
        <row r="975">
          <cell r="AC975">
            <v>10</v>
          </cell>
        </row>
        <row r="976">
          <cell r="AC976">
            <v>8</v>
          </cell>
        </row>
        <row r="977">
          <cell r="AC977">
            <v>24</v>
          </cell>
        </row>
        <row r="978">
          <cell r="AC978">
            <v>33</v>
          </cell>
        </row>
        <row r="979">
          <cell r="AC979">
            <v>5</v>
          </cell>
        </row>
        <row r="980">
          <cell r="AC980">
            <v>15</v>
          </cell>
        </row>
        <row r="981">
          <cell r="AC981">
            <v>10</v>
          </cell>
        </row>
        <row r="982">
          <cell r="AC982">
            <v>3</v>
          </cell>
        </row>
        <row r="983">
          <cell r="AC983">
            <v>5</v>
          </cell>
        </row>
        <row r="984">
          <cell r="AC984">
            <v>4</v>
          </cell>
        </row>
        <row r="985">
          <cell r="AC985">
            <v>14</v>
          </cell>
        </row>
        <row r="986">
          <cell r="AC986">
            <v>5</v>
          </cell>
        </row>
        <row r="987">
          <cell r="AC987">
            <v>10</v>
          </cell>
        </row>
        <row r="988">
          <cell r="AC988">
            <v>8</v>
          </cell>
        </row>
        <row r="989">
          <cell r="AC989">
            <v>14</v>
          </cell>
        </row>
        <row r="990">
          <cell r="AC990">
            <v>12</v>
          </cell>
        </row>
        <row r="991">
          <cell r="AC991">
            <v>8</v>
          </cell>
        </row>
        <row r="992">
          <cell r="AC992">
            <v>8</v>
          </cell>
        </row>
        <row r="993">
          <cell r="AC993">
            <v>4</v>
          </cell>
        </row>
        <row r="994">
          <cell r="AC994">
            <v>13</v>
          </cell>
        </row>
        <row r="995">
          <cell r="AC995">
            <v>6</v>
          </cell>
        </row>
        <row r="996">
          <cell r="AC996">
            <v>24</v>
          </cell>
        </row>
        <row r="997">
          <cell r="AC997">
            <v>20</v>
          </cell>
        </row>
        <row r="998">
          <cell r="AC998">
            <v>6</v>
          </cell>
        </row>
        <row r="999">
          <cell r="AC999">
            <v>8</v>
          </cell>
        </row>
        <row r="1000">
          <cell r="AC1000">
            <v>5</v>
          </cell>
        </row>
        <row r="1001">
          <cell r="AC1001">
            <v>21</v>
          </cell>
        </row>
        <row r="1002">
          <cell r="AC1002">
            <v>12</v>
          </cell>
        </row>
        <row r="1003">
          <cell r="AC1003">
            <v>8</v>
          </cell>
        </row>
        <row r="1004">
          <cell r="AC1004">
            <v>10</v>
          </cell>
        </row>
        <row r="1005">
          <cell r="AC1005">
            <v>7</v>
          </cell>
        </row>
        <row r="1006">
          <cell r="AC1006">
            <v>8</v>
          </cell>
        </row>
        <row r="1007">
          <cell r="AC1007">
            <v>10</v>
          </cell>
        </row>
        <row r="1008">
          <cell r="AC1008">
            <v>20</v>
          </cell>
        </row>
        <row r="1009">
          <cell r="AC1009">
            <v>9</v>
          </cell>
        </row>
        <row r="1010">
          <cell r="AC1010">
            <v>29</v>
          </cell>
        </row>
        <row r="1011">
          <cell r="AC1011">
            <v>32</v>
          </cell>
        </row>
        <row r="1012">
          <cell r="AC1012">
            <v>31</v>
          </cell>
        </row>
        <row r="1013">
          <cell r="AC1013">
            <v>15</v>
          </cell>
        </row>
        <row r="1014">
          <cell r="AC1014">
            <v>1</v>
          </cell>
        </row>
        <row r="1015">
          <cell r="AC1015">
            <v>8</v>
          </cell>
        </row>
        <row r="1016">
          <cell r="AC1016">
            <v>9</v>
          </cell>
        </row>
        <row r="1017">
          <cell r="AC1017">
            <v>10</v>
          </cell>
        </row>
        <row r="1018">
          <cell r="AC1018">
            <v>1</v>
          </cell>
        </row>
        <row r="1019">
          <cell r="AC1019">
            <v>6</v>
          </cell>
        </row>
        <row r="1020">
          <cell r="AC1020">
            <v>10</v>
          </cell>
        </row>
        <row r="1021">
          <cell r="AC1021">
            <v>11</v>
          </cell>
        </row>
        <row r="1022">
          <cell r="AC1022">
            <v>17</v>
          </cell>
        </row>
        <row r="1023">
          <cell r="AC1023">
            <v>6</v>
          </cell>
        </row>
        <row r="1024">
          <cell r="AC1024">
            <v>7</v>
          </cell>
        </row>
        <row r="1025">
          <cell r="AC1025">
            <v>5</v>
          </cell>
        </row>
        <row r="1026">
          <cell r="AC1026">
            <v>26</v>
          </cell>
        </row>
        <row r="1027">
          <cell r="AC1027">
            <v>5</v>
          </cell>
        </row>
        <row r="1028">
          <cell r="AC1028">
            <v>7</v>
          </cell>
        </row>
        <row r="1029">
          <cell r="AC1029">
            <v>7</v>
          </cell>
        </row>
        <row r="1030">
          <cell r="AC1030">
            <v>7</v>
          </cell>
        </row>
        <row r="1031">
          <cell r="AC1031">
            <v>11</v>
          </cell>
        </row>
        <row r="1032">
          <cell r="AC1032">
            <v>13</v>
          </cell>
        </row>
        <row r="1033">
          <cell r="AC1033">
            <v>28</v>
          </cell>
        </row>
        <row r="1034">
          <cell r="AC1034">
            <v>11</v>
          </cell>
        </row>
        <row r="1035">
          <cell r="AC1035">
            <v>10</v>
          </cell>
        </row>
        <row r="1036">
          <cell r="AC1036">
            <v>24</v>
          </cell>
        </row>
        <row r="1037">
          <cell r="AC1037">
            <v>8</v>
          </cell>
        </row>
        <row r="1038">
          <cell r="AC1038">
            <v>7</v>
          </cell>
        </row>
        <row r="1039">
          <cell r="AC1039">
            <v>10</v>
          </cell>
        </row>
        <row r="1040">
          <cell r="AC1040">
            <v>15</v>
          </cell>
        </row>
        <row r="1041">
          <cell r="AC1041">
            <v>2</v>
          </cell>
        </row>
        <row r="1042">
          <cell r="AC1042">
            <v>16</v>
          </cell>
        </row>
        <row r="1043">
          <cell r="AC1043">
            <v>6</v>
          </cell>
        </row>
        <row r="1044">
          <cell r="AC1044">
            <v>7</v>
          </cell>
        </row>
        <row r="1045">
          <cell r="AC1045">
            <v>35</v>
          </cell>
        </row>
        <row r="1046">
          <cell r="AC1046">
            <v>20</v>
          </cell>
        </row>
        <row r="1047">
          <cell r="AC1047">
            <v>8</v>
          </cell>
        </row>
        <row r="1048">
          <cell r="AC1048">
            <v>6</v>
          </cell>
        </row>
        <row r="1049">
          <cell r="AC1049">
            <v>5</v>
          </cell>
        </row>
        <row r="1050">
          <cell r="AC1050">
            <v>15</v>
          </cell>
        </row>
        <row r="1051">
          <cell r="AC1051">
            <v>4</v>
          </cell>
        </row>
        <row r="1052">
          <cell r="AC1052">
            <v>12</v>
          </cell>
        </row>
        <row r="1053">
          <cell r="AC1053">
            <v>11</v>
          </cell>
        </row>
        <row r="1054">
          <cell r="AC1054">
            <v>1</v>
          </cell>
        </row>
        <row r="1055">
          <cell r="AC1055">
            <v>13</v>
          </cell>
        </row>
        <row r="1056">
          <cell r="AC1056">
            <v>29</v>
          </cell>
        </row>
        <row r="1057">
          <cell r="AC1057">
            <v>16</v>
          </cell>
        </row>
        <row r="1058">
          <cell r="AC1058">
            <v>5</v>
          </cell>
        </row>
        <row r="1059">
          <cell r="AC1059">
            <v>7</v>
          </cell>
        </row>
        <row r="1060">
          <cell r="AC1060">
            <v>16</v>
          </cell>
        </row>
        <row r="1061">
          <cell r="AC1061">
            <v>1</v>
          </cell>
        </row>
        <row r="1062">
          <cell r="AC1062">
            <v>4</v>
          </cell>
        </row>
        <row r="1063">
          <cell r="AC1063">
            <v>1</v>
          </cell>
        </row>
        <row r="1064">
          <cell r="AC1064">
            <v>16</v>
          </cell>
        </row>
        <row r="1065">
          <cell r="AC1065">
            <v>10</v>
          </cell>
        </row>
        <row r="1066">
          <cell r="AC1066">
            <v>6</v>
          </cell>
        </row>
        <row r="1067">
          <cell r="AC1067">
            <v>4</v>
          </cell>
        </row>
        <row r="1068">
          <cell r="AC1068">
            <v>8</v>
          </cell>
        </row>
        <row r="1069">
          <cell r="AC1069">
            <v>11</v>
          </cell>
        </row>
        <row r="1070">
          <cell r="AC1070">
            <v>8</v>
          </cell>
        </row>
        <row r="1071">
          <cell r="AC1071">
            <v>1</v>
          </cell>
        </row>
        <row r="1072">
          <cell r="AC1072">
            <v>5</v>
          </cell>
        </row>
        <row r="1073">
          <cell r="AC1073">
            <v>10</v>
          </cell>
        </row>
        <row r="1074">
          <cell r="AC1074">
            <v>4</v>
          </cell>
        </row>
        <row r="1075">
          <cell r="AC1075">
            <v>8</v>
          </cell>
        </row>
        <row r="1076">
          <cell r="AC1076">
            <v>14</v>
          </cell>
        </row>
        <row r="1077">
          <cell r="AC1077">
            <v>10</v>
          </cell>
        </row>
        <row r="1078">
          <cell r="AC1078">
            <v>26</v>
          </cell>
        </row>
        <row r="1079">
          <cell r="AC1079">
            <v>11</v>
          </cell>
        </row>
        <row r="1080">
          <cell r="AC1080">
            <v>24</v>
          </cell>
        </row>
        <row r="1081">
          <cell r="AC1081">
            <v>9</v>
          </cell>
        </row>
        <row r="1082">
          <cell r="AC1082">
            <v>23</v>
          </cell>
        </row>
        <row r="1083">
          <cell r="AC1083">
            <v>11</v>
          </cell>
        </row>
        <row r="1084">
          <cell r="AC1084">
            <v>5</v>
          </cell>
        </row>
        <row r="1085">
          <cell r="AC1085">
            <v>15</v>
          </cell>
        </row>
        <row r="1086">
          <cell r="AC1086">
            <v>10</v>
          </cell>
        </row>
        <row r="1087">
          <cell r="AC1087">
            <v>7</v>
          </cell>
        </row>
        <row r="1088">
          <cell r="AC1088">
            <v>32</v>
          </cell>
        </row>
        <row r="1089">
          <cell r="AC1089">
            <v>12</v>
          </cell>
        </row>
        <row r="1090">
          <cell r="AC1090">
            <v>4</v>
          </cell>
        </row>
        <row r="1091">
          <cell r="AC1091">
            <v>10</v>
          </cell>
        </row>
        <row r="1092">
          <cell r="AC1092">
            <v>9</v>
          </cell>
        </row>
        <row r="1093">
          <cell r="AC1093">
            <v>5</v>
          </cell>
        </row>
        <row r="1094">
          <cell r="AC1094">
            <v>8</v>
          </cell>
        </row>
        <row r="1095">
          <cell r="AC1095">
            <v>24</v>
          </cell>
        </row>
        <row r="1096">
          <cell r="AC1096">
            <v>9</v>
          </cell>
        </row>
        <row r="1097">
          <cell r="AC1097">
            <v>15</v>
          </cell>
        </row>
        <row r="1098">
          <cell r="AC1098">
            <v>21</v>
          </cell>
        </row>
        <row r="1099">
          <cell r="AC1099">
            <v>2</v>
          </cell>
        </row>
        <row r="1100">
          <cell r="AC1100">
            <v>8</v>
          </cell>
        </row>
        <row r="1101">
          <cell r="AC1101">
            <v>10</v>
          </cell>
        </row>
        <row r="1102">
          <cell r="AC1102">
            <v>6</v>
          </cell>
        </row>
        <row r="1103">
          <cell r="AC1103">
            <v>12</v>
          </cell>
        </row>
        <row r="1104">
          <cell r="AC1104">
            <v>7</v>
          </cell>
        </row>
        <row r="1105">
          <cell r="AC1105">
            <v>18</v>
          </cell>
        </row>
        <row r="1106">
          <cell r="AC1106">
            <v>5</v>
          </cell>
        </row>
        <row r="1107">
          <cell r="AC1107">
            <v>8</v>
          </cell>
        </row>
        <row r="1108">
          <cell r="AC1108">
            <v>10</v>
          </cell>
        </row>
        <row r="1109">
          <cell r="AC1109">
            <v>10</v>
          </cell>
        </row>
        <row r="1110">
          <cell r="AC1110">
            <v>3</v>
          </cell>
        </row>
        <row r="1111">
          <cell r="AC1111">
            <v>9</v>
          </cell>
        </row>
        <row r="1112">
          <cell r="AC1112">
            <v>1</v>
          </cell>
        </row>
        <row r="1113">
          <cell r="AC1113">
            <v>34</v>
          </cell>
        </row>
        <row r="1114">
          <cell r="AC1114">
            <v>7</v>
          </cell>
        </row>
        <row r="1115">
          <cell r="AC1115">
            <v>9</v>
          </cell>
        </row>
        <row r="1116">
          <cell r="AC1116">
            <v>10</v>
          </cell>
        </row>
        <row r="1117">
          <cell r="AC1117">
            <v>1</v>
          </cell>
        </row>
        <row r="1118">
          <cell r="AC1118">
            <v>36</v>
          </cell>
        </row>
        <row r="1119">
          <cell r="AC1119">
            <v>9</v>
          </cell>
        </row>
        <row r="1120">
          <cell r="AC1120">
            <v>1</v>
          </cell>
        </row>
        <row r="1121">
          <cell r="AC1121">
            <v>10</v>
          </cell>
        </row>
        <row r="1122">
          <cell r="AC1122">
            <v>8</v>
          </cell>
        </row>
        <row r="1123">
          <cell r="AC1123">
            <v>15</v>
          </cell>
        </row>
        <row r="1124">
          <cell r="AC1124">
            <v>10</v>
          </cell>
        </row>
        <row r="1125">
          <cell r="AC1125">
            <v>10</v>
          </cell>
        </row>
        <row r="1126">
          <cell r="AC1126">
            <v>11</v>
          </cell>
        </row>
        <row r="1127">
          <cell r="AC1127">
            <v>6</v>
          </cell>
        </row>
        <row r="1128">
          <cell r="AC1128">
            <v>27</v>
          </cell>
        </row>
        <row r="1129">
          <cell r="AC1129">
            <v>4</v>
          </cell>
        </row>
        <row r="1130">
          <cell r="AC1130">
            <v>9</v>
          </cell>
        </row>
        <row r="1131">
          <cell r="AC1131">
            <v>24</v>
          </cell>
        </row>
        <row r="1132">
          <cell r="AC1132">
            <v>10</v>
          </cell>
        </row>
        <row r="1133">
          <cell r="AC1133">
            <v>8</v>
          </cell>
        </row>
        <row r="1134">
          <cell r="AC1134">
            <v>5</v>
          </cell>
        </row>
        <row r="1135">
          <cell r="AC1135">
            <v>8</v>
          </cell>
        </row>
        <row r="1136">
          <cell r="AC1136">
            <v>1</v>
          </cell>
        </row>
        <row r="1137">
          <cell r="AC1137">
            <v>27</v>
          </cell>
        </row>
        <row r="1138">
          <cell r="AC1138">
            <v>1</v>
          </cell>
        </row>
        <row r="1139">
          <cell r="AC1139">
            <v>4</v>
          </cell>
        </row>
        <row r="1140">
          <cell r="AC1140">
            <v>32</v>
          </cell>
        </row>
        <row r="1141">
          <cell r="AC1141">
            <v>6</v>
          </cell>
        </row>
        <row r="1142">
          <cell r="AC1142">
            <v>23</v>
          </cell>
        </row>
        <row r="1143">
          <cell r="AC1143">
            <v>6</v>
          </cell>
        </row>
        <row r="1144">
          <cell r="AC1144">
            <v>10</v>
          </cell>
        </row>
        <row r="1145">
          <cell r="AC1145">
            <v>10</v>
          </cell>
        </row>
        <row r="1146">
          <cell r="AC1146">
            <v>10</v>
          </cell>
        </row>
        <row r="1147">
          <cell r="AC1147">
            <v>7</v>
          </cell>
        </row>
        <row r="1148">
          <cell r="AC1148">
            <v>9</v>
          </cell>
        </row>
        <row r="1149">
          <cell r="AC1149">
            <v>10</v>
          </cell>
        </row>
        <row r="1150">
          <cell r="AC1150">
            <v>10</v>
          </cell>
        </row>
        <row r="1151">
          <cell r="AC1151">
            <v>7</v>
          </cell>
        </row>
        <row r="1152">
          <cell r="AC1152">
            <v>16</v>
          </cell>
        </row>
        <row r="1153">
          <cell r="AC1153">
            <v>6</v>
          </cell>
        </row>
        <row r="1154">
          <cell r="AC1154">
            <v>3</v>
          </cell>
        </row>
        <row r="1155">
          <cell r="AC1155">
            <v>0</v>
          </cell>
        </row>
        <row r="1156">
          <cell r="AC1156">
            <v>27</v>
          </cell>
        </row>
        <row r="1157">
          <cell r="AC1157">
            <v>11</v>
          </cell>
        </row>
        <row r="1158">
          <cell r="AC1158">
            <v>18</v>
          </cell>
        </row>
        <row r="1159">
          <cell r="AC1159">
            <v>15</v>
          </cell>
        </row>
        <row r="1160">
          <cell r="AC1160">
            <v>9</v>
          </cell>
        </row>
        <row r="1161">
          <cell r="AC1161">
            <v>10</v>
          </cell>
        </row>
        <row r="1162">
          <cell r="AC1162">
            <v>10</v>
          </cell>
        </row>
        <row r="1163">
          <cell r="AC1163">
            <v>10</v>
          </cell>
        </row>
        <row r="1164">
          <cell r="AC1164">
            <v>15</v>
          </cell>
        </row>
        <row r="1165">
          <cell r="AC1165">
            <v>8</v>
          </cell>
        </row>
        <row r="1166">
          <cell r="AC1166">
            <v>18</v>
          </cell>
        </row>
        <row r="1167">
          <cell r="AC1167">
            <v>14</v>
          </cell>
        </row>
        <row r="1168">
          <cell r="AC1168">
            <v>23</v>
          </cell>
        </row>
        <row r="1169">
          <cell r="AC1169">
            <v>7</v>
          </cell>
        </row>
        <row r="1170">
          <cell r="AC1170">
            <v>6</v>
          </cell>
        </row>
        <row r="1171">
          <cell r="AC1171">
            <v>5</v>
          </cell>
        </row>
        <row r="1172">
          <cell r="AC1172">
            <v>6</v>
          </cell>
        </row>
        <row r="1173">
          <cell r="AC1173">
            <v>10</v>
          </cell>
        </row>
        <row r="1174">
          <cell r="AC1174">
            <v>8</v>
          </cell>
        </row>
        <row r="1175">
          <cell r="AC1175">
            <v>9</v>
          </cell>
        </row>
        <row r="1176">
          <cell r="AC1176">
            <v>7</v>
          </cell>
        </row>
        <row r="1177">
          <cell r="AC1177">
            <v>7</v>
          </cell>
        </row>
        <row r="1178">
          <cell r="AC1178">
            <v>27</v>
          </cell>
        </row>
        <row r="1179">
          <cell r="AC1179">
            <v>19</v>
          </cell>
        </row>
        <row r="1180">
          <cell r="AC1180">
            <v>2</v>
          </cell>
        </row>
        <row r="1181">
          <cell r="AC1181">
            <v>11</v>
          </cell>
        </row>
        <row r="1182">
          <cell r="AC1182">
            <v>15</v>
          </cell>
        </row>
        <row r="1183">
          <cell r="AC1183">
            <v>30</v>
          </cell>
        </row>
        <row r="1184">
          <cell r="AC1184">
            <v>4</v>
          </cell>
        </row>
        <row r="1185">
          <cell r="AC1185">
            <v>13</v>
          </cell>
        </row>
        <row r="1186">
          <cell r="AC1186">
            <v>36</v>
          </cell>
        </row>
        <row r="1187">
          <cell r="AC1187">
            <v>14</v>
          </cell>
        </row>
        <row r="1188">
          <cell r="AC1188">
            <v>13</v>
          </cell>
        </row>
        <row r="1189">
          <cell r="AC1189">
            <v>19</v>
          </cell>
        </row>
        <row r="1190">
          <cell r="AC1190">
            <v>10</v>
          </cell>
        </row>
        <row r="1191">
          <cell r="AC1191">
            <v>6</v>
          </cell>
        </row>
        <row r="1192">
          <cell r="AC1192">
            <v>10</v>
          </cell>
        </row>
        <row r="1193">
          <cell r="AC1193">
            <v>10</v>
          </cell>
        </row>
        <row r="1194">
          <cell r="AC1194">
            <v>17</v>
          </cell>
        </row>
        <row r="1195">
          <cell r="AC1195">
            <v>4</v>
          </cell>
        </row>
        <row r="1196">
          <cell r="AC1196">
            <v>29</v>
          </cell>
        </row>
        <row r="1197">
          <cell r="AC1197">
            <v>23</v>
          </cell>
        </row>
        <row r="1198">
          <cell r="AC1198">
            <v>21</v>
          </cell>
        </row>
        <row r="1199">
          <cell r="AC1199">
            <v>2</v>
          </cell>
        </row>
        <row r="1200">
          <cell r="AC1200">
            <v>7</v>
          </cell>
        </row>
        <row r="1201">
          <cell r="AC1201">
            <v>10</v>
          </cell>
        </row>
        <row r="1202">
          <cell r="AC1202">
            <v>8</v>
          </cell>
        </row>
        <row r="1203">
          <cell r="AC1203">
            <v>5</v>
          </cell>
        </row>
        <row r="1204">
          <cell r="AC1204">
            <v>7</v>
          </cell>
        </row>
        <row r="1205">
          <cell r="AC1205">
            <v>11</v>
          </cell>
        </row>
        <row r="1206">
          <cell r="AC1206">
            <v>19</v>
          </cell>
        </row>
        <row r="1207">
          <cell r="AC1207">
            <v>1</v>
          </cell>
        </row>
        <row r="1208">
          <cell r="AC1208">
            <v>7</v>
          </cell>
        </row>
        <row r="1209">
          <cell r="AC1209">
            <v>8</v>
          </cell>
        </row>
        <row r="1210">
          <cell r="AC1210">
            <v>15</v>
          </cell>
        </row>
        <row r="1211">
          <cell r="AC1211">
            <v>19</v>
          </cell>
        </row>
        <row r="1212">
          <cell r="AC1212">
            <v>14</v>
          </cell>
        </row>
        <row r="1213">
          <cell r="AC1213">
            <v>6</v>
          </cell>
        </row>
        <row r="1214">
          <cell r="AC1214">
            <v>10</v>
          </cell>
        </row>
        <row r="1215">
          <cell r="AC1215">
            <v>3</v>
          </cell>
        </row>
        <row r="1216">
          <cell r="AC1216">
            <v>9</v>
          </cell>
        </row>
        <row r="1217">
          <cell r="AC1217">
            <v>6</v>
          </cell>
        </row>
        <row r="1218">
          <cell r="AC1218">
            <v>10</v>
          </cell>
        </row>
        <row r="1219">
          <cell r="AC1219">
            <v>5</v>
          </cell>
        </row>
        <row r="1220">
          <cell r="AC1220">
            <v>10</v>
          </cell>
        </row>
        <row r="1221">
          <cell r="AC1221">
            <v>9</v>
          </cell>
        </row>
        <row r="1222">
          <cell r="AC1222">
            <v>17</v>
          </cell>
        </row>
        <row r="1223">
          <cell r="AC1223">
            <v>25</v>
          </cell>
        </row>
        <row r="1224">
          <cell r="AC1224">
            <v>1</v>
          </cell>
        </row>
        <row r="1225">
          <cell r="AC1225">
            <v>25</v>
          </cell>
        </row>
        <row r="1226">
          <cell r="AC1226">
            <v>3</v>
          </cell>
        </row>
        <row r="1227">
          <cell r="AC1227">
            <v>21</v>
          </cell>
        </row>
        <row r="1228">
          <cell r="AC1228">
            <v>10</v>
          </cell>
        </row>
        <row r="1229">
          <cell r="AC1229">
            <v>6</v>
          </cell>
        </row>
        <row r="1230">
          <cell r="AC1230">
            <v>10</v>
          </cell>
        </row>
        <row r="1231">
          <cell r="AC1231">
            <v>18</v>
          </cell>
        </row>
        <row r="1232">
          <cell r="AC1232">
            <v>6</v>
          </cell>
        </row>
        <row r="1233">
          <cell r="AC1233">
            <v>19</v>
          </cell>
        </row>
        <row r="1234">
          <cell r="AC1234">
            <v>17</v>
          </cell>
        </row>
        <row r="1235">
          <cell r="AC1235">
            <v>10</v>
          </cell>
        </row>
        <row r="1236">
          <cell r="AC1236">
            <v>4</v>
          </cell>
        </row>
        <row r="1237">
          <cell r="AC1237">
            <v>13</v>
          </cell>
        </row>
        <row r="1238">
          <cell r="AC1238">
            <v>16</v>
          </cell>
        </row>
        <row r="1239">
          <cell r="AC1239">
            <v>10</v>
          </cell>
        </row>
        <row r="1240">
          <cell r="AC1240">
            <v>3</v>
          </cell>
        </row>
        <row r="1241">
          <cell r="AC1241">
            <v>9</v>
          </cell>
        </row>
        <row r="1242">
          <cell r="AC1242">
            <v>9</v>
          </cell>
        </row>
        <row r="1243">
          <cell r="AC1243">
            <v>10</v>
          </cell>
        </row>
        <row r="1244">
          <cell r="AC1244">
            <v>21</v>
          </cell>
        </row>
        <row r="1245">
          <cell r="AC1245">
            <v>9</v>
          </cell>
        </row>
        <row r="1246">
          <cell r="AC1246">
            <v>10</v>
          </cell>
        </row>
        <row r="1247">
          <cell r="AC1247">
            <v>3</v>
          </cell>
        </row>
        <row r="1248">
          <cell r="AC1248">
            <v>6</v>
          </cell>
        </row>
        <row r="1249">
          <cell r="AC1249">
            <v>6</v>
          </cell>
        </row>
        <row r="1250">
          <cell r="AC1250">
            <v>6</v>
          </cell>
        </row>
        <row r="1251">
          <cell r="AC1251">
            <v>2</v>
          </cell>
        </row>
        <row r="1252">
          <cell r="AC1252">
            <v>10</v>
          </cell>
        </row>
        <row r="1253">
          <cell r="AC1253">
            <v>12</v>
          </cell>
        </row>
        <row r="1254">
          <cell r="AC1254">
            <v>6</v>
          </cell>
        </row>
        <row r="1255">
          <cell r="AC1255">
            <v>13</v>
          </cell>
        </row>
        <row r="1256">
          <cell r="AC1256">
            <v>8</v>
          </cell>
        </row>
        <row r="1257">
          <cell r="AC1257">
            <v>11</v>
          </cell>
        </row>
        <row r="1258">
          <cell r="AC1258">
            <v>9</v>
          </cell>
        </row>
        <row r="1259">
          <cell r="AC1259">
            <v>10</v>
          </cell>
        </row>
        <row r="1260">
          <cell r="AC1260">
            <v>1</v>
          </cell>
        </row>
        <row r="1261">
          <cell r="AC1261">
            <v>10</v>
          </cell>
        </row>
        <row r="1262">
          <cell r="AC1262">
            <v>12</v>
          </cell>
        </row>
        <row r="1263">
          <cell r="AC1263">
            <v>15</v>
          </cell>
        </row>
        <row r="1264">
          <cell r="AC1264">
            <v>6</v>
          </cell>
        </row>
        <row r="1265">
          <cell r="AC1265">
            <v>7</v>
          </cell>
        </row>
        <row r="1266">
          <cell r="AC1266">
            <v>34</v>
          </cell>
        </row>
        <row r="1267">
          <cell r="AC1267">
            <v>11</v>
          </cell>
        </row>
        <row r="1268">
          <cell r="AC1268">
            <v>5</v>
          </cell>
        </row>
        <row r="1269">
          <cell r="AC1269">
            <v>15</v>
          </cell>
        </row>
        <row r="1270">
          <cell r="AC1270">
            <v>27</v>
          </cell>
        </row>
        <row r="1271">
          <cell r="AC1271">
            <v>10</v>
          </cell>
        </row>
        <row r="1272">
          <cell r="AC1272">
            <v>6</v>
          </cell>
        </row>
        <row r="1273">
          <cell r="AC1273">
            <v>1</v>
          </cell>
        </row>
        <row r="1274">
          <cell r="AC1274">
            <v>5</v>
          </cell>
        </row>
        <row r="1275">
          <cell r="AC1275">
            <v>1</v>
          </cell>
        </row>
        <row r="1276">
          <cell r="AC1276">
            <v>13</v>
          </cell>
        </row>
        <row r="1277">
          <cell r="AC1277">
            <v>15</v>
          </cell>
        </row>
        <row r="1278">
          <cell r="AC1278">
            <v>5</v>
          </cell>
        </row>
        <row r="1279">
          <cell r="AC1279">
            <v>24</v>
          </cell>
        </row>
        <row r="1280">
          <cell r="AC1280">
            <v>15</v>
          </cell>
        </row>
        <row r="1281">
          <cell r="AC1281">
            <v>6</v>
          </cell>
        </row>
        <row r="1282">
          <cell r="AC1282">
            <v>19</v>
          </cell>
        </row>
        <row r="1283">
          <cell r="AC1283">
            <v>10</v>
          </cell>
        </row>
        <row r="1284">
          <cell r="AC1284">
            <v>14</v>
          </cell>
        </row>
        <row r="1285">
          <cell r="AC1285">
            <v>5</v>
          </cell>
        </row>
        <row r="1286">
          <cell r="AC1286">
            <v>9</v>
          </cell>
        </row>
        <row r="1287">
          <cell r="AC1287">
            <v>6</v>
          </cell>
        </row>
        <row r="1288">
          <cell r="AC1288">
            <v>7</v>
          </cell>
        </row>
        <row r="1289">
          <cell r="AC1289">
            <v>10</v>
          </cell>
        </row>
        <row r="1290">
          <cell r="AC1290">
            <v>15</v>
          </cell>
        </row>
        <row r="1291">
          <cell r="AC1291">
            <v>13</v>
          </cell>
        </row>
        <row r="1292">
          <cell r="AC1292">
            <v>11</v>
          </cell>
        </row>
        <row r="1293">
          <cell r="AC1293">
            <v>10</v>
          </cell>
        </row>
        <row r="1294">
          <cell r="AC1294">
            <v>7</v>
          </cell>
        </row>
        <row r="1295">
          <cell r="AC1295">
            <v>7</v>
          </cell>
        </row>
        <row r="1296">
          <cell r="AC1296">
            <v>11</v>
          </cell>
        </row>
        <row r="1297">
          <cell r="AC1297">
            <v>23</v>
          </cell>
        </row>
        <row r="1298">
          <cell r="AC1298">
            <v>9</v>
          </cell>
        </row>
        <row r="1299">
          <cell r="AC1299">
            <v>6</v>
          </cell>
        </row>
        <row r="1300">
          <cell r="AC1300">
            <v>13</v>
          </cell>
        </row>
        <row r="1301">
          <cell r="AC1301">
            <v>12</v>
          </cell>
        </row>
        <row r="1302">
          <cell r="AC1302">
            <v>10</v>
          </cell>
        </row>
        <row r="1303">
          <cell r="AC1303">
            <v>37</v>
          </cell>
        </row>
        <row r="1304">
          <cell r="AC1304">
            <v>6</v>
          </cell>
        </row>
        <row r="1305">
          <cell r="AC1305">
            <v>28</v>
          </cell>
        </row>
        <row r="1306">
          <cell r="AC1306">
            <v>15</v>
          </cell>
        </row>
        <row r="1307">
          <cell r="AC1307">
            <v>14</v>
          </cell>
        </row>
        <row r="1308">
          <cell r="AC1308">
            <v>9</v>
          </cell>
        </row>
        <row r="1309">
          <cell r="AC1309">
            <v>3</v>
          </cell>
        </row>
        <row r="1310">
          <cell r="AC1310">
            <v>20</v>
          </cell>
        </row>
        <row r="1311">
          <cell r="AC1311">
            <v>5</v>
          </cell>
        </row>
        <row r="1312">
          <cell r="AC1312">
            <v>23</v>
          </cell>
        </row>
        <row r="1313">
          <cell r="AC1313">
            <v>0</v>
          </cell>
        </row>
        <row r="1314">
          <cell r="AC1314">
            <v>2</v>
          </cell>
        </row>
        <row r="1315">
          <cell r="AC1315">
            <v>4</v>
          </cell>
        </row>
        <row r="1316">
          <cell r="AC1316">
            <v>10</v>
          </cell>
        </row>
        <row r="1317">
          <cell r="AC1317">
            <v>15</v>
          </cell>
        </row>
        <row r="1318">
          <cell r="AC1318">
            <v>7</v>
          </cell>
        </row>
        <row r="1319">
          <cell r="AC1319">
            <v>6</v>
          </cell>
        </row>
        <row r="1320">
          <cell r="AC1320">
            <v>11</v>
          </cell>
        </row>
        <row r="1321">
          <cell r="AC1321">
            <v>4</v>
          </cell>
        </row>
        <row r="1322">
          <cell r="AC1322">
            <v>10</v>
          </cell>
        </row>
        <row r="1323">
          <cell r="AC1323">
            <v>7</v>
          </cell>
        </row>
        <row r="1324">
          <cell r="AC1324">
            <v>12</v>
          </cell>
        </row>
        <row r="1325">
          <cell r="AC1325">
            <v>3</v>
          </cell>
        </row>
        <row r="1326">
          <cell r="AC1326">
            <v>11</v>
          </cell>
        </row>
        <row r="1327">
          <cell r="AC1327">
            <v>8</v>
          </cell>
        </row>
        <row r="1328">
          <cell r="AC1328">
            <v>7</v>
          </cell>
        </row>
        <row r="1329">
          <cell r="AC1329">
            <v>25</v>
          </cell>
        </row>
        <row r="1330">
          <cell r="AC1330">
            <v>9</v>
          </cell>
        </row>
        <row r="1331">
          <cell r="AC1331">
            <v>1</v>
          </cell>
        </row>
        <row r="1332">
          <cell r="AC1332">
            <v>21</v>
          </cell>
        </row>
        <row r="1333">
          <cell r="AC1333">
            <v>29</v>
          </cell>
        </row>
        <row r="1334">
          <cell r="AC1334">
            <v>1</v>
          </cell>
        </row>
        <row r="1335">
          <cell r="AC1335">
            <v>14</v>
          </cell>
        </row>
        <row r="1336">
          <cell r="AC1336">
            <v>8</v>
          </cell>
        </row>
        <row r="1337">
          <cell r="AC1337">
            <v>7</v>
          </cell>
        </row>
        <row r="1338">
          <cell r="AC1338">
            <v>19</v>
          </cell>
        </row>
        <row r="1339">
          <cell r="AC1339">
            <v>1</v>
          </cell>
        </row>
        <row r="1340">
          <cell r="AC1340">
            <v>1</v>
          </cell>
        </row>
        <row r="1341">
          <cell r="AC1341">
            <v>1</v>
          </cell>
        </row>
        <row r="1342">
          <cell r="AC1342">
            <v>10</v>
          </cell>
        </row>
        <row r="1343">
          <cell r="AC1343">
            <v>10</v>
          </cell>
        </row>
        <row r="1344">
          <cell r="AC1344">
            <v>9</v>
          </cell>
        </row>
        <row r="1345">
          <cell r="AC1345">
            <v>11</v>
          </cell>
        </row>
        <row r="1346">
          <cell r="AC1346">
            <v>16</v>
          </cell>
        </row>
        <row r="1347">
          <cell r="AC1347">
            <v>4</v>
          </cell>
        </row>
        <row r="1348">
          <cell r="AC1348">
            <v>10</v>
          </cell>
        </row>
        <row r="1349">
          <cell r="AC1349">
            <v>10</v>
          </cell>
        </row>
        <row r="1350">
          <cell r="AC1350">
            <v>22</v>
          </cell>
        </row>
        <row r="1351">
          <cell r="AC1351">
            <v>1</v>
          </cell>
        </row>
        <row r="1352">
          <cell r="AC1352">
            <v>9</v>
          </cell>
        </row>
        <row r="1353">
          <cell r="AC1353">
            <v>24</v>
          </cell>
        </row>
        <row r="1354">
          <cell r="AC1354">
            <v>10</v>
          </cell>
        </row>
        <row r="1355">
          <cell r="AC1355">
            <v>5</v>
          </cell>
        </row>
        <row r="1356">
          <cell r="AC1356">
            <v>5</v>
          </cell>
        </row>
        <row r="1357">
          <cell r="AC1357">
            <v>12</v>
          </cell>
        </row>
        <row r="1358">
          <cell r="AC1358">
            <v>14</v>
          </cell>
        </row>
        <row r="1359">
          <cell r="AC1359">
            <v>18</v>
          </cell>
        </row>
        <row r="1360">
          <cell r="AC1360">
            <v>8</v>
          </cell>
        </row>
        <row r="1361">
          <cell r="AC1361">
            <v>9</v>
          </cell>
        </row>
        <row r="1362">
          <cell r="AC1362">
            <v>4</v>
          </cell>
        </row>
        <row r="1363">
          <cell r="AC1363">
            <v>8</v>
          </cell>
        </row>
        <row r="1364">
          <cell r="AC1364">
            <v>12</v>
          </cell>
        </row>
        <row r="1365">
          <cell r="AC1365">
            <v>10</v>
          </cell>
        </row>
        <row r="1366">
          <cell r="AC1366">
            <v>7</v>
          </cell>
        </row>
        <row r="1367">
          <cell r="AC1367">
            <v>1</v>
          </cell>
        </row>
        <row r="1368">
          <cell r="AC1368">
            <v>10</v>
          </cell>
        </row>
        <row r="1369">
          <cell r="AC1369">
            <v>6</v>
          </cell>
        </row>
        <row r="1370">
          <cell r="AC1370">
            <v>16</v>
          </cell>
        </row>
        <row r="1371">
          <cell r="AC1371">
            <v>6</v>
          </cell>
        </row>
        <row r="1372">
          <cell r="AC1372">
            <v>16</v>
          </cell>
        </row>
        <row r="1373">
          <cell r="AC1373">
            <v>6</v>
          </cell>
        </row>
        <row r="1374">
          <cell r="AC1374">
            <v>10</v>
          </cell>
        </row>
        <row r="1375">
          <cell r="AC1375">
            <v>20</v>
          </cell>
        </row>
        <row r="1376">
          <cell r="AC1376">
            <v>29</v>
          </cell>
        </row>
        <row r="1377">
          <cell r="AC1377">
            <v>8</v>
          </cell>
        </row>
        <row r="1378">
          <cell r="AC1378">
            <v>10</v>
          </cell>
        </row>
        <row r="1379">
          <cell r="AC1379">
            <v>28</v>
          </cell>
        </row>
        <row r="1380">
          <cell r="AC1380">
            <v>14</v>
          </cell>
        </row>
        <row r="1381">
          <cell r="AC1381">
            <v>1</v>
          </cell>
        </row>
        <row r="1382">
          <cell r="AC1382">
            <v>6</v>
          </cell>
        </row>
        <row r="1383">
          <cell r="AC1383">
            <v>5</v>
          </cell>
        </row>
        <row r="1384">
          <cell r="AC1384">
            <v>4</v>
          </cell>
        </row>
        <row r="1385">
          <cell r="AC1385">
            <v>5</v>
          </cell>
        </row>
        <row r="1386">
          <cell r="AC1386">
            <v>14</v>
          </cell>
        </row>
        <row r="1387">
          <cell r="AC1387">
            <v>9</v>
          </cell>
        </row>
        <row r="1388">
          <cell r="AC1388">
            <v>8</v>
          </cell>
        </row>
        <row r="1389">
          <cell r="AC1389">
            <v>6</v>
          </cell>
        </row>
        <row r="1390">
          <cell r="AC1390">
            <v>9</v>
          </cell>
        </row>
        <row r="1391">
          <cell r="AC1391">
            <v>10</v>
          </cell>
        </row>
        <row r="1392">
          <cell r="AC1392">
            <v>6</v>
          </cell>
        </row>
        <row r="1393">
          <cell r="AC1393">
            <v>20</v>
          </cell>
        </row>
        <row r="1394">
          <cell r="AC1394">
            <v>10</v>
          </cell>
        </row>
        <row r="1395">
          <cell r="AC1395">
            <v>7</v>
          </cell>
        </row>
        <row r="1396">
          <cell r="AC1396">
            <v>8</v>
          </cell>
        </row>
        <row r="1397">
          <cell r="AC1397">
            <v>10</v>
          </cell>
        </row>
        <row r="1398">
          <cell r="AC1398">
            <v>15</v>
          </cell>
        </row>
        <row r="1399">
          <cell r="AC1399">
            <v>9</v>
          </cell>
        </row>
        <row r="1400">
          <cell r="AC1400">
            <v>9</v>
          </cell>
        </row>
        <row r="1401">
          <cell r="AC1401">
            <v>10</v>
          </cell>
        </row>
        <row r="1402">
          <cell r="AC1402">
            <v>7</v>
          </cell>
        </row>
        <row r="1403">
          <cell r="AC1403">
            <v>35</v>
          </cell>
        </row>
        <row r="1404">
          <cell r="AC1404">
            <v>1</v>
          </cell>
        </row>
        <row r="1405">
          <cell r="AC1405">
            <v>21</v>
          </cell>
        </row>
        <row r="1406">
          <cell r="AC1406">
            <v>20</v>
          </cell>
        </row>
        <row r="1407">
          <cell r="AC1407">
            <v>13</v>
          </cell>
        </row>
        <row r="1408">
          <cell r="AC1408">
            <v>9</v>
          </cell>
        </row>
        <row r="1409">
          <cell r="AC1409">
            <v>4</v>
          </cell>
        </row>
        <row r="1410">
          <cell r="AC1410">
            <v>5</v>
          </cell>
        </row>
        <row r="1411">
          <cell r="AC1411">
            <v>10</v>
          </cell>
        </row>
        <row r="1412">
          <cell r="AC1412">
            <v>15</v>
          </cell>
        </row>
        <row r="1413">
          <cell r="AC1413">
            <v>6</v>
          </cell>
        </row>
        <row r="1414">
          <cell r="AC1414">
            <v>12</v>
          </cell>
        </row>
        <row r="1415">
          <cell r="AC1415">
            <v>7</v>
          </cell>
        </row>
        <row r="1416">
          <cell r="AC1416">
            <v>25</v>
          </cell>
        </row>
        <row r="1417">
          <cell r="AC1417">
            <v>1</v>
          </cell>
        </row>
        <row r="1418">
          <cell r="AC1418">
            <v>16</v>
          </cell>
        </row>
        <row r="1419">
          <cell r="AC1419">
            <v>3</v>
          </cell>
        </row>
        <row r="1420">
          <cell r="AC1420">
            <v>10</v>
          </cell>
        </row>
        <row r="1421">
          <cell r="AC1421">
            <v>9</v>
          </cell>
        </row>
        <row r="1422">
          <cell r="AC1422">
            <v>12</v>
          </cell>
        </row>
        <row r="1423">
          <cell r="AC1423">
            <v>14</v>
          </cell>
        </row>
        <row r="1424">
          <cell r="AC1424">
            <v>5</v>
          </cell>
        </row>
        <row r="1425">
          <cell r="AC1425">
            <v>4</v>
          </cell>
        </row>
        <row r="1426">
          <cell r="AC1426">
            <v>10</v>
          </cell>
        </row>
        <row r="1427">
          <cell r="AC1427">
            <v>10</v>
          </cell>
        </row>
        <row r="1428">
          <cell r="AC1428">
            <v>6</v>
          </cell>
        </row>
        <row r="1429">
          <cell r="AC1429">
            <v>8</v>
          </cell>
        </row>
        <row r="1430">
          <cell r="AC1430">
            <v>3</v>
          </cell>
        </row>
        <row r="1431">
          <cell r="AC1431">
            <v>18</v>
          </cell>
        </row>
        <row r="1432">
          <cell r="AC1432">
            <v>20</v>
          </cell>
        </row>
        <row r="1433">
          <cell r="AC1433">
            <v>14</v>
          </cell>
        </row>
        <row r="1434">
          <cell r="AC1434">
            <v>16</v>
          </cell>
        </row>
        <row r="1435">
          <cell r="AC1435">
            <v>6</v>
          </cell>
        </row>
        <row r="1436">
          <cell r="AC1436">
            <v>16</v>
          </cell>
        </row>
        <row r="1437">
          <cell r="AC1437">
            <v>6</v>
          </cell>
        </row>
        <row r="1438">
          <cell r="AC1438">
            <v>2</v>
          </cell>
        </row>
        <row r="1439">
          <cell r="AC1439">
            <v>21</v>
          </cell>
        </row>
        <row r="1440">
          <cell r="AC1440">
            <v>1</v>
          </cell>
        </row>
        <row r="1441">
          <cell r="AC1441">
            <v>10</v>
          </cell>
        </row>
        <row r="1442">
          <cell r="AC1442">
            <v>18</v>
          </cell>
        </row>
        <row r="1443">
          <cell r="AC1443">
            <v>13</v>
          </cell>
        </row>
        <row r="1444">
          <cell r="AC1444">
            <v>4</v>
          </cell>
        </row>
        <row r="1445">
          <cell r="AC1445">
            <v>24</v>
          </cell>
        </row>
        <row r="1446">
          <cell r="AC1446">
            <v>14</v>
          </cell>
        </row>
        <row r="1447">
          <cell r="AC1447">
            <v>21</v>
          </cell>
        </row>
        <row r="1448">
          <cell r="AC1448">
            <v>8</v>
          </cell>
        </row>
        <row r="1449">
          <cell r="AC1449">
            <v>15</v>
          </cell>
        </row>
        <row r="1450">
          <cell r="AC1450">
            <v>14</v>
          </cell>
        </row>
        <row r="1451">
          <cell r="AC1451">
            <v>4</v>
          </cell>
        </row>
        <row r="1452">
          <cell r="AC1452">
            <v>9</v>
          </cell>
        </row>
        <row r="1453">
          <cell r="AC1453">
            <v>10</v>
          </cell>
        </row>
        <row r="1454">
          <cell r="AC1454">
            <v>12</v>
          </cell>
        </row>
        <row r="1455">
          <cell r="AC1455">
            <v>8</v>
          </cell>
        </row>
        <row r="1456">
          <cell r="AC1456">
            <v>8</v>
          </cell>
        </row>
        <row r="1457">
          <cell r="AC1457">
            <v>8</v>
          </cell>
        </row>
        <row r="1458">
          <cell r="AC1458">
            <v>10</v>
          </cell>
        </row>
        <row r="1459">
          <cell r="AC1459">
            <v>20</v>
          </cell>
        </row>
        <row r="1460">
          <cell r="AC1460">
            <v>4</v>
          </cell>
        </row>
        <row r="1461">
          <cell r="AC1461">
            <v>10</v>
          </cell>
        </row>
        <row r="1462">
          <cell r="AC1462">
            <v>5</v>
          </cell>
        </row>
        <row r="1463">
          <cell r="AC1463">
            <v>20</v>
          </cell>
        </row>
        <row r="1464">
          <cell r="AC1464">
            <v>21</v>
          </cell>
        </row>
        <row r="1465">
          <cell r="AC1465">
            <v>10</v>
          </cell>
        </row>
        <row r="1466">
          <cell r="AC1466">
            <v>5</v>
          </cell>
        </row>
        <row r="1467">
          <cell r="AC1467">
            <v>17</v>
          </cell>
        </row>
        <row r="1468">
          <cell r="AC1468">
            <v>9</v>
          </cell>
        </row>
        <row r="1469">
          <cell r="AC1469">
            <v>6</v>
          </cell>
        </row>
        <row r="1470">
          <cell r="AC1470">
            <v>17</v>
          </cell>
        </row>
        <row r="1471">
          <cell r="AC1471">
            <v>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71"/>
  <sheetViews>
    <sheetView tabSelected="1" workbookViewId="0">
      <selection activeCell="A2" sqref="A2"/>
    </sheetView>
  </sheetViews>
  <sheetFormatPr defaultRowHeight="15" x14ac:dyDescent="0.25"/>
  <cols>
    <col min="1" max="1" width="22.7109375" bestFit="1" customWidth="1"/>
    <col min="2" max="2" width="12" bestFit="1" customWidth="1"/>
    <col min="3" max="3" width="17.7109375" bestFit="1" customWidth="1"/>
    <col min="4" max="4" width="5.7109375" bestFit="1" customWidth="1"/>
    <col min="5" max="5" width="13.42578125" bestFit="1" customWidth="1"/>
    <col min="6" max="6" width="11.28515625" bestFit="1" customWidth="1"/>
    <col min="7" max="7" width="19.7109375" bestFit="1" customWidth="1"/>
    <col min="8" max="8" width="23.85546875" bestFit="1" customWidth="1"/>
    <col min="9" max="9" width="30.42578125" bestFit="1" customWidth="1"/>
    <col min="10" max="10" width="19" bestFit="1" customWidth="1"/>
    <col min="11" max="11" width="13.7109375" bestFit="1" customWidth="1"/>
    <col min="12" max="12" width="19.42578125" bestFit="1" customWidth="1"/>
    <col min="13" max="13" width="30.42578125" bestFit="1" customWidth="1"/>
    <col min="14" max="14" width="20.140625" bestFit="1" customWidth="1"/>
    <col min="15" max="15" width="11.5703125" bestFit="1" customWidth="1"/>
    <col min="16" max="16" width="25" bestFit="1" customWidth="1"/>
    <col min="17" max="17" width="19.140625" bestFit="1" customWidth="1"/>
    <col min="18" max="18" width="12.85546875" bestFit="1" customWidth="1"/>
    <col min="19" max="19" width="14.85546875" bestFit="1" customWidth="1"/>
    <col min="20" max="20" width="20.140625" bestFit="1" customWidth="1"/>
    <col min="21" max="21" width="18.42578125" bestFit="1" customWidth="1"/>
    <col min="22" max="22" width="17" bestFit="1" customWidth="1"/>
    <col min="23" max="23" width="30" bestFit="1" customWidth="1"/>
    <col min="24" max="24" width="12.42578125" bestFit="1" customWidth="1"/>
    <col min="25" max="25" width="23.7109375" bestFit="1" customWidth="1"/>
    <col min="26" max="26" width="24.140625" bestFit="1" customWidth="1"/>
    <col min="27" max="27" width="30.140625" bestFit="1" customWidth="1"/>
    <col min="28" max="28" width="22.85546875" bestFit="1" customWidth="1"/>
    <col min="29" max="29" width="24.42578125" bestFit="1" customWidth="1"/>
    <col min="30" max="30" width="29.140625" bestFit="1" customWidth="1"/>
    <col min="31" max="31" width="22" bestFit="1" customWidth="1"/>
    <col min="32" max="32" width="22.28515625" bestFit="1" customWidth="1"/>
    <col min="33" max="33" width="25.85546875" bestFit="1" customWidth="1"/>
    <col min="34" max="34" width="17.7109375" bestFit="1" customWidth="1"/>
    <col min="35" max="35" width="32.5703125" bestFit="1" customWidth="1"/>
    <col min="36" max="36" width="21.140625" bestFit="1" customWidth="1"/>
    <col min="37" max="37" width="34.5703125" bestFit="1" customWidth="1"/>
    <col min="38" max="38" width="1.85546875" bestFit="1" customWidth="1"/>
  </cols>
  <sheetData>
    <row r="1" spans="1:3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4" t="s">
        <v>19</v>
      </c>
      <c r="U1" s="4" t="s">
        <v>20</v>
      </c>
      <c r="V1" s="5" t="s">
        <v>21</v>
      </c>
      <c r="W1" s="1" t="s">
        <v>22</v>
      </c>
      <c r="X1" s="1" t="s">
        <v>23</v>
      </c>
      <c r="Y1" s="6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7"/>
    </row>
    <row r="2" spans="1:38" x14ac:dyDescent="0.25">
      <c r="A2" s="8">
        <v>1</v>
      </c>
      <c r="B2">
        <f>AVERAGE('[1]WA_Fn-UseC_-HR-Employee-Attriti'!AC:AC)</f>
        <v>11.279591836734694</v>
      </c>
      <c r="C2" t="s">
        <v>37</v>
      </c>
      <c r="D2" s="8">
        <v>41</v>
      </c>
      <c r="E2" t="str">
        <f>IF(D2&lt;25,"18-25",IF(D2&lt;=35,"26-35",IF(D2&lt;=45,"36-45",IF(D2&lt;=55,"46-55",IF(D2&gt;55,"55+")))))</f>
        <v>36-45</v>
      </c>
      <c r="F2" s="9" t="s">
        <v>38</v>
      </c>
      <c r="G2" t="s">
        <v>39</v>
      </c>
      <c r="H2" s="8" t="s">
        <v>40</v>
      </c>
      <c r="I2" s="10">
        <v>1</v>
      </c>
      <c r="J2" t="str">
        <f>IF(I2&lt;=5,"Near",IF(I2&lt;=15,"Moderate",IF(I2&gt;15,"Far")))</f>
        <v>Near</v>
      </c>
      <c r="K2">
        <v>2</v>
      </c>
      <c r="L2" t="s">
        <v>41</v>
      </c>
      <c r="M2">
        <v>2</v>
      </c>
      <c r="N2">
        <v>3</v>
      </c>
      <c r="O2">
        <v>2</v>
      </c>
      <c r="P2" t="s">
        <v>42</v>
      </c>
      <c r="Q2">
        <v>4</v>
      </c>
      <c r="R2" s="11">
        <v>1102</v>
      </c>
      <c r="S2" s="12" t="s">
        <v>43</v>
      </c>
      <c r="T2" s="13">
        <v>5993</v>
      </c>
      <c r="U2" s="13">
        <f>T2*12</f>
        <v>71916</v>
      </c>
      <c r="V2" s="14">
        <v>19479</v>
      </c>
      <c r="W2">
        <v>8</v>
      </c>
      <c r="X2" s="8" t="s">
        <v>38</v>
      </c>
      <c r="Y2" s="15">
        <v>0.11</v>
      </c>
      <c r="Z2">
        <v>3</v>
      </c>
      <c r="AA2">
        <v>1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 t="str">
        <f>IF(AG:AG&lt;=3,"0-3", IF(AG:AG&lt;=7,"4-7", IF(AG:AG&lt;=11,"8-11", IF(AG:AG&lt;=15,"12-15","16-19"))))</f>
        <v>4-7</v>
      </c>
      <c r="AI2">
        <v>0</v>
      </c>
      <c r="AJ2" t="str">
        <f>IF(AI:AI&lt;=2,"0-2",IF(AI:AI&lt;=5,"3-5", IF(AI:AI&lt;=8,"6-8", IF(AI:AI&lt;=11,"9-11","12-15"))))</f>
        <v>0-2</v>
      </c>
      <c r="AK2">
        <v>5</v>
      </c>
    </row>
    <row r="3" spans="1:38" x14ac:dyDescent="0.25">
      <c r="A3" s="8">
        <v>2</v>
      </c>
      <c r="B3" t="s">
        <v>44</v>
      </c>
      <c r="C3" t="s">
        <v>45</v>
      </c>
      <c r="D3" s="8">
        <v>49</v>
      </c>
      <c r="E3" t="str">
        <f>IF(D3&lt;25,"18-25",IF(D3&lt;=35,"26-35",IF(D3&lt;=45,"36-45",IF(D3&lt;=55,"46-55",IF(D3&gt;55,"55+")))))</f>
        <v>46-55</v>
      </c>
      <c r="F3" t="s">
        <v>46</v>
      </c>
      <c r="G3" t="s">
        <v>47</v>
      </c>
      <c r="H3" s="8" t="s">
        <v>48</v>
      </c>
      <c r="I3" s="10">
        <v>8</v>
      </c>
      <c r="J3" t="str">
        <f t="shared" ref="J3:J66" si="0">IF(I3&lt;=5,"Near",IF(I3&lt;=15,"Moderate",IF(I3&gt;15,"Far")))</f>
        <v>Moderate</v>
      </c>
      <c r="K3">
        <v>1</v>
      </c>
      <c r="L3" t="s">
        <v>41</v>
      </c>
      <c r="M3">
        <v>3</v>
      </c>
      <c r="N3">
        <v>2</v>
      </c>
      <c r="O3">
        <v>2</v>
      </c>
      <c r="P3" t="s">
        <v>49</v>
      </c>
      <c r="Q3">
        <v>2</v>
      </c>
      <c r="R3" s="11">
        <v>279</v>
      </c>
      <c r="S3" s="14">
        <v>61</v>
      </c>
      <c r="T3" s="13">
        <v>5130</v>
      </c>
      <c r="U3" s="13">
        <f t="shared" ref="U3:U66" si="1">T3*12</f>
        <v>61560</v>
      </c>
      <c r="V3" s="14">
        <v>24907</v>
      </c>
      <c r="W3">
        <v>1</v>
      </c>
      <c r="X3" s="8" t="s">
        <v>46</v>
      </c>
      <c r="Y3" s="15">
        <v>0.23</v>
      </c>
      <c r="Z3">
        <v>4</v>
      </c>
      <c r="AA3">
        <v>4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 t="str">
        <f t="shared" ref="AH3:AH66" si="2">IF(AG:AG&lt;=3,"0-3", IF(AG:AG&lt;=7,"4-7", IF(AG:AG&lt;=11,"8-11", IF(AG:AG&lt;=15,"12-15","16-19"))))</f>
        <v>4-7</v>
      </c>
      <c r="AI3">
        <v>1</v>
      </c>
      <c r="AJ3" t="str">
        <f t="shared" ref="AJ3:AJ66" si="3">IF(AI:AI&lt;=2,"0-2",IF(AI:AI&lt;=5,"3-5", IF(AI:AI&lt;=8,"6-8", IF(AI:AI&lt;=11,"9-11","12-15"))))</f>
        <v>0-2</v>
      </c>
      <c r="AK3">
        <v>7</v>
      </c>
    </row>
    <row r="4" spans="1:38" x14ac:dyDescent="0.25">
      <c r="A4" s="8">
        <v>3</v>
      </c>
      <c r="B4" t="s">
        <v>44</v>
      </c>
      <c r="C4" t="s">
        <v>37</v>
      </c>
      <c r="D4" s="8">
        <v>37</v>
      </c>
      <c r="E4" t="str">
        <f t="shared" ref="E4:E67" si="4">IF(D4&lt;25,"18-25",IF(D4&lt;=35,"26-35",IF(D4&lt;=45,"36-45",IF(D4&lt;=55,"46-55",IF(D4&gt;55,"55+")))))</f>
        <v>36-45</v>
      </c>
      <c r="F4" t="s">
        <v>38</v>
      </c>
      <c r="G4" t="s">
        <v>39</v>
      </c>
      <c r="H4" s="8" t="s">
        <v>48</v>
      </c>
      <c r="I4" s="10">
        <v>2</v>
      </c>
      <c r="J4" t="str">
        <f t="shared" si="0"/>
        <v>Near</v>
      </c>
      <c r="K4">
        <v>2</v>
      </c>
      <c r="L4" t="s">
        <v>50</v>
      </c>
      <c r="M4">
        <v>4</v>
      </c>
      <c r="N4">
        <v>2</v>
      </c>
      <c r="O4">
        <v>1</v>
      </c>
      <c r="P4" t="s">
        <v>51</v>
      </c>
      <c r="Q4">
        <v>3</v>
      </c>
      <c r="R4" s="11">
        <v>1373</v>
      </c>
      <c r="S4" s="14">
        <v>92</v>
      </c>
      <c r="T4" s="13">
        <v>2090</v>
      </c>
      <c r="U4" s="13">
        <f t="shared" si="1"/>
        <v>25080</v>
      </c>
      <c r="V4" s="14">
        <v>2396</v>
      </c>
      <c r="W4">
        <v>6</v>
      </c>
      <c r="X4" s="8" t="s">
        <v>38</v>
      </c>
      <c r="Y4" s="15">
        <v>0.15</v>
      </c>
      <c r="Z4">
        <v>3</v>
      </c>
      <c r="AA4">
        <v>2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 t="str">
        <f t="shared" si="2"/>
        <v>0-3</v>
      </c>
      <c r="AI4">
        <v>0</v>
      </c>
      <c r="AJ4" t="str">
        <f t="shared" si="3"/>
        <v>0-2</v>
      </c>
      <c r="AK4">
        <v>0</v>
      </c>
    </row>
    <row r="5" spans="1:38" x14ac:dyDescent="0.25">
      <c r="A5" s="8">
        <v>4</v>
      </c>
      <c r="B5" t="s">
        <v>52</v>
      </c>
      <c r="C5" t="s">
        <v>45</v>
      </c>
      <c r="D5" s="8">
        <v>33</v>
      </c>
      <c r="E5" t="str">
        <f t="shared" si="4"/>
        <v>26-35</v>
      </c>
      <c r="F5" t="s">
        <v>46</v>
      </c>
      <c r="G5" t="s">
        <v>47</v>
      </c>
      <c r="H5" s="8" t="s">
        <v>48</v>
      </c>
      <c r="I5" s="10">
        <v>3</v>
      </c>
      <c r="J5" t="str">
        <f t="shared" si="0"/>
        <v>Near</v>
      </c>
      <c r="K5">
        <v>4</v>
      </c>
      <c r="L5" t="s">
        <v>41</v>
      </c>
      <c r="M5">
        <v>4</v>
      </c>
      <c r="N5">
        <v>3</v>
      </c>
      <c r="O5">
        <v>1</v>
      </c>
      <c r="P5" t="s">
        <v>49</v>
      </c>
      <c r="Q5">
        <v>3</v>
      </c>
      <c r="R5" s="11">
        <v>1392</v>
      </c>
      <c r="S5" s="14">
        <v>56</v>
      </c>
      <c r="T5" s="13">
        <v>2909</v>
      </c>
      <c r="U5" s="13">
        <f t="shared" si="1"/>
        <v>34908</v>
      </c>
      <c r="V5" s="14">
        <v>23159</v>
      </c>
      <c r="W5">
        <v>1</v>
      </c>
      <c r="X5" s="8" t="s">
        <v>38</v>
      </c>
      <c r="Y5" s="15">
        <v>0.11</v>
      </c>
      <c r="Z5">
        <v>3</v>
      </c>
      <c r="AA5">
        <v>3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 t="str">
        <f t="shared" si="2"/>
        <v>4-7</v>
      </c>
      <c r="AI5">
        <v>3</v>
      </c>
      <c r="AJ5" t="str">
        <f t="shared" si="3"/>
        <v>3-5</v>
      </c>
      <c r="AK5">
        <v>0</v>
      </c>
    </row>
    <row r="6" spans="1:38" x14ac:dyDescent="0.25">
      <c r="A6" s="8">
        <v>5</v>
      </c>
      <c r="B6" t="s">
        <v>44</v>
      </c>
      <c r="C6" t="s">
        <v>45</v>
      </c>
      <c r="D6" s="8">
        <v>27</v>
      </c>
      <c r="E6" t="str">
        <f t="shared" si="4"/>
        <v>26-35</v>
      </c>
      <c r="F6" t="s">
        <v>46</v>
      </c>
      <c r="G6" t="s">
        <v>39</v>
      </c>
      <c r="H6" s="8" t="s">
        <v>48</v>
      </c>
      <c r="I6" s="10">
        <v>2</v>
      </c>
      <c r="J6" t="str">
        <f t="shared" si="0"/>
        <v>Near</v>
      </c>
      <c r="K6">
        <v>1</v>
      </c>
      <c r="L6" t="s">
        <v>53</v>
      </c>
      <c r="M6">
        <v>1</v>
      </c>
      <c r="N6">
        <v>3</v>
      </c>
      <c r="O6">
        <v>1</v>
      </c>
      <c r="P6" t="s">
        <v>51</v>
      </c>
      <c r="Q6">
        <v>2</v>
      </c>
      <c r="R6" s="11">
        <v>591</v>
      </c>
      <c r="S6" s="14">
        <v>40</v>
      </c>
      <c r="T6" s="13">
        <v>3468</v>
      </c>
      <c r="U6" s="13">
        <f t="shared" si="1"/>
        <v>41616</v>
      </c>
      <c r="V6" s="14">
        <v>16632</v>
      </c>
      <c r="W6">
        <v>9</v>
      </c>
      <c r="X6" s="8" t="s">
        <v>46</v>
      </c>
      <c r="Y6" s="15">
        <v>0.12</v>
      </c>
      <c r="Z6">
        <v>3</v>
      </c>
      <c r="AA6">
        <v>4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 t="str">
        <f t="shared" si="2"/>
        <v>0-3</v>
      </c>
      <c r="AI6">
        <v>2</v>
      </c>
      <c r="AJ6" t="str">
        <f t="shared" si="3"/>
        <v>0-2</v>
      </c>
      <c r="AK6">
        <v>2</v>
      </c>
    </row>
    <row r="7" spans="1:38" x14ac:dyDescent="0.25">
      <c r="A7" s="8">
        <v>6</v>
      </c>
      <c r="B7" s="16" t="s">
        <v>44</v>
      </c>
      <c r="C7" t="s">
        <v>37</v>
      </c>
      <c r="D7" s="8">
        <v>32</v>
      </c>
      <c r="E7" t="str">
        <f t="shared" si="4"/>
        <v>26-35</v>
      </c>
      <c r="F7" t="s">
        <v>46</v>
      </c>
      <c r="G7" t="s">
        <v>47</v>
      </c>
      <c r="H7" s="8" t="s">
        <v>48</v>
      </c>
      <c r="I7" s="10">
        <v>2</v>
      </c>
      <c r="J7" t="str">
        <f t="shared" si="0"/>
        <v>Near</v>
      </c>
      <c r="K7">
        <v>2</v>
      </c>
      <c r="L7" t="s">
        <v>41</v>
      </c>
      <c r="M7">
        <v>4</v>
      </c>
      <c r="N7">
        <v>3</v>
      </c>
      <c r="O7">
        <v>1</v>
      </c>
      <c r="P7" t="s">
        <v>51</v>
      </c>
      <c r="Q7">
        <v>4</v>
      </c>
      <c r="R7" s="11">
        <v>1005</v>
      </c>
      <c r="S7" s="14">
        <v>79</v>
      </c>
      <c r="T7" s="13">
        <v>3068</v>
      </c>
      <c r="U7" s="13">
        <f t="shared" si="1"/>
        <v>36816</v>
      </c>
      <c r="V7" s="14">
        <v>11864</v>
      </c>
      <c r="W7">
        <v>0</v>
      </c>
      <c r="X7" s="8" t="s">
        <v>46</v>
      </c>
      <c r="Y7" s="15">
        <v>0.13</v>
      </c>
      <c r="Z7">
        <v>3</v>
      </c>
      <c r="AA7">
        <v>3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 t="str">
        <f t="shared" si="2"/>
        <v>4-7</v>
      </c>
      <c r="AI7">
        <v>3</v>
      </c>
      <c r="AJ7" t="str">
        <f t="shared" si="3"/>
        <v>3-5</v>
      </c>
      <c r="AK7">
        <v>6</v>
      </c>
    </row>
    <row r="8" spans="1:38" x14ac:dyDescent="0.25">
      <c r="A8" s="8">
        <v>7</v>
      </c>
      <c r="B8" t="s">
        <v>52</v>
      </c>
      <c r="C8" t="s">
        <v>45</v>
      </c>
      <c r="D8" s="8">
        <v>59</v>
      </c>
      <c r="E8" t="str">
        <f t="shared" si="4"/>
        <v>55+</v>
      </c>
      <c r="F8" t="s">
        <v>46</v>
      </c>
      <c r="G8" t="s">
        <v>39</v>
      </c>
      <c r="H8" s="8" t="s">
        <v>48</v>
      </c>
      <c r="I8" s="10">
        <v>3</v>
      </c>
      <c r="J8" t="str">
        <f t="shared" si="0"/>
        <v>Near</v>
      </c>
      <c r="K8">
        <v>3</v>
      </c>
      <c r="L8" t="s">
        <v>53</v>
      </c>
      <c r="M8">
        <v>3</v>
      </c>
      <c r="N8">
        <v>4</v>
      </c>
      <c r="O8">
        <v>1</v>
      </c>
      <c r="P8" t="s">
        <v>51</v>
      </c>
      <c r="Q8">
        <v>1</v>
      </c>
      <c r="R8" s="11">
        <v>1324</v>
      </c>
      <c r="S8" s="14">
        <v>81</v>
      </c>
      <c r="T8" s="13">
        <v>2670</v>
      </c>
      <c r="U8" s="13">
        <f t="shared" si="1"/>
        <v>32040</v>
      </c>
      <c r="V8" s="14">
        <v>9964</v>
      </c>
      <c r="W8">
        <v>4</v>
      </c>
      <c r="X8" s="8" t="s">
        <v>38</v>
      </c>
      <c r="Y8" s="15">
        <v>0.2</v>
      </c>
      <c r="Z8">
        <v>4</v>
      </c>
      <c r="AA8">
        <v>1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 t="str">
        <f t="shared" si="2"/>
        <v>0-3</v>
      </c>
      <c r="AI8">
        <v>0</v>
      </c>
      <c r="AJ8" t="str">
        <f t="shared" si="3"/>
        <v>0-2</v>
      </c>
      <c r="AK8">
        <v>0</v>
      </c>
    </row>
    <row r="9" spans="1:38" x14ac:dyDescent="0.25">
      <c r="A9" s="8">
        <v>8</v>
      </c>
      <c r="B9" t="s">
        <v>44</v>
      </c>
      <c r="C9" t="s">
        <v>54</v>
      </c>
      <c r="D9" s="8">
        <v>30</v>
      </c>
      <c r="E9" t="str">
        <f t="shared" si="4"/>
        <v>26-35</v>
      </c>
      <c r="F9" t="s">
        <v>46</v>
      </c>
      <c r="G9" t="s">
        <v>39</v>
      </c>
      <c r="H9" s="8" t="s">
        <v>48</v>
      </c>
      <c r="I9" s="10">
        <v>24</v>
      </c>
      <c r="J9" t="str">
        <f t="shared" si="0"/>
        <v>Far</v>
      </c>
      <c r="K9">
        <v>1</v>
      </c>
      <c r="L9" t="s">
        <v>41</v>
      </c>
      <c r="M9">
        <v>4</v>
      </c>
      <c r="N9">
        <v>3</v>
      </c>
      <c r="O9">
        <v>1</v>
      </c>
      <c r="P9" t="s">
        <v>51</v>
      </c>
      <c r="Q9">
        <v>3</v>
      </c>
      <c r="R9" s="11">
        <v>1358</v>
      </c>
      <c r="S9" s="14">
        <v>67</v>
      </c>
      <c r="T9" s="13">
        <v>2693</v>
      </c>
      <c r="U9" s="13">
        <f t="shared" si="1"/>
        <v>32316</v>
      </c>
      <c r="V9" s="14">
        <v>13335</v>
      </c>
      <c r="W9">
        <v>1</v>
      </c>
      <c r="X9" s="8" t="s">
        <v>46</v>
      </c>
      <c r="Y9" s="15">
        <v>0.22</v>
      </c>
      <c r="Z9">
        <v>4</v>
      </c>
      <c r="AA9">
        <v>2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 t="str">
        <f t="shared" si="2"/>
        <v>0-3</v>
      </c>
      <c r="AI9">
        <v>0</v>
      </c>
      <c r="AJ9" t="str">
        <f t="shared" si="3"/>
        <v>0-2</v>
      </c>
      <c r="AK9">
        <v>0</v>
      </c>
    </row>
    <row r="10" spans="1:38" x14ac:dyDescent="0.25">
      <c r="A10" s="8">
        <v>9</v>
      </c>
      <c r="B10" t="s">
        <v>44</v>
      </c>
      <c r="C10" t="s">
        <v>37</v>
      </c>
      <c r="D10" s="8">
        <v>38</v>
      </c>
      <c r="E10" t="str">
        <f t="shared" si="4"/>
        <v>36-45</v>
      </c>
      <c r="F10" t="s">
        <v>46</v>
      </c>
      <c r="G10" t="s">
        <v>47</v>
      </c>
      <c r="H10" s="8" t="s">
        <v>48</v>
      </c>
      <c r="I10" s="10">
        <v>23</v>
      </c>
      <c r="J10" t="str">
        <f t="shared" si="0"/>
        <v>Far</v>
      </c>
      <c r="K10">
        <v>3</v>
      </c>
      <c r="L10" t="s">
        <v>41</v>
      </c>
      <c r="M10">
        <v>4</v>
      </c>
      <c r="N10">
        <v>2</v>
      </c>
      <c r="O10">
        <v>3</v>
      </c>
      <c r="P10" t="s">
        <v>55</v>
      </c>
      <c r="Q10">
        <v>3</v>
      </c>
      <c r="R10" s="11">
        <v>216</v>
      </c>
      <c r="S10" s="14">
        <v>44</v>
      </c>
      <c r="T10" s="13">
        <v>9526</v>
      </c>
      <c r="U10" s="13">
        <f t="shared" si="1"/>
        <v>114312</v>
      </c>
      <c r="V10" s="14">
        <v>8787</v>
      </c>
      <c r="W10">
        <v>0</v>
      </c>
      <c r="X10" s="8" t="s">
        <v>46</v>
      </c>
      <c r="Y10" s="15">
        <v>0.21</v>
      </c>
      <c r="Z10">
        <v>4</v>
      </c>
      <c r="AA10">
        <v>2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 t="str">
        <f t="shared" si="2"/>
        <v>4-7</v>
      </c>
      <c r="AI10">
        <v>1</v>
      </c>
      <c r="AJ10" t="str">
        <f t="shared" si="3"/>
        <v>0-2</v>
      </c>
      <c r="AK10">
        <v>8</v>
      </c>
    </row>
    <row r="11" spans="1:38" x14ac:dyDescent="0.25">
      <c r="A11" s="8">
        <v>10</v>
      </c>
      <c r="B11" t="s">
        <v>44</v>
      </c>
      <c r="C11" t="s">
        <v>45</v>
      </c>
      <c r="D11" s="8">
        <v>36</v>
      </c>
      <c r="E11" t="str">
        <f t="shared" si="4"/>
        <v>36-45</v>
      </c>
      <c r="F11" t="s">
        <v>46</v>
      </c>
      <c r="G11" t="s">
        <v>39</v>
      </c>
      <c r="H11" s="8" t="s">
        <v>48</v>
      </c>
      <c r="I11" s="10">
        <v>27</v>
      </c>
      <c r="J11" t="str">
        <f t="shared" si="0"/>
        <v>Far</v>
      </c>
      <c r="K11">
        <v>3</v>
      </c>
      <c r="L11" t="s">
        <v>53</v>
      </c>
      <c r="M11">
        <v>3</v>
      </c>
      <c r="N11">
        <v>3</v>
      </c>
      <c r="O11">
        <v>2</v>
      </c>
      <c r="P11" t="s">
        <v>56</v>
      </c>
      <c r="Q11">
        <v>3</v>
      </c>
      <c r="R11" s="11">
        <v>1299</v>
      </c>
      <c r="S11" s="14">
        <v>94</v>
      </c>
      <c r="T11" s="13">
        <v>5237</v>
      </c>
      <c r="U11" s="13">
        <f t="shared" si="1"/>
        <v>62844</v>
      </c>
      <c r="V11" s="14">
        <v>16577</v>
      </c>
      <c r="W11">
        <v>6</v>
      </c>
      <c r="X11" s="8" t="s">
        <v>46</v>
      </c>
      <c r="Y11" s="15">
        <v>0.13</v>
      </c>
      <c r="Z11">
        <v>3</v>
      </c>
      <c r="AA11">
        <v>2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 t="str">
        <f t="shared" si="2"/>
        <v>4-7</v>
      </c>
      <c r="AI11">
        <v>7</v>
      </c>
      <c r="AJ11" t="str">
        <f t="shared" si="3"/>
        <v>6-8</v>
      </c>
      <c r="AK11">
        <v>7</v>
      </c>
    </row>
    <row r="12" spans="1:38" x14ac:dyDescent="0.25">
      <c r="A12" s="8">
        <v>11</v>
      </c>
      <c r="B12" t="s">
        <v>44</v>
      </c>
      <c r="C12" t="s">
        <v>45</v>
      </c>
      <c r="D12" s="8">
        <v>35</v>
      </c>
      <c r="E12" t="str">
        <f t="shared" si="4"/>
        <v>26-35</v>
      </c>
      <c r="F12" t="s">
        <v>46</v>
      </c>
      <c r="G12" t="s">
        <v>39</v>
      </c>
      <c r="H12" s="8" t="s">
        <v>48</v>
      </c>
      <c r="I12" s="10">
        <v>16</v>
      </c>
      <c r="J12" t="str">
        <f t="shared" si="0"/>
        <v>Far</v>
      </c>
      <c r="K12">
        <v>3</v>
      </c>
      <c r="L12" t="s">
        <v>53</v>
      </c>
      <c r="M12">
        <v>1</v>
      </c>
      <c r="N12">
        <v>4</v>
      </c>
      <c r="O12">
        <v>1</v>
      </c>
      <c r="P12" t="s">
        <v>51</v>
      </c>
      <c r="Q12">
        <v>2</v>
      </c>
      <c r="R12" s="11">
        <v>809</v>
      </c>
      <c r="S12" s="14">
        <v>84</v>
      </c>
      <c r="T12" s="13">
        <v>2426</v>
      </c>
      <c r="U12" s="13">
        <f t="shared" si="1"/>
        <v>29112</v>
      </c>
      <c r="V12" s="14">
        <v>16479</v>
      </c>
      <c r="W12">
        <v>0</v>
      </c>
      <c r="X12" s="8" t="s">
        <v>46</v>
      </c>
      <c r="Y12" s="15">
        <v>0.13</v>
      </c>
      <c r="Z12">
        <v>3</v>
      </c>
      <c r="AA12">
        <v>3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 t="str">
        <f t="shared" si="2"/>
        <v>4-7</v>
      </c>
      <c r="AI12">
        <v>0</v>
      </c>
      <c r="AJ12" t="str">
        <f t="shared" si="3"/>
        <v>0-2</v>
      </c>
      <c r="AK12">
        <v>3</v>
      </c>
    </row>
    <row r="13" spans="1:38" x14ac:dyDescent="0.25">
      <c r="A13" s="8">
        <v>12</v>
      </c>
      <c r="B13" t="s">
        <v>52</v>
      </c>
      <c r="C13" t="s">
        <v>37</v>
      </c>
      <c r="D13" s="8">
        <v>29</v>
      </c>
      <c r="E13" t="str">
        <f t="shared" si="4"/>
        <v>26-35</v>
      </c>
      <c r="F13" t="s">
        <v>46</v>
      </c>
      <c r="G13" t="s">
        <v>39</v>
      </c>
      <c r="H13" s="8" t="s">
        <v>48</v>
      </c>
      <c r="I13" s="10">
        <v>15</v>
      </c>
      <c r="J13" t="str">
        <f t="shared" si="0"/>
        <v>Moderate</v>
      </c>
      <c r="K13">
        <v>2</v>
      </c>
      <c r="L13" t="s">
        <v>41</v>
      </c>
      <c r="M13">
        <v>4</v>
      </c>
      <c r="N13">
        <v>2</v>
      </c>
      <c r="O13">
        <v>2</v>
      </c>
      <c r="P13" t="s">
        <v>51</v>
      </c>
      <c r="Q13">
        <v>3</v>
      </c>
      <c r="R13" s="11">
        <v>153</v>
      </c>
      <c r="S13" s="14">
        <v>49</v>
      </c>
      <c r="T13" s="13">
        <v>4193</v>
      </c>
      <c r="U13" s="13">
        <f t="shared" si="1"/>
        <v>50316</v>
      </c>
      <c r="V13" s="14">
        <v>12682</v>
      </c>
      <c r="W13">
        <v>0</v>
      </c>
      <c r="X13" s="8" t="s">
        <v>38</v>
      </c>
      <c r="Y13" s="15">
        <v>0.12</v>
      </c>
      <c r="Z13">
        <v>3</v>
      </c>
      <c r="AA13">
        <v>4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 t="str">
        <f t="shared" si="2"/>
        <v>4-7</v>
      </c>
      <c r="AI13">
        <v>0</v>
      </c>
      <c r="AJ13" t="str">
        <f t="shared" si="3"/>
        <v>0-2</v>
      </c>
      <c r="AK13">
        <v>8</v>
      </c>
      <c r="AL13" t="s">
        <v>57</v>
      </c>
    </row>
    <row r="14" spans="1:38" x14ac:dyDescent="0.25">
      <c r="A14" s="8">
        <v>13</v>
      </c>
      <c r="B14" t="s">
        <v>44</v>
      </c>
      <c r="C14" t="s">
        <v>54</v>
      </c>
      <c r="D14" s="8">
        <v>31</v>
      </c>
      <c r="E14" t="str">
        <f t="shared" si="4"/>
        <v>26-35</v>
      </c>
      <c r="F14" t="s">
        <v>46</v>
      </c>
      <c r="G14" t="s">
        <v>39</v>
      </c>
      <c r="H14" s="8" t="s">
        <v>48</v>
      </c>
      <c r="I14" s="10">
        <v>26</v>
      </c>
      <c r="J14" t="str">
        <f t="shared" si="0"/>
        <v>Far</v>
      </c>
      <c r="K14">
        <v>1</v>
      </c>
      <c r="L14" t="s">
        <v>41</v>
      </c>
      <c r="M14">
        <v>1</v>
      </c>
      <c r="N14">
        <v>3</v>
      </c>
      <c r="O14">
        <v>1</v>
      </c>
      <c r="P14" t="s">
        <v>49</v>
      </c>
      <c r="Q14">
        <v>3</v>
      </c>
      <c r="R14" s="11">
        <v>670</v>
      </c>
      <c r="S14" s="14">
        <v>31</v>
      </c>
      <c r="T14" s="13">
        <v>2911</v>
      </c>
      <c r="U14" s="13">
        <f t="shared" si="1"/>
        <v>34932</v>
      </c>
      <c r="V14" s="14">
        <v>15170</v>
      </c>
      <c r="W14">
        <v>1</v>
      </c>
      <c r="X14" s="8" t="s">
        <v>46</v>
      </c>
      <c r="Y14" s="15">
        <v>0.17</v>
      </c>
      <c r="Z14">
        <v>3</v>
      </c>
      <c r="AA14">
        <v>4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 t="str">
        <f t="shared" si="2"/>
        <v>0-3</v>
      </c>
      <c r="AI14">
        <v>4</v>
      </c>
      <c r="AJ14" t="str">
        <f t="shared" si="3"/>
        <v>3-5</v>
      </c>
      <c r="AK14">
        <v>3</v>
      </c>
    </row>
    <row r="15" spans="1:38" x14ac:dyDescent="0.25">
      <c r="A15" s="8">
        <v>14</v>
      </c>
      <c r="B15" t="s">
        <v>44</v>
      </c>
      <c r="C15" t="s">
        <v>54</v>
      </c>
      <c r="D15" s="8">
        <v>34</v>
      </c>
      <c r="E15" t="str">
        <f t="shared" si="4"/>
        <v>26-35</v>
      </c>
      <c r="F15" t="s">
        <v>46</v>
      </c>
      <c r="G15" t="s">
        <v>39</v>
      </c>
      <c r="H15" s="8" t="s">
        <v>48</v>
      </c>
      <c r="I15" s="10">
        <v>19</v>
      </c>
      <c r="J15" t="str">
        <f t="shared" si="0"/>
        <v>Far</v>
      </c>
      <c r="K15">
        <v>2</v>
      </c>
      <c r="L15" t="s">
        <v>53</v>
      </c>
      <c r="M15">
        <v>2</v>
      </c>
      <c r="N15">
        <v>3</v>
      </c>
      <c r="O15">
        <v>1</v>
      </c>
      <c r="P15" t="s">
        <v>51</v>
      </c>
      <c r="Q15">
        <v>4</v>
      </c>
      <c r="R15" s="11">
        <v>1346</v>
      </c>
      <c r="S15" s="14">
        <v>93</v>
      </c>
      <c r="T15" s="13">
        <v>2661</v>
      </c>
      <c r="U15" s="13">
        <f t="shared" si="1"/>
        <v>31932</v>
      </c>
      <c r="V15" s="14">
        <v>8758</v>
      </c>
      <c r="W15">
        <v>0</v>
      </c>
      <c r="X15" s="8" t="s">
        <v>46</v>
      </c>
      <c r="Y15" s="15">
        <v>0.11</v>
      </c>
      <c r="Z15">
        <v>3</v>
      </c>
      <c r="AA15">
        <v>3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 t="str">
        <f t="shared" si="2"/>
        <v>0-3</v>
      </c>
      <c r="AI15">
        <v>1</v>
      </c>
      <c r="AJ15" t="str">
        <f t="shared" si="3"/>
        <v>0-2</v>
      </c>
      <c r="AK15">
        <v>2</v>
      </c>
    </row>
    <row r="16" spans="1:38" x14ac:dyDescent="0.25">
      <c r="A16" s="8">
        <v>15</v>
      </c>
      <c r="B16" t="s">
        <v>44</v>
      </c>
      <c r="C16" t="s">
        <v>37</v>
      </c>
      <c r="D16" s="8">
        <v>28</v>
      </c>
      <c r="E16" t="str">
        <f t="shared" si="4"/>
        <v>26-35</v>
      </c>
      <c r="F16" t="s">
        <v>38</v>
      </c>
      <c r="G16" t="s">
        <v>39</v>
      </c>
      <c r="H16" s="8" t="s">
        <v>48</v>
      </c>
      <c r="I16" s="10">
        <v>24</v>
      </c>
      <c r="J16" t="str">
        <f t="shared" si="0"/>
        <v>Far</v>
      </c>
      <c r="K16">
        <v>3</v>
      </c>
      <c r="L16" t="s">
        <v>41</v>
      </c>
      <c r="M16">
        <v>3</v>
      </c>
      <c r="N16">
        <v>2</v>
      </c>
      <c r="O16">
        <v>1</v>
      </c>
      <c r="P16" t="s">
        <v>51</v>
      </c>
      <c r="Q16">
        <v>3</v>
      </c>
      <c r="R16" s="11">
        <v>103</v>
      </c>
      <c r="S16" s="14">
        <v>50</v>
      </c>
      <c r="T16" s="13">
        <v>2028</v>
      </c>
      <c r="U16" s="13">
        <f t="shared" si="1"/>
        <v>24336</v>
      </c>
      <c r="V16" s="14">
        <v>12947</v>
      </c>
      <c r="W16">
        <v>5</v>
      </c>
      <c r="X16" s="8" t="s">
        <v>38</v>
      </c>
      <c r="Y16" s="15">
        <v>0.14000000000000001</v>
      </c>
      <c r="Z16">
        <v>3</v>
      </c>
      <c r="AA16">
        <v>2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 t="str">
        <f t="shared" si="2"/>
        <v>0-3</v>
      </c>
      <c r="AI16">
        <v>0</v>
      </c>
      <c r="AJ16" t="str">
        <f t="shared" si="3"/>
        <v>0-2</v>
      </c>
      <c r="AK16">
        <v>3</v>
      </c>
    </row>
    <row r="17" spans="1:37" x14ac:dyDescent="0.25">
      <c r="A17" s="8">
        <v>16</v>
      </c>
      <c r="B17" t="s">
        <v>52</v>
      </c>
      <c r="C17" t="s">
        <v>54</v>
      </c>
      <c r="D17" s="8">
        <v>29</v>
      </c>
      <c r="E17" t="str">
        <f t="shared" si="4"/>
        <v>26-35</v>
      </c>
      <c r="F17" t="s">
        <v>46</v>
      </c>
      <c r="G17" t="s">
        <v>39</v>
      </c>
      <c r="H17" s="8" t="s">
        <v>48</v>
      </c>
      <c r="I17" s="10">
        <v>21</v>
      </c>
      <c r="J17" t="str">
        <f t="shared" si="0"/>
        <v>Far</v>
      </c>
      <c r="K17">
        <v>4</v>
      </c>
      <c r="L17" t="s">
        <v>41</v>
      </c>
      <c r="M17">
        <v>2</v>
      </c>
      <c r="N17">
        <v>4</v>
      </c>
      <c r="O17">
        <v>3</v>
      </c>
      <c r="P17" t="s">
        <v>55</v>
      </c>
      <c r="Q17">
        <v>1</v>
      </c>
      <c r="R17" s="11">
        <v>1389</v>
      </c>
      <c r="S17" s="14">
        <v>51</v>
      </c>
      <c r="T17" s="13">
        <v>9980</v>
      </c>
      <c r="U17" s="13">
        <f t="shared" si="1"/>
        <v>119760</v>
      </c>
      <c r="V17" s="14">
        <v>10195</v>
      </c>
      <c r="W17">
        <v>1</v>
      </c>
      <c r="X17" s="8" t="s">
        <v>46</v>
      </c>
      <c r="Y17" s="15">
        <v>0.11</v>
      </c>
      <c r="Z17">
        <v>3</v>
      </c>
      <c r="AA17">
        <v>3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 t="str">
        <f t="shared" si="2"/>
        <v>8-11</v>
      </c>
      <c r="AI17">
        <v>8</v>
      </c>
      <c r="AJ17" t="str">
        <f t="shared" si="3"/>
        <v>6-8</v>
      </c>
      <c r="AK17">
        <v>8</v>
      </c>
    </row>
    <row r="18" spans="1:37" x14ac:dyDescent="0.25">
      <c r="A18" s="8">
        <v>17</v>
      </c>
      <c r="B18" t="s">
        <v>44</v>
      </c>
      <c r="C18" t="s">
        <v>54</v>
      </c>
      <c r="D18" s="8">
        <v>32</v>
      </c>
      <c r="E18" t="str">
        <f t="shared" si="4"/>
        <v>26-35</v>
      </c>
      <c r="F18" t="s">
        <v>46</v>
      </c>
      <c r="G18" t="s">
        <v>39</v>
      </c>
      <c r="H18" s="8" t="s">
        <v>48</v>
      </c>
      <c r="I18" s="10">
        <v>5</v>
      </c>
      <c r="J18" t="str">
        <f t="shared" si="0"/>
        <v>Near</v>
      </c>
      <c r="K18">
        <v>2</v>
      </c>
      <c r="L18" t="s">
        <v>41</v>
      </c>
      <c r="M18">
        <v>1</v>
      </c>
      <c r="N18">
        <v>4</v>
      </c>
      <c r="O18">
        <v>1</v>
      </c>
      <c r="P18" t="s">
        <v>49</v>
      </c>
      <c r="Q18">
        <v>2</v>
      </c>
      <c r="R18" s="11">
        <v>334</v>
      </c>
      <c r="S18" s="14">
        <v>80</v>
      </c>
      <c r="T18" s="13">
        <v>3298</v>
      </c>
      <c r="U18" s="13">
        <f t="shared" si="1"/>
        <v>39576</v>
      </c>
      <c r="V18" s="14">
        <v>15053</v>
      </c>
      <c r="W18">
        <v>0</v>
      </c>
      <c r="X18" s="8" t="s">
        <v>38</v>
      </c>
      <c r="Y18" s="15">
        <v>0.12</v>
      </c>
      <c r="Z18">
        <v>3</v>
      </c>
      <c r="AA18">
        <v>4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 t="str">
        <f t="shared" si="2"/>
        <v>0-3</v>
      </c>
      <c r="AI18">
        <v>0</v>
      </c>
      <c r="AJ18" t="str">
        <f t="shared" si="3"/>
        <v>0-2</v>
      </c>
      <c r="AK18">
        <v>5</v>
      </c>
    </row>
    <row r="19" spans="1:37" x14ac:dyDescent="0.25">
      <c r="A19" s="8">
        <v>18</v>
      </c>
      <c r="B19" t="s">
        <v>44</v>
      </c>
      <c r="C19" t="s">
        <v>54</v>
      </c>
      <c r="D19" s="8">
        <v>22</v>
      </c>
      <c r="E19" t="str">
        <f t="shared" si="4"/>
        <v>18-25</v>
      </c>
      <c r="F19" t="s">
        <v>46</v>
      </c>
      <c r="G19" t="s">
        <v>58</v>
      </c>
      <c r="H19" s="8" t="s">
        <v>48</v>
      </c>
      <c r="I19" s="10">
        <v>16</v>
      </c>
      <c r="J19" t="str">
        <f t="shared" si="0"/>
        <v>Far</v>
      </c>
      <c r="K19">
        <v>2</v>
      </c>
      <c r="L19" t="s">
        <v>53</v>
      </c>
      <c r="M19">
        <v>4</v>
      </c>
      <c r="N19">
        <v>4</v>
      </c>
      <c r="O19">
        <v>1</v>
      </c>
      <c r="P19" t="s">
        <v>51</v>
      </c>
      <c r="Q19">
        <v>4</v>
      </c>
      <c r="R19" s="11">
        <v>1123</v>
      </c>
      <c r="S19" s="14">
        <v>96</v>
      </c>
      <c r="T19" s="13">
        <v>2935</v>
      </c>
      <c r="U19" s="13">
        <f t="shared" si="1"/>
        <v>35220</v>
      </c>
      <c r="V19" s="14">
        <v>7324</v>
      </c>
      <c r="W19">
        <v>1</v>
      </c>
      <c r="X19" s="8" t="s">
        <v>38</v>
      </c>
      <c r="Y19" s="15">
        <v>0.13</v>
      </c>
      <c r="Z19">
        <v>3</v>
      </c>
      <c r="AA19">
        <v>2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 t="str">
        <f t="shared" si="2"/>
        <v>0-3</v>
      </c>
      <c r="AI19">
        <v>0</v>
      </c>
      <c r="AJ19" t="str">
        <f t="shared" si="3"/>
        <v>0-2</v>
      </c>
      <c r="AK19">
        <v>0</v>
      </c>
    </row>
    <row r="20" spans="1:37" x14ac:dyDescent="0.25">
      <c r="A20" s="8">
        <v>19</v>
      </c>
      <c r="B20" t="s">
        <v>52</v>
      </c>
      <c r="C20" t="s">
        <v>45</v>
      </c>
      <c r="D20" s="8">
        <v>53</v>
      </c>
      <c r="E20" t="str">
        <f t="shared" si="4"/>
        <v>46-55</v>
      </c>
      <c r="F20" t="s">
        <v>46</v>
      </c>
      <c r="G20" t="s">
        <v>39</v>
      </c>
      <c r="H20" s="8" t="s">
        <v>40</v>
      </c>
      <c r="I20" s="10">
        <v>2</v>
      </c>
      <c r="J20" t="str">
        <f t="shared" si="0"/>
        <v>Near</v>
      </c>
      <c r="K20">
        <v>4</v>
      </c>
      <c r="L20" t="s">
        <v>41</v>
      </c>
      <c r="M20">
        <v>1</v>
      </c>
      <c r="N20">
        <v>2</v>
      </c>
      <c r="O20">
        <v>4</v>
      </c>
      <c r="P20" t="s">
        <v>59</v>
      </c>
      <c r="Q20">
        <v>4</v>
      </c>
      <c r="R20" s="11">
        <v>1219</v>
      </c>
      <c r="S20" s="14">
        <v>78</v>
      </c>
      <c r="T20" s="13">
        <v>15427</v>
      </c>
      <c r="U20" s="13">
        <f t="shared" si="1"/>
        <v>185124</v>
      </c>
      <c r="V20" s="14">
        <v>22021</v>
      </c>
      <c r="W20">
        <v>2</v>
      </c>
      <c r="X20" s="8" t="s">
        <v>46</v>
      </c>
      <c r="Y20" s="15">
        <v>0.16</v>
      </c>
      <c r="Z20">
        <v>3</v>
      </c>
      <c r="AA20">
        <v>3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 t="str">
        <f t="shared" si="2"/>
        <v>8-11</v>
      </c>
      <c r="AI20">
        <v>3</v>
      </c>
      <c r="AJ20" t="str">
        <f t="shared" si="3"/>
        <v>3-5</v>
      </c>
      <c r="AK20">
        <v>7</v>
      </c>
    </row>
    <row r="21" spans="1:37" x14ac:dyDescent="0.25">
      <c r="A21" s="8">
        <v>20</v>
      </c>
      <c r="B21" t="s">
        <v>44</v>
      </c>
      <c r="C21" t="s">
        <v>37</v>
      </c>
      <c r="D21" s="8">
        <v>38</v>
      </c>
      <c r="E21" t="str">
        <f t="shared" si="4"/>
        <v>36-45</v>
      </c>
      <c r="F21" t="s">
        <v>46</v>
      </c>
      <c r="G21" t="s">
        <v>39</v>
      </c>
      <c r="H21" s="8" t="s">
        <v>48</v>
      </c>
      <c r="I21" s="10">
        <v>2</v>
      </c>
      <c r="J21" t="str">
        <f t="shared" si="0"/>
        <v>Near</v>
      </c>
      <c r="K21">
        <v>3</v>
      </c>
      <c r="L21" t="s">
        <v>41</v>
      </c>
      <c r="M21">
        <v>4</v>
      </c>
      <c r="N21">
        <v>3</v>
      </c>
      <c r="O21">
        <v>1</v>
      </c>
      <c r="P21" t="s">
        <v>49</v>
      </c>
      <c r="Q21">
        <v>4</v>
      </c>
      <c r="R21" s="11">
        <v>371</v>
      </c>
      <c r="S21" s="14">
        <v>45</v>
      </c>
      <c r="T21" s="13">
        <v>3944</v>
      </c>
      <c r="U21" s="13">
        <f t="shared" si="1"/>
        <v>47328</v>
      </c>
      <c r="V21" s="14">
        <v>4306</v>
      </c>
      <c r="W21">
        <v>5</v>
      </c>
      <c r="X21" s="8" t="s">
        <v>38</v>
      </c>
      <c r="Y21" s="15">
        <v>0.11</v>
      </c>
      <c r="Z21">
        <v>3</v>
      </c>
      <c r="AA21">
        <v>3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 t="str">
        <f t="shared" si="2"/>
        <v>0-3</v>
      </c>
      <c r="AI21">
        <v>1</v>
      </c>
      <c r="AJ21" t="str">
        <f t="shared" si="3"/>
        <v>0-2</v>
      </c>
      <c r="AK21">
        <v>2</v>
      </c>
    </row>
    <row r="22" spans="1:37" x14ac:dyDescent="0.25">
      <c r="A22" s="8">
        <v>21</v>
      </c>
      <c r="B22" t="s">
        <v>52</v>
      </c>
      <c r="C22" t="s">
        <v>54</v>
      </c>
      <c r="D22" s="8">
        <v>24</v>
      </c>
      <c r="E22" t="str">
        <f t="shared" si="4"/>
        <v>18-25</v>
      </c>
      <c r="F22" t="s">
        <v>46</v>
      </c>
      <c r="G22" t="s">
        <v>58</v>
      </c>
      <c r="H22" s="8" t="s">
        <v>48</v>
      </c>
      <c r="I22" s="10">
        <v>11</v>
      </c>
      <c r="J22" t="str">
        <f t="shared" si="0"/>
        <v>Moderate</v>
      </c>
      <c r="K22">
        <v>2</v>
      </c>
      <c r="L22" t="s">
        <v>50</v>
      </c>
      <c r="M22">
        <v>1</v>
      </c>
      <c r="N22">
        <v>4</v>
      </c>
      <c r="O22">
        <v>2</v>
      </c>
      <c r="P22" t="s">
        <v>55</v>
      </c>
      <c r="Q22">
        <v>3</v>
      </c>
      <c r="R22" s="11">
        <v>673</v>
      </c>
      <c r="S22" s="14">
        <v>96</v>
      </c>
      <c r="T22" s="13">
        <v>4011</v>
      </c>
      <c r="U22" s="13">
        <f t="shared" si="1"/>
        <v>48132</v>
      </c>
      <c r="V22" s="14">
        <v>8232</v>
      </c>
      <c r="W22">
        <v>0</v>
      </c>
      <c r="X22" s="8" t="s">
        <v>46</v>
      </c>
      <c r="Y22" s="15">
        <v>0.18</v>
      </c>
      <c r="Z22">
        <v>3</v>
      </c>
      <c r="AA22">
        <v>4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 t="str">
        <f t="shared" si="2"/>
        <v>0-3</v>
      </c>
      <c r="AI22">
        <v>1</v>
      </c>
      <c r="AJ22" t="str">
        <f t="shared" si="3"/>
        <v>0-2</v>
      </c>
      <c r="AK22">
        <v>3</v>
      </c>
    </row>
    <row r="23" spans="1:37" x14ac:dyDescent="0.25">
      <c r="A23" s="8">
        <v>22</v>
      </c>
      <c r="B23" t="s">
        <v>44</v>
      </c>
      <c r="C23" t="s">
        <v>37</v>
      </c>
      <c r="D23" s="8">
        <v>36</v>
      </c>
      <c r="E23" t="str">
        <f t="shared" si="4"/>
        <v>36-45</v>
      </c>
      <c r="F23" t="s">
        <v>38</v>
      </c>
      <c r="G23" t="s">
        <v>39</v>
      </c>
      <c r="H23" s="8" t="s">
        <v>40</v>
      </c>
      <c r="I23" s="10">
        <v>9</v>
      </c>
      <c r="J23" t="str">
        <f t="shared" si="0"/>
        <v>Moderate</v>
      </c>
      <c r="K23">
        <v>4</v>
      </c>
      <c r="L23" t="s">
        <v>41</v>
      </c>
      <c r="M23">
        <v>3</v>
      </c>
      <c r="N23">
        <v>2</v>
      </c>
      <c r="O23">
        <v>1</v>
      </c>
      <c r="P23" t="s">
        <v>60</v>
      </c>
      <c r="Q23">
        <v>1</v>
      </c>
      <c r="R23" s="11">
        <v>1218</v>
      </c>
      <c r="S23" s="14">
        <v>82</v>
      </c>
      <c r="T23" s="13">
        <v>3407</v>
      </c>
      <c r="U23" s="13">
        <f t="shared" si="1"/>
        <v>40884</v>
      </c>
      <c r="V23" s="14">
        <v>6986</v>
      </c>
      <c r="W23">
        <v>7</v>
      </c>
      <c r="X23" s="8" t="s">
        <v>46</v>
      </c>
      <c r="Y23" s="15">
        <v>0.23</v>
      </c>
      <c r="Z23">
        <v>4</v>
      </c>
      <c r="AA23">
        <v>2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 t="str">
        <f t="shared" si="2"/>
        <v>0-3</v>
      </c>
      <c r="AI23">
        <v>0</v>
      </c>
      <c r="AJ23" t="str">
        <f t="shared" si="3"/>
        <v>0-2</v>
      </c>
      <c r="AK23">
        <v>3</v>
      </c>
    </row>
    <row r="24" spans="1:37" x14ac:dyDescent="0.25">
      <c r="A24" s="8">
        <v>23</v>
      </c>
      <c r="B24" t="s">
        <v>52</v>
      </c>
      <c r="C24" t="s">
        <v>37</v>
      </c>
      <c r="D24" s="8">
        <v>34</v>
      </c>
      <c r="E24" t="str">
        <f t="shared" si="4"/>
        <v>26-35</v>
      </c>
      <c r="F24" t="s">
        <v>46</v>
      </c>
      <c r="G24" t="s">
        <v>39</v>
      </c>
      <c r="H24" s="8" t="s">
        <v>48</v>
      </c>
      <c r="I24" s="10">
        <v>7</v>
      </c>
      <c r="J24" t="str">
        <f t="shared" si="0"/>
        <v>Moderate</v>
      </c>
      <c r="K24">
        <v>4</v>
      </c>
      <c r="L24" t="s">
        <v>41</v>
      </c>
      <c r="M24">
        <v>1</v>
      </c>
      <c r="N24">
        <v>3</v>
      </c>
      <c r="O24">
        <v>3</v>
      </c>
      <c r="P24" t="s">
        <v>61</v>
      </c>
      <c r="Q24">
        <v>2</v>
      </c>
      <c r="R24" s="11">
        <v>419</v>
      </c>
      <c r="S24" s="14">
        <v>53</v>
      </c>
      <c r="T24" s="13">
        <v>11994</v>
      </c>
      <c r="U24" s="13">
        <f t="shared" si="1"/>
        <v>143928</v>
      </c>
      <c r="V24" s="14">
        <v>21293</v>
      </c>
      <c r="W24">
        <v>0</v>
      </c>
      <c r="X24" s="8" t="s">
        <v>46</v>
      </c>
      <c r="Y24" s="15">
        <v>0.11</v>
      </c>
      <c r="Z24">
        <v>3</v>
      </c>
      <c r="AA24">
        <v>3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 t="str">
        <f t="shared" si="2"/>
        <v>4-7</v>
      </c>
      <c r="AI24">
        <v>2</v>
      </c>
      <c r="AJ24" t="str">
        <f t="shared" si="3"/>
        <v>0-2</v>
      </c>
      <c r="AK24">
        <v>11</v>
      </c>
    </row>
    <row r="25" spans="1:37" x14ac:dyDescent="0.25">
      <c r="A25" s="8">
        <v>24</v>
      </c>
      <c r="B25" t="s">
        <v>44</v>
      </c>
      <c r="C25" t="s">
        <v>37</v>
      </c>
      <c r="D25" s="8">
        <v>21</v>
      </c>
      <c r="E25" t="str">
        <f t="shared" si="4"/>
        <v>18-25</v>
      </c>
      <c r="F25" t="s">
        <v>46</v>
      </c>
      <c r="G25" t="s">
        <v>39</v>
      </c>
      <c r="H25" s="8" t="s">
        <v>48</v>
      </c>
      <c r="I25" s="10">
        <v>15</v>
      </c>
      <c r="J25" t="str">
        <f t="shared" si="0"/>
        <v>Moderate</v>
      </c>
      <c r="K25">
        <v>2</v>
      </c>
      <c r="L25" t="s">
        <v>41</v>
      </c>
      <c r="M25">
        <v>3</v>
      </c>
      <c r="N25">
        <v>3</v>
      </c>
      <c r="O25">
        <v>1</v>
      </c>
      <c r="P25" t="s">
        <v>49</v>
      </c>
      <c r="Q25">
        <v>4</v>
      </c>
      <c r="R25" s="11">
        <v>391</v>
      </c>
      <c r="S25" s="14">
        <v>96</v>
      </c>
      <c r="T25" s="13">
        <v>1232</v>
      </c>
      <c r="U25" s="13">
        <f t="shared" si="1"/>
        <v>14784</v>
      </c>
      <c r="V25" s="14">
        <v>19281</v>
      </c>
      <c r="W25">
        <v>1</v>
      </c>
      <c r="X25" s="8" t="s">
        <v>46</v>
      </c>
      <c r="Y25" s="15">
        <v>0.14000000000000001</v>
      </c>
      <c r="Z25">
        <v>3</v>
      </c>
      <c r="AA25">
        <v>4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 t="str">
        <f t="shared" si="2"/>
        <v>0-3</v>
      </c>
      <c r="AI25">
        <v>0</v>
      </c>
      <c r="AJ25" t="str">
        <f t="shared" si="3"/>
        <v>0-2</v>
      </c>
      <c r="AK25">
        <v>0</v>
      </c>
    </row>
    <row r="26" spans="1:37" x14ac:dyDescent="0.25">
      <c r="A26" s="8">
        <v>25</v>
      </c>
      <c r="B26" t="s">
        <v>44</v>
      </c>
      <c r="C26" t="s">
        <v>37</v>
      </c>
      <c r="D26" s="8">
        <v>34</v>
      </c>
      <c r="E26" t="str">
        <f t="shared" si="4"/>
        <v>26-35</v>
      </c>
      <c r="F26" t="s">
        <v>38</v>
      </c>
      <c r="G26" t="s">
        <v>39</v>
      </c>
      <c r="H26" s="8" t="s">
        <v>48</v>
      </c>
      <c r="I26" s="10">
        <v>6</v>
      </c>
      <c r="J26" t="str">
        <f t="shared" si="0"/>
        <v>Moderate</v>
      </c>
      <c r="K26">
        <v>1</v>
      </c>
      <c r="L26" t="s">
        <v>53</v>
      </c>
      <c r="M26">
        <v>2</v>
      </c>
      <c r="N26">
        <v>3</v>
      </c>
      <c r="O26">
        <v>1</v>
      </c>
      <c r="P26" t="s">
        <v>49</v>
      </c>
      <c r="Q26">
        <v>1</v>
      </c>
      <c r="R26" s="11">
        <v>699</v>
      </c>
      <c r="S26" s="14">
        <v>83</v>
      </c>
      <c r="T26" s="13">
        <v>2960</v>
      </c>
      <c r="U26" s="13">
        <f t="shared" si="1"/>
        <v>35520</v>
      </c>
      <c r="V26" s="14">
        <v>17102</v>
      </c>
      <c r="W26">
        <v>2</v>
      </c>
      <c r="X26" s="8" t="s">
        <v>46</v>
      </c>
      <c r="Y26" s="15">
        <v>0.11</v>
      </c>
      <c r="Z26">
        <v>3</v>
      </c>
      <c r="AA26">
        <v>3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 t="str">
        <f t="shared" si="2"/>
        <v>0-3</v>
      </c>
      <c r="AI26">
        <v>1</v>
      </c>
      <c r="AJ26" t="str">
        <f t="shared" si="3"/>
        <v>0-2</v>
      </c>
      <c r="AK26">
        <v>3</v>
      </c>
    </row>
    <row r="27" spans="1:37" x14ac:dyDescent="0.25">
      <c r="A27" s="8">
        <v>26</v>
      </c>
      <c r="B27" t="s">
        <v>52</v>
      </c>
      <c r="C27" t="s">
        <v>54</v>
      </c>
      <c r="D27" s="8">
        <v>53</v>
      </c>
      <c r="E27" t="str">
        <f t="shared" si="4"/>
        <v>46-55</v>
      </c>
      <c r="F27" t="s">
        <v>46</v>
      </c>
      <c r="G27" t="s">
        <v>39</v>
      </c>
      <c r="H27" s="8" t="s">
        <v>48</v>
      </c>
      <c r="I27" s="10">
        <v>5</v>
      </c>
      <c r="J27" t="str">
        <f t="shared" si="0"/>
        <v>Near</v>
      </c>
      <c r="K27">
        <v>3</v>
      </c>
      <c r="L27" t="s">
        <v>50</v>
      </c>
      <c r="M27">
        <v>3</v>
      </c>
      <c r="N27">
        <v>3</v>
      </c>
      <c r="O27">
        <v>5</v>
      </c>
      <c r="P27" t="s">
        <v>59</v>
      </c>
      <c r="Q27">
        <v>3</v>
      </c>
      <c r="R27" s="11">
        <v>1282</v>
      </c>
      <c r="S27" s="14">
        <v>58</v>
      </c>
      <c r="T27" s="13">
        <v>19094</v>
      </c>
      <c r="U27" s="13">
        <f t="shared" si="1"/>
        <v>229128</v>
      </c>
      <c r="V27" s="14">
        <v>10735</v>
      </c>
      <c r="W27">
        <v>4</v>
      </c>
      <c r="X27" s="8" t="s">
        <v>46</v>
      </c>
      <c r="Y27" s="15">
        <v>0.11</v>
      </c>
      <c r="Z27">
        <v>3</v>
      </c>
      <c r="AA27">
        <v>4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 t="str">
        <f t="shared" si="2"/>
        <v>12-15</v>
      </c>
      <c r="AI27">
        <v>4</v>
      </c>
      <c r="AJ27" t="str">
        <f t="shared" si="3"/>
        <v>3-5</v>
      </c>
      <c r="AK27">
        <v>8</v>
      </c>
    </row>
    <row r="28" spans="1:37" x14ac:dyDescent="0.25">
      <c r="A28" s="8">
        <v>27</v>
      </c>
      <c r="B28" t="s">
        <v>52</v>
      </c>
      <c r="C28" t="s">
        <v>37</v>
      </c>
      <c r="D28" s="8">
        <v>32</v>
      </c>
      <c r="E28" t="str">
        <f t="shared" si="4"/>
        <v>26-35</v>
      </c>
      <c r="F28" t="s">
        <v>38</v>
      </c>
      <c r="G28" t="s">
        <v>47</v>
      </c>
      <c r="H28" s="8" t="s">
        <v>48</v>
      </c>
      <c r="I28" s="10">
        <v>16</v>
      </c>
      <c r="J28" t="str">
        <f t="shared" si="0"/>
        <v>Far</v>
      </c>
      <c r="K28">
        <v>1</v>
      </c>
      <c r="L28" t="s">
        <v>41</v>
      </c>
      <c r="M28">
        <v>2</v>
      </c>
      <c r="N28">
        <v>1</v>
      </c>
      <c r="O28">
        <v>1</v>
      </c>
      <c r="P28" t="s">
        <v>49</v>
      </c>
      <c r="Q28">
        <v>1</v>
      </c>
      <c r="R28" s="11">
        <v>1125</v>
      </c>
      <c r="S28" s="14">
        <v>72</v>
      </c>
      <c r="T28" s="13">
        <v>3919</v>
      </c>
      <c r="U28" s="13">
        <f t="shared" si="1"/>
        <v>47028</v>
      </c>
      <c r="V28" s="14">
        <v>4681</v>
      </c>
      <c r="W28">
        <v>1</v>
      </c>
      <c r="X28" s="8" t="s">
        <v>38</v>
      </c>
      <c r="Y28" s="15">
        <v>0.22</v>
      </c>
      <c r="Z28">
        <v>4</v>
      </c>
      <c r="AA28">
        <v>2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 t="str">
        <f t="shared" si="2"/>
        <v>0-3</v>
      </c>
      <c r="AI28">
        <v>6</v>
      </c>
      <c r="AJ28" t="str">
        <f t="shared" si="3"/>
        <v>6-8</v>
      </c>
      <c r="AK28">
        <v>7</v>
      </c>
    </row>
    <row r="29" spans="1:37" x14ac:dyDescent="0.25">
      <c r="A29" s="8">
        <v>28</v>
      </c>
      <c r="B29" t="s">
        <v>44</v>
      </c>
      <c r="C29" t="s">
        <v>45</v>
      </c>
      <c r="D29" s="8">
        <v>42</v>
      </c>
      <c r="E29" t="str">
        <f t="shared" si="4"/>
        <v>36-45</v>
      </c>
      <c r="F29" t="s">
        <v>46</v>
      </c>
      <c r="G29" t="s">
        <v>39</v>
      </c>
      <c r="H29" s="8" t="s">
        <v>40</v>
      </c>
      <c r="I29" s="10">
        <v>8</v>
      </c>
      <c r="J29" t="str">
        <f t="shared" si="0"/>
        <v>Moderate</v>
      </c>
      <c r="K29">
        <v>4</v>
      </c>
      <c r="L29" t="s">
        <v>62</v>
      </c>
      <c r="M29">
        <v>3</v>
      </c>
      <c r="N29">
        <v>3</v>
      </c>
      <c r="O29">
        <v>2</v>
      </c>
      <c r="P29" t="s">
        <v>42</v>
      </c>
      <c r="Q29">
        <v>2</v>
      </c>
      <c r="R29" s="11">
        <v>691</v>
      </c>
      <c r="S29" s="14">
        <v>48</v>
      </c>
      <c r="T29" s="13">
        <v>6825</v>
      </c>
      <c r="U29" s="13">
        <f t="shared" si="1"/>
        <v>81900</v>
      </c>
      <c r="V29" s="14">
        <v>21173</v>
      </c>
      <c r="W29">
        <v>0</v>
      </c>
      <c r="X29" s="8" t="s">
        <v>46</v>
      </c>
      <c r="Y29" s="15">
        <v>0.11</v>
      </c>
      <c r="Z29">
        <v>3</v>
      </c>
      <c r="AA29">
        <v>4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 t="str">
        <f t="shared" si="2"/>
        <v>4-7</v>
      </c>
      <c r="AI29">
        <v>4</v>
      </c>
      <c r="AJ29" t="str">
        <f t="shared" si="3"/>
        <v>3-5</v>
      </c>
      <c r="AK29">
        <v>2</v>
      </c>
    </row>
    <row r="30" spans="1:37" x14ac:dyDescent="0.25">
      <c r="A30" s="8">
        <v>29</v>
      </c>
      <c r="B30" t="s">
        <v>52</v>
      </c>
      <c r="C30" t="s">
        <v>45</v>
      </c>
      <c r="D30" s="8">
        <v>44</v>
      </c>
      <c r="E30" t="str">
        <f t="shared" si="4"/>
        <v>36-45</v>
      </c>
      <c r="F30" t="s">
        <v>46</v>
      </c>
      <c r="G30" t="s">
        <v>39</v>
      </c>
      <c r="H30" s="8" t="s">
        <v>48</v>
      </c>
      <c r="I30" s="10">
        <v>7</v>
      </c>
      <c r="J30" t="str">
        <f t="shared" si="0"/>
        <v>Moderate</v>
      </c>
      <c r="K30">
        <v>4</v>
      </c>
      <c r="L30" t="s">
        <v>53</v>
      </c>
      <c r="M30">
        <v>1</v>
      </c>
      <c r="N30">
        <v>2</v>
      </c>
      <c r="O30">
        <v>3</v>
      </c>
      <c r="P30" t="s">
        <v>56</v>
      </c>
      <c r="Q30">
        <v>4</v>
      </c>
      <c r="R30" s="11">
        <v>477</v>
      </c>
      <c r="S30" s="14">
        <v>42</v>
      </c>
      <c r="T30" s="13">
        <v>10248</v>
      </c>
      <c r="U30" s="13">
        <f t="shared" si="1"/>
        <v>122976</v>
      </c>
      <c r="V30" s="14">
        <v>2094</v>
      </c>
      <c r="W30">
        <v>3</v>
      </c>
      <c r="X30" s="8" t="s">
        <v>46</v>
      </c>
      <c r="Y30" s="15">
        <v>0.14000000000000001</v>
      </c>
      <c r="Z30">
        <v>3</v>
      </c>
      <c r="AA30">
        <v>4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 t="str">
        <f t="shared" si="2"/>
        <v>4-7</v>
      </c>
      <c r="AI30">
        <v>5</v>
      </c>
      <c r="AJ30" t="str">
        <f t="shared" si="3"/>
        <v>3-5</v>
      </c>
      <c r="AK30">
        <v>17</v>
      </c>
    </row>
    <row r="31" spans="1:37" x14ac:dyDescent="0.25">
      <c r="A31" s="8">
        <v>30</v>
      </c>
      <c r="B31" t="s">
        <v>52</v>
      </c>
      <c r="C31" t="s">
        <v>37</v>
      </c>
      <c r="D31" s="8">
        <v>46</v>
      </c>
      <c r="E31" t="str">
        <f t="shared" si="4"/>
        <v>46-55</v>
      </c>
      <c r="F31" t="s">
        <v>46</v>
      </c>
      <c r="G31" t="s">
        <v>39</v>
      </c>
      <c r="H31" s="8" t="s">
        <v>40</v>
      </c>
      <c r="I31" s="10">
        <v>2</v>
      </c>
      <c r="J31" t="str">
        <f t="shared" si="0"/>
        <v>Near</v>
      </c>
      <c r="K31">
        <v>4</v>
      </c>
      <c r="L31" t="s">
        <v>62</v>
      </c>
      <c r="M31">
        <v>2</v>
      </c>
      <c r="N31">
        <v>3</v>
      </c>
      <c r="O31">
        <v>5</v>
      </c>
      <c r="P31" t="s">
        <v>59</v>
      </c>
      <c r="Q31">
        <v>1</v>
      </c>
      <c r="R31" s="11">
        <v>705</v>
      </c>
      <c r="S31" s="14">
        <v>83</v>
      </c>
      <c r="T31" s="13">
        <v>18947</v>
      </c>
      <c r="U31" s="13">
        <f t="shared" si="1"/>
        <v>227364</v>
      </c>
      <c r="V31" s="14">
        <v>22822</v>
      </c>
      <c r="W31">
        <v>3</v>
      </c>
      <c r="X31" s="8" t="s">
        <v>46</v>
      </c>
      <c r="Y31" s="15">
        <v>0.12</v>
      </c>
      <c r="Z31">
        <v>3</v>
      </c>
      <c r="AA31">
        <v>4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 t="str">
        <f t="shared" si="2"/>
        <v>0-3</v>
      </c>
      <c r="AI31">
        <v>2</v>
      </c>
      <c r="AJ31" t="str">
        <f t="shared" si="3"/>
        <v>0-2</v>
      </c>
      <c r="AK31">
        <v>1</v>
      </c>
    </row>
    <row r="32" spans="1:37" x14ac:dyDescent="0.25">
      <c r="A32" s="8">
        <v>31</v>
      </c>
      <c r="B32" t="s">
        <v>44</v>
      </c>
      <c r="C32" t="s">
        <v>37</v>
      </c>
      <c r="D32" s="8">
        <v>33</v>
      </c>
      <c r="E32" t="str">
        <f t="shared" si="4"/>
        <v>26-35</v>
      </c>
      <c r="F32" t="s">
        <v>46</v>
      </c>
      <c r="G32" t="s">
        <v>39</v>
      </c>
      <c r="H32" s="8" t="s">
        <v>48</v>
      </c>
      <c r="I32" s="10">
        <v>2</v>
      </c>
      <c r="J32" t="str">
        <f t="shared" si="0"/>
        <v>Near</v>
      </c>
      <c r="K32">
        <v>3</v>
      </c>
      <c r="L32" t="s">
        <v>53</v>
      </c>
      <c r="M32">
        <v>3</v>
      </c>
      <c r="N32">
        <v>3</v>
      </c>
      <c r="O32">
        <v>1</v>
      </c>
      <c r="P32" t="s">
        <v>51</v>
      </c>
      <c r="Q32">
        <v>4</v>
      </c>
      <c r="R32" s="11">
        <v>924</v>
      </c>
      <c r="S32" s="14">
        <v>78</v>
      </c>
      <c r="T32" s="13">
        <v>2496</v>
      </c>
      <c r="U32" s="13">
        <f t="shared" si="1"/>
        <v>29952</v>
      </c>
      <c r="V32" s="14">
        <v>6670</v>
      </c>
      <c r="W32">
        <v>4</v>
      </c>
      <c r="X32" s="8" t="s">
        <v>46</v>
      </c>
      <c r="Y32" s="15">
        <v>0.11</v>
      </c>
      <c r="Z32">
        <v>3</v>
      </c>
      <c r="AA32">
        <v>4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 t="str">
        <f t="shared" si="2"/>
        <v>0-3</v>
      </c>
      <c r="AI32">
        <v>0</v>
      </c>
      <c r="AJ32" t="str">
        <f t="shared" si="3"/>
        <v>0-2</v>
      </c>
      <c r="AK32">
        <v>0</v>
      </c>
    </row>
    <row r="33" spans="1:37" x14ac:dyDescent="0.25">
      <c r="A33" s="8">
        <v>32</v>
      </c>
      <c r="B33" t="s">
        <v>44</v>
      </c>
      <c r="C33" t="s">
        <v>45</v>
      </c>
      <c r="D33" s="8">
        <v>44</v>
      </c>
      <c r="E33" t="str">
        <f t="shared" si="4"/>
        <v>36-45</v>
      </c>
      <c r="F33" t="s">
        <v>46</v>
      </c>
      <c r="G33" t="s">
        <v>39</v>
      </c>
      <c r="H33" s="8" t="s">
        <v>48</v>
      </c>
      <c r="I33" s="10">
        <v>10</v>
      </c>
      <c r="J33" t="str">
        <f t="shared" si="0"/>
        <v>Moderate</v>
      </c>
      <c r="K33">
        <v>4</v>
      </c>
      <c r="L33" t="s">
        <v>50</v>
      </c>
      <c r="M33">
        <v>4</v>
      </c>
      <c r="N33">
        <v>3</v>
      </c>
      <c r="O33">
        <v>2</v>
      </c>
      <c r="P33" t="s">
        <v>56</v>
      </c>
      <c r="Q33">
        <v>4</v>
      </c>
      <c r="R33" s="11">
        <v>1459</v>
      </c>
      <c r="S33" s="14">
        <v>41</v>
      </c>
      <c r="T33" s="13">
        <v>6465</v>
      </c>
      <c r="U33" s="13">
        <f t="shared" si="1"/>
        <v>77580</v>
      </c>
      <c r="V33" s="14">
        <v>19121</v>
      </c>
      <c r="W33">
        <v>2</v>
      </c>
      <c r="X33" s="8" t="s">
        <v>38</v>
      </c>
      <c r="Y33" s="15">
        <v>0.13</v>
      </c>
      <c r="Z33">
        <v>3</v>
      </c>
      <c r="AA33">
        <v>4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 t="str">
        <f t="shared" si="2"/>
        <v>0-3</v>
      </c>
      <c r="AI33">
        <v>1</v>
      </c>
      <c r="AJ33" t="str">
        <f t="shared" si="3"/>
        <v>0-2</v>
      </c>
      <c r="AK33">
        <v>3</v>
      </c>
    </row>
    <row r="34" spans="1:37" x14ac:dyDescent="0.25">
      <c r="A34" s="8">
        <v>33</v>
      </c>
      <c r="B34" t="s">
        <v>44</v>
      </c>
      <c r="C34" t="s">
        <v>37</v>
      </c>
      <c r="D34" s="8">
        <v>30</v>
      </c>
      <c r="E34" t="str">
        <f t="shared" si="4"/>
        <v>26-35</v>
      </c>
      <c r="F34" t="s">
        <v>46</v>
      </c>
      <c r="G34" t="s">
        <v>39</v>
      </c>
      <c r="H34" s="8" t="s">
        <v>48</v>
      </c>
      <c r="I34" s="10">
        <v>9</v>
      </c>
      <c r="J34" t="str">
        <f t="shared" si="0"/>
        <v>Moderate</v>
      </c>
      <c r="K34">
        <v>2</v>
      </c>
      <c r="L34" t="s">
        <v>53</v>
      </c>
      <c r="M34">
        <v>4</v>
      </c>
      <c r="N34">
        <v>2</v>
      </c>
      <c r="O34">
        <v>1</v>
      </c>
      <c r="P34" t="s">
        <v>51</v>
      </c>
      <c r="Q34">
        <v>3</v>
      </c>
      <c r="R34" s="11">
        <v>125</v>
      </c>
      <c r="S34" s="14">
        <v>83</v>
      </c>
      <c r="T34" s="13">
        <v>2206</v>
      </c>
      <c r="U34" s="13">
        <f t="shared" si="1"/>
        <v>26472</v>
      </c>
      <c r="V34" s="14">
        <v>16117</v>
      </c>
      <c r="W34">
        <v>1</v>
      </c>
      <c r="X34" s="8" t="s">
        <v>46</v>
      </c>
      <c r="Y34" s="15">
        <v>0.13</v>
      </c>
      <c r="Z34">
        <v>3</v>
      </c>
      <c r="AA34">
        <v>1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 t="str">
        <f t="shared" si="2"/>
        <v>0-3</v>
      </c>
      <c r="AI34">
        <v>1</v>
      </c>
      <c r="AJ34" t="str">
        <f t="shared" si="3"/>
        <v>0-2</v>
      </c>
      <c r="AK34">
        <v>8</v>
      </c>
    </row>
    <row r="35" spans="1:37" x14ac:dyDescent="0.25">
      <c r="A35" s="8">
        <v>34</v>
      </c>
      <c r="B35" t="s">
        <v>44</v>
      </c>
      <c r="C35" t="s">
        <v>45</v>
      </c>
      <c r="D35" s="8">
        <v>39</v>
      </c>
      <c r="E35" t="str">
        <f t="shared" si="4"/>
        <v>36-45</v>
      </c>
      <c r="F35" t="s">
        <v>38</v>
      </c>
      <c r="G35" t="s">
        <v>39</v>
      </c>
      <c r="H35" s="8" t="s">
        <v>40</v>
      </c>
      <c r="I35" s="10">
        <v>5</v>
      </c>
      <c r="J35" t="str">
        <f t="shared" si="0"/>
        <v>Near</v>
      </c>
      <c r="K35">
        <v>3</v>
      </c>
      <c r="L35" t="s">
        <v>63</v>
      </c>
      <c r="M35">
        <v>4</v>
      </c>
      <c r="N35">
        <v>3</v>
      </c>
      <c r="O35">
        <v>2</v>
      </c>
      <c r="P35" t="s">
        <v>60</v>
      </c>
      <c r="Q35">
        <v>4</v>
      </c>
      <c r="R35" s="11">
        <v>895</v>
      </c>
      <c r="S35" s="14">
        <v>56</v>
      </c>
      <c r="T35" s="13">
        <v>2086</v>
      </c>
      <c r="U35" s="13">
        <f t="shared" si="1"/>
        <v>25032</v>
      </c>
      <c r="V35" s="14">
        <v>3335</v>
      </c>
      <c r="W35">
        <v>3</v>
      </c>
      <c r="X35" s="8" t="s">
        <v>46</v>
      </c>
      <c r="Y35" s="15">
        <v>0.14000000000000001</v>
      </c>
      <c r="Z35">
        <v>3</v>
      </c>
      <c r="AA35">
        <v>3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 t="str">
        <f t="shared" si="2"/>
        <v>0-3</v>
      </c>
      <c r="AI35">
        <v>0</v>
      </c>
      <c r="AJ35" t="str">
        <f t="shared" si="3"/>
        <v>0-2</v>
      </c>
      <c r="AK35">
        <v>0</v>
      </c>
    </row>
    <row r="36" spans="1:37" x14ac:dyDescent="0.25">
      <c r="A36" s="8">
        <v>35</v>
      </c>
      <c r="B36" t="s">
        <v>44</v>
      </c>
      <c r="C36" t="s">
        <v>45</v>
      </c>
      <c r="D36" s="8">
        <v>24</v>
      </c>
      <c r="E36" t="str">
        <f t="shared" si="4"/>
        <v>18-25</v>
      </c>
      <c r="F36" t="s">
        <v>38</v>
      </c>
      <c r="G36" t="s">
        <v>39</v>
      </c>
      <c r="H36" s="8" t="s">
        <v>48</v>
      </c>
      <c r="I36" s="10">
        <v>1</v>
      </c>
      <c r="J36" t="str">
        <f t="shared" si="0"/>
        <v>Near</v>
      </c>
      <c r="K36">
        <v>3</v>
      </c>
      <c r="L36" t="s">
        <v>53</v>
      </c>
      <c r="M36">
        <v>2</v>
      </c>
      <c r="N36">
        <v>3</v>
      </c>
      <c r="O36">
        <v>1</v>
      </c>
      <c r="P36" t="s">
        <v>49</v>
      </c>
      <c r="Q36">
        <v>4</v>
      </c>
      <c r="R36" s="11">
        <v>813</v>
      </c>
      <c r="S36" s="14">
        <v>61</v>
      </c>
      <c r="T36" s="13">
        <v>2293</v>
      </c>
      <c r="U36" s="13">
        <f t="shared" si="1"/>
        <v>27516</v>
      </c>
      <c r="V36" s="14">
        <v>3020</v>
      </c>
      <c r="W36">
        <v>2</v>
      </c>
      <c r="X36" s="8" t="s">
        <v>38</v>
      </c>
      <c r="Y36" s="15">
        <v>0.16</v>
      </c>
      <c r="Z36">
        <v>3</v>
      </c>
      <c r="AA36">
        <v>1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 t="str">
        <f t="shared" si="2"/>
        <v>0-3</v>
      </c>
      <c r="AI36">
        <v>2</v>
      </c>
      <c r="AJ36" t="str">
        <f t="shared" si="3"/>
        <v>0-2</v>
      </c>
      <c r="AK36">
        <v>0</v>
      </c>
    </row>
    <row r="37" spans="1:37" x14ac:dyDescent="0.25">
      <c r="A37" s="8">
        <v>36</v>
      </c>
      <c r="B37" t="s">
        <v>52</v>
      </c>
      <c r="C37" t="s">
        <v>54</v>
      </c>
      <c r="D37" s="8">
        <v>43</v>
      </c>
      <c r="E37" t="str">
        <f t="shared" si="4"/>
        <v>36-45</v>
      </c>
      <c r="F37" t="s">
        <v>46</v>
      </c>
      <c r="G37" t="s">
        <v>39</v>
      </c>
      <c r="H37" s="8" t="s">
        <v>48</v>
      </c>
      <c r="I37" s="10">
        <v>2</v>
      </c>
      <c r="J37" t="str">
        <f t="shared" si="0"/>
        <v>Near</v>
      </c>
      <c r="K37">
        <v>2</v>
      </c>
      <c r="L37" t="s">
        <v>53</v>
      </c>
      <c r="M37">
        <v>4</v>
      </c>
      <c r="N37">
        <v>4</v>
      </c>
      <c r="O37">
        <v>1</v>
      </c>
      <c r="P37" t="s">
        <v>49</v>
      </c>
      <c r="Q37">
        <v>3</v>
      </c>
      <c r="R37" s="11">
        <v>1273</v>
      </c>
      <c r="S37" s="14">
        <v>72</v>
      </c>
      <c r="T37" s="13">
        <v>2645</v>
      </c>
      <c r="U37" s="13">
        <f t="shared" si="1"/>
        <v>31740</v>
      </c>
      <c r="V37" s="14">
        <v>21923</v>
      </c>
      <c r="W37">
        <v>1</v>
      </c>
      <c r="X37" s="8" t="s">
        <v>46</v>
      </c>
      <c r="Y37" s="15">
        <v>0.12</v>
      </c>
      <c r="Z37">
        <v>3</v>
      </c>
      <c r="AA37">
        <v>4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 t="str">
        <f t="shared" si="2"/>
        <v>0-3</v>
      </c>
      <c r="AI37">
        <v>1</v>
      </c>
      <c r="AJ37" t="str">
        <f t="shared" si="3"/>
        <v>0-2</v>
      </c>
      <c r="AK37">
        <v>4</v>
      </c>
    </row>
    <row r="38" spans="1:37" x14ac:dyDescent="0.25">
      <c r="A38" s="8">
        <v>37</v>
      </c>
      <c r="B38" t="s">
        <v>44</v>
      </c>
      <c r="C38" t="s">
        <v>45</v>
      </c>
      <c r="D38" s="8">
        <v>50</v>
      </c>
      <c r="E38" t="str">
        <f t="shared" si="4"/>
        <v>46-55</v>
      </c>
      <c r="F38" t="s">
        <v>38</v>
      </c>
      <c r="G38" t="s">
        <v>39</v>
      </c>
      <c r="H38" s="8" t="s">
        <v>40</v>
      </c>
      <c r="I38" s="10">
        <v>3</v>
      </c>
      <c r="J38" t="str">
        <f t="shared" si="0"/>
        <v>Near</v>
      </c>
      <c r="K38">
        <v>2</v>
      </c>
      <c r="L38" t="s">
        <v>62</v>
      </c>
      <c r="M38">
        <v>1</v>
      </c>
      <c r="N38">
        <v>2</v>
      </c>
      <c r="O38">
        <v>1</v>
      </c>
      <c r="P38" t="s">
        <v>60</v>
      </c>
      <c r="Q38">
        <v>3</v>
      </c>
      <c r="R38" s="11">
        <v>869</v>
      </c>
      <c r="S38" s="14">
        <v>86</v>
      </c>
      <c r="T38" s="13">
        <v>2683</v>
      </c>
      <c r="U38" s="13">
        <f t="shared" si="1"/>
        <v>32196</v>
      </c>
      <c r="V38" s="14">
        <v>3810</v>
      </c>
      <c r="W38">
        <v>1</v>
      </c>
      <c r="X38" s="8" t="s">
        <v>38</v>
      </c>
      <c r="Y38" s="15">
        <v>0.14000000000000001</v>
      </c>
      <c r="Z38">
        <v>3</v>
      </c>
      <c r="AA38">
        <v>3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 t="str">
        <f t="shared" si="2"/>
        <v>0-3</v>
      </c>
      <c r="AI38">
        <v>0</v>
      </c>
      <c r="AJ38" t="str">
        <f t="shared" si="3"/>
        <v>0-2</v>
      </c>
      <c r="AK38">
        <v>2</v>
      </c>
    </row>
    <row r="39" spans="1:37" x14ac:dyDescent="0.25">
      <c r="A39" s="8">
        <v>38</v>
      </c>
      <c r="B39" t="s">
        <v>52</v>
      </c>
      <c r="C39" t="s">
        <v>45</v>
      </c>
      <c r="D39" s="8">
        <v>35</v>
      </c>
      <c r="E39" t="str">
        <f t="shared" si="4"/>
        <v>26-35</v>
      </c>
      <c r="F39" t="s">
        <v>46</v>
      </c>
      <c r="G39" t="s">
        <v>39</v>
      </c>
      <c r="H39" s="8" t="s">
        <v>40</v>
      </c>
      <c r="I39" s="10">
        <v>2</v>
      </c>
      <c r="J39" t="str">
        <f t="shared" si="0"/>
        <v>Near</v>
      </c>
      <c r="K39">
        <v>3</v>
      </c>
      <c r="L39" t="s">
        <v>62</v>
      </c>
      <c r="M39">
        <v>4</v>
      </c>
      <c r="N39">
        <v>3</v>
      </c>
      <c r="O39">
        <v>1</v>
      </c>
      <c r="P39" t="s">
        <v>60</v>
      </c>
      <c r="Q39">
        <v>4</v>
      </c>
      <c r="R39" s="11">
        <v>890</v>
      </c>
      <c r="S39" s="14">
        <v>97</v>
      </c>
      <c r="T39" s="13">
        <v>2014</v>
      </c>
      <c r="U39" s="13">
        <f t="shared" si="1"/>
        <v>24168</v>
      </c>
      <c r="V39" s="14">
        <v>9687</v>
      </c>
      <c r="W39">
        <v>1</v>
      </c>
      <c r="X39" s="8" t="s">
        <v>46</v>
      </c>
      <c r="Y39" s="15">
        <v>0.13</v>
      </c>
      <c r="Z39">
        <v>3</v>
      </c>
      <c r="AA39">
        <v>1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 t="str">
        <f t="shared" si="2"/>
        <v>0-3</v>
      </c>
      <c r="AI39">
        <v>2</v>
      </c>
      <c r="AJ39" t="str">
        <f t="shared" si="3"/>
        <v>0-2</v>
      </c>
      <c r="AK39">
        <v>2</v>
      </c>
    </row>
    <row r="40" spans="1:37" x14ac:dyDescent="0.25">
      <c r="A40" s="8">
        <v>39</v>
      </c>
      <c r="B40" t="s">
        <v>52</v>
      </c>
      <c r="C40" t="s">
        <v>45</v>
      </c>
      <c r="D40" s="8">
        <v>36</v>
      </c>
      <c r="E40" t="str">
        <f t="shared" si="4"/>
        <v>36-45</v>
      </c>
      <c r="F40" t="s">
        <v>46</v>
      </c>
      <c r="G40" t="s">
        <v>39</v>
      </c>
      <c r="H40" s="8" t="s">
        <v>48</v>
      </c>
      <c r="I40" s="10">
        <v>5</v>
      </c>
      <c r="J40" t="str">
        <f t="shared" si="0"/>
        <v>Near</v>
      </c>
      <c r="K40">
        <v>4</v>
      </c>
      <c r="L40" t="s">
        <v>41</v>
      </c>
      <c r="M40">
        <v>2</v>
      </c>
      <c r="N40">
        <v>2</v>
      </c>
      <c r="O40">
        <v>1</v>
      </c>
      <c r="P40" t="s">
        <v>49</v>
      </c>
      <c r="Q40">
        <v>1</v>
      </c>
      <c r="R40" s="11">
        <v>852</v>
      </c>
      <c r="S40" s="14">
        <v>82</v>
      </c>
      <c r="T40" s="13">
        <v>3419</v>
      </c>
      <c r="U40" s="13">
        <f t="shared" si="1"/>
        <v>41028</v>
      </c>
      <c r="V40" s="14">
        <v>13072</v>
      </c>
      <c r="W40">
        <v>9</v>
      </c>
      <c r="X40" s="8" t="s">
        <v>38</v>
      </c>
      <c r="Y40" s="15">
        <v>0.14000000000000001</v>
      </c>
      <c r="Z40">
        <v>3</v>
      </c>
      <c r="AA40">
        <v>4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 t="str">
        <f t="shared" si="2"/>
        <v>0-3</v>
      </c>
      <c r="AI40">
        <v>0</v>
      </c>
      <c r="AJ40" t="str">
        <f t="shared" si="3"/>
        <v>0-2</v>
      </c>
      <c r="AK40">
        <v>0</v>
      </c>
    </row>
    <row r="41" spans="1:37" x14ac:dyDescent="0.25">
      <c r="A41" s="8">
        <v>40</v>
      </c>
      <c r="B41" t="s">
        <v>52</v>
      </c>
      <c r="C41" t="s">
        <v>45</v>
      </c>
      <c r="D41" s="8">
        <v>33</v>
      </c>
      <c r="E41" t="str">
        <f t="shared" si="4"/>
        <v>26-35</v>
      </c>
      <c r="F41" t="s">
        <v>46</v>
      </c>
      <c r="G41" t="s">
        <v>47</v>
      </c>
      <c r="H41" s="8" t="s">
        <v>40</v>
      </c>
      <c r="I41" s="10">
        <v>1</v>
      </c>
      <c r="J41" t="str">
        <f t="shared" si="0"/>
        <v>Near</v>
      </c>
      <c r="K41">
        <v>3</v>
      </c>
      <c r="L41" t="s">
        <v>41</v>
      </c>
      <c r="M41">
        <v>3</v>
      </c>
      <c r="N41">
        <v>4</v>
      </c>
      <c r="O41">
        <v>2</v>
      </c>
      <c r="P41" t="s">
        <v>42</v>
      </c>
      <c r="Q41">
        <v>1</v>
      </c>
      <c r="R41" s="11">
        <v>1141</v>
      </c>
      <c r="S41" s="14">
        <v>42</v>
      </c>
      <c r="T41" s="13">
        <v>5376</v>
      </c>
      <c r="U41" s="13">
        <f t="shared" si="1"/>
        <v>64512</v>
      </c>
      <c r="V41" s="14">
        <v>3193</v>
      </c>
      <c r="W41">
        <v>2</v>
      </c>
      <c r="X41" s="8" t="s">
        <v>46</v>
      </c>
      <c r="Y41" s="15">
        <v>0.19</v>
      </c>
      <c r="Z41">
        <v>3</v>
      </c>
      <c r="AA41">
        <v>1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 t="str">
        <f t="shared" si="2"/>
        <v>0-3</v>
      </c>
      <c r="AI41">
        <v>1</v>
      </c>
      <c r="AJ41" t="str">
        <f t="shared" si="3"/>
        <v>0-2</v>
      </c>
      <c r="AK41">
        <v>3</v>
      </c>
    </row>
    <row r="42" spans="1:37" x14ac:dyDescent="0.25">
      <c r="A42" s="8">
        <v>41</v>
      </c>
      <c r="B42" t="s">
        <v>44</v>
      </c>
      <c r="C42" t="s">
        <v>54</v>
      </c>
      <c r="D42" s="8">
        <v>35</v>
      </c>
      <c r="E42" t="str">
        <f t="shared" si="4"/>
        <v>26-35</v>
      </c>
      <c r="F42" t="s">
        <v>46</v>
      </c>
      <c r="G42" t="s">
        <v>39</v>
      </c>
      <c r="H42" s="8" t="s">
        <v>48</v>
      </c>
      <c r="I42" s="10">
        <v>4</v>
      </c>
      <c r="J42" t="str">
        <f t="shared" si="0"/>
        <v>Near</v>
      </c>
      <c r="K42">
        <v>2</v>
      </c>
      <c r="L42" t="s">
        <v>50</v>
      </c>
      <c r="M42">
        <v>3</v>
      </c>
      <c r="N42">
        <v>3</v>
      </c>
      <c r="O42">
        <v>1</v>
      </c>
      <c r="P42" t="s">
        <v>51</v>
      </c>
      <c r="Q42">
        <v>4</v>
      </c>
      <c r="R42" s="11">
        <v>464</v>
      </c>
      <c r="S42" s="14">
        <v>75</v>
      </c>
      <c r="T42" s="13">
        <v>1951</v>
      </c>
      <c r="U42" s="13">
        <f t="shared" si="1"/>
        <v>23412</v>
      </c>
      <c r="V42" s="14">
        <v>10910</v>
      </c>
      <c r="W42">
        <v>1</v>
      </c>
      <c r="X42" s="8" t="s">
        <v>46</v>
      </c>
      <c r="Y42" s="15">
        <v>0.12</v>
      </c>
      <c r="Z42">
        <v>3</v>
      </c>
      <c r="AA42">
        <v>3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 t="str">
        <f t="shared" si="2"/>
        <v>0-3</v>
      </c>
      <c r="AI42">
        <v>0</v>
      </c>
      <c r="AJ42" t="str">
        <f t="shared" si="3"/>
        <v>0-2</v>
      </c>
      <c r="AK42">
        <v>0</v>
      </c>
    </row>
    <row r="43" spans="1:37" x14ac:dyDescent="0.25">
      <c r="A43" s="8">
        <v>42</v>
      </c>
      <c r="B43" t="s">
        <v>52</v>
      </c>
      <c r="C43" t="s">
        <v>54</v>
      </c>
      <c r="D43" s="8">
        <v>27</v>
      </c>
      <c r="E43" t="str">
        <f t="shared" si="4"/>
        <v>26-35</v>
      </c>
      <c r="F43" t="s">
        <v>46</v>
      </c>
      <c r="G43" t="s">
        <v>39</v>
      </c>
      <c r="H43" s="8" t="s">
        <v>48</v>
      </c>
      <c r="I43" s="10">
        <v>2</v>
      </c>
      <c r="J43" t="str">
        <f t="shared" si="0"/>
        <v>Near</v>
      </c>
      <c r="K43">
        <v>4</v>
      </c>
      <c r="L43" t="s">
        <v>41</v>
      </c>
      <c r="M43">
        <v>4</v>
      </c>
      <c r="N43">
        <v>3</v>
      </c>
      <c r="O43">
        <v>1</v>
      </c>
      <c r="P43" t="s">
        <v>51</v>
      </c>
      <c r="Q43">
        <v>1</v>
      </c>
      <c r="R43" s="11">
        <v>1240</v>
      </c>
      <c r="S43" s="14">
        <v>33</v>
      </c>
      <c r="T43" s="13">
        <v>2341</v>
      </c>
      <c r="U43" s="13">
        <f t="shared" si="1"/>
        <v>28092</v>
      </c>
      <c r="V43" s="14">
        <v>19715</v>
      </c>
      <c r="W43">
        <v>1</v>
      </c>
      <c r="X43" s="8" t="s">
        <v>46</v>
      </c>
      <c r="Y43" s="15">
        <v>0.13</v>
      </c>
      <c r="Z43">
        <v>3</v>
      </c>
      <c r="AA43">
        <v>4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 t="str">
        <f t="shared" si="2"/>
        <v>0-3</v>
      </c>
      <c r="AI43">
        <v>0</v>
      </c>
      <c r="AJ43" t="str">
        <f t="shared" si="3"/>
        <v>0-2</v>
      </c>
      <c r="AK43">
        <v>0</v>
      </c>
    </row>
    <row r="44" spans="1:37" x14ac:dyDescent="0.25">
      <c r="A44" s="8">
        <v>43</v>
      </c>
      <c r="B44" t="s">
        <v>44</v>
      </c>
      <c r="C44" t="s">
        <v>37</v>
      </c>
      <c r="D44" s="8">
        <v>26</v>
      </c>
      <c r="E44" t="str">
        <f t="shared" si="4"/>
        <v>26-35</v>
      </c>
      <c r="F44" t="s">
        <v>38</v>
      </c>
      <c r="G44" t="s">
        <v>39</v>
      </c>
      <c r="H44" s="8" t="s">
        <v>48</v>
      </c>
      <c r="I44" s="10">
        <v>25</v>
      </c>
      <c r="J44" t="str">
        <f t="shared" si="0"/>
        <v>Far</v>
      </c>
      <c r="K44">
        <v>3</v>
      </c>
      <c r="L44" t="s">
        <v>41</v>
      </c>
      <c r="M44">
        <v>1</v>
      </c>
      <c r="N44">
        <v>1</v>
      </c>
      <c r="O44">
        <v>1</v>
      </c>
      <c r="P44" t="s">
        <v>51</v>
      </c>
      <c r="Q44">
        <v>3</v>
      </c>
      <c r="R44" s="11">
        <v>1357</v>
      </c>
      <c r="S44" s="14">
        <v>48</v>
      </c>
      <c r="T44" s="13">
        <v>2293</v>
      </c>
      <c r="U44" s="13">
        <f t="shared" si="1"/>
        <v>27516</v>
      </c>
      <c r="V44" s="14">
        <v>10558</v>
      </c>
      <c r="W44">
        <v>1</v>
      </c>
      <c r="X44" s="8" t="s">
        <v>46</v>
      </c>
      <c r="Y44" s="15">
        <v>0.12</v>
      </c>
      <c r="Z44">
        <v>3</v>
      </c>
      <c r="AA44">
        <v>3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 t="str">
        <f t="shared" si="2"/>
        <v>0-3</v>
      </c>
      <c r="AI44">
        <v>0</v>
      </c>
      <c r="AJ44" t="str">
        <f t="shared" si="3"/>
        <v>0-2</v>
      </c>
      <c r="AK44">
        <v>1</v>
      </c>
    </row>
    <row r="45" spans="1:37" x14ac:dyDescent="0.25">
      <c r="A45" s="8">
        <v>44</v>
      </c>
      <c r="B45" t="s">
        <v>44</v>
      </c>
      <c r="C45" t="s">
        <v>37</v>
      </c>
      <c r="D45" s="8">
        <v>27</v>
      </c>
      <c r="E45" t="str">
        <f t="shared" si="4"/>
        <v>26-35</v>
      </c>
      <c r="F45" t="s">
        <v>46</v>
      </c>
      <c r="G45" t="s">
        <v>47</v>
      </c>
      <c r="H45" s="8" t="s">
        <v>40</v>
      </c>
      <c r="I45" s="10">
        <v>8</v>
      </c>
      <c r="J45" t="str">
        <f t="shared" si="0"/>
        <v>Moderate</v>
      </c>
      <c r="K45">
        <v>3</v>
      </c>
      <c r="L45" t="s">
        <v>41</v>
      </c>
      <c r="M45">
        <v>4</v>
      </c>
      <c r="N45">
        <v>3</v>
      </c>
      <c r="O45">
        <v>3</v>
      </c>
      <c r="P45" t="s">
        <v>42</v>
      </c>
      <c r="Q45">
        <v>3</v>
      </c>
      <c r="R45" s="11">
        <v>994</v>
      </c>
      <c r="S45" s="14">
        <v>37</v>
      </c>
      <c r="T45" s="13">
        <v>8726</v>
      </c>
      <c r="U45" s="13">
        <f t="shared" si="1"/>
        <v>104712</v>
      </c>
      <c r="V45" s="14">
        <v>2975</v>
      </c>
      <c r="W45">
        <v>1</v>
      </c>
      <c r="X45" s="8" t="s">
        <v>46</v>
      </c>
      <c r="Y45" s="15">
        <v>0.15</v>
      </c>
      <c r="Z45">
        <v>3</v>
      </c>
      <c r="AA45">
        <v>4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 t="str">
        <f t="shared" si="2"/>
        <v>8-11</v>
      </c>
      <c r="AI45">
        <v>1</v>
      </c>
      <c r="AJ45" t="str">
        <f t="shared" si="3"/>
        <v>0-2</v>
      </c>
      <c r="AK45">
        <v>7</v>
      </c>
    </row>
    <row r="46" spans="1:37" x14ac:dyDescent="0.25">
      <c r="A46" s="8">
        <v>45</v>
      </c>
      <c r="B46" t="s">
        <v>52</v>
      </c>
      <c r="C46" t="s">
        <v>37</v>
      </c>
      <c r="D46" s="8">
        <v>30</v>
      </c>
      <c r="E46" t="str">
        <f t="shared" si="4"/>
        <v>26-35</v>
      </c>
      <c r="F46" t="s">
        <v>46</v>
      </c>
      <c r="G46" t="s">
        <v>47</v>
      </c>
      <c r="H46" s="8" t="s">
        <v>48</v>
      </c>
      <c r="I46" s="10">
        <v>1</v>
      </c>
      <c r="J46" t="str">
        <f t="shared" si="0"/>
        <v>Near</v>
      </c>
      <c r="K46">
        <v>2</v>
      </c>
      <c r="L46" t="s">
        <v>53</v>
      </c>
      <c r="M46">
        <v>3</v>
      </c>
      <c r="N46">
        <v>3</v>
      </c>
      <c r="O46">
        <v>2</v>
      </c>
      <c r="P46" t="s">
        <v>51</v>
      </c>
      <c r="Q46">
        <v>4</v>
      </c>
      <c r="R46" s="11">
        <v>721</v>
      </c>
      <c r="S46" s="14">
        <v>58</v>
      </c>
      <c r="T46" s="13">
        <v>4011</v>
      </c>
      <c r="U46" s="13">
        <f t="shared" si="1"/>
        <v>48132</v>
      </c>
      <c r="V46" s="14">
        <v>10781</v>
      </c>
      <c r="W46">
        <v>1</v>
      </c>
      <c r="X46" s="8" t="s">
        <v>46</v>
      </c>
      <c r="Y46" s="15">
        <v>0.23</v>
      </c>
      <c r="Z46">
        <v>4</v>
      </c>
      <c r="AA46">
        <v>4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 t="str">
        <f t="shared" si="2"/>
        <v>8-11</v>
      </c>
      <c r="AI46">
        <v>3</v>
      </c>
      <c r="AJ46" t="str">
        <f t="shared" si="3"/>
        <v>3-5</v>
      </c>
      <c r="AK46">
        <v>7</v>
      </c>
    </row>
    <row r="47" spans="1:37" x14ac:dyDescent="0.25">
      <c r="A47" s="8">
        <v>46</v>
      </c>
      <c r="B47" t="s">
        <v>52</v>
      </c>
      <c r="C47" t="s">
        <v>45</v>
      </c>
      <c r="D47" s="8">
        <v>41</v>
      </c>
      <c r="E47" t="str">
        <f t="shared" si="4"/>
        <v>36-45</v>
      </c>
      <c r="F47" t="s">
        <v>38</v>
      </c>
      <c r="G47" t="s">
        <v>39</v>
      </c>
      <c r="H47" s="8" t="s">
        <v>48</v>
      </c>
      <c r="I47" s="10">
        <v>12</v>
      </c>
      <c r="J47" t="str">
        <f t="shared" si="0"/>
        <v>Moderate</v>
      </c>
      <c r="K47">
        <v>3</v>
      </c>
      <c r="L47" t="s">
        <v>63</v>
      </c>
      <c r="M47">
        <v>2</v>
      </c>
      <c r="N47">
        <v>3</v>
      </c>
      <c r="O47">
        <v>5</v>
      </c>
      <c r="P47" t="s">
        <v>61</v>
      </c>
      <c r="Q47">
        <v>3</v>
      </c>
      <c r="R47" s="11">
        <v>1360</v>
      </c>
      <c r="S47" s="14">
        <v>49</v>
      </c>
      <c r="T47" s="13">
        <v>19545</v>
      </c>
      <c r="U47" s="13">
        <f t="shared" si="1"/>
        <v>234540</v>
      </c>
      <c r="V47" s="14">
        <v>16280</v>
      </c>
      <c r="W47">
        <v>1</v>
      </c>
      <c r="X47" s="8" t="s">
        <v>46</v>
      </c>
      <c r="Y47" s="15">
        <v>0.12</v>
      </c>
      <c r="Z47">
        <v>3</v>
      </c>
      <c r="AA47">
        <v>4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 t="str">
        <f t="shared" si="2"/>
        <v>12-15</v>
      </c>
      <c r="AI47">
        <v>15</v>
      </c>
      <c r="AJ47" t="str">
        <f t="shared" si="3"/>
        <v>12-15</v>
      </c>
      <c r="AK47">
        <v>8</v>
      </c>
    </row>
    <row r="48" spans="1:37" x14ac:dyDescent="0.25">
      <c r="A48" s="8">
        <v>47</v>
      </c>
      <c r="B48" t="s">
        <v>44</v>
      </c>
      <c r="C48" t="s">
        <v>37</v>
      </c>
      <c r="D48" s="8">
        <v>34</v>
      </c>
      <c r="E48" t="str">
        <f t="shared" si="4"/>
        <v>26-35</v>
      </c>
      <c r="F48" t="s">
        <v>46</v>
      </c>
      <c r="G48" t="s">
        <v>58</v>
      </c>
      <c r="H48" s="8" t="s">
        <v>40</v>
      </c>
      <c r="I48" s="10">
        <v>23</v>
      </c>
      <c r="J48" t="str">
        <f t="shared" si="0"/>
        <v>Far</v>
      </c>
      <c r="K48">
        <v>4</v>
      </c>
      <c r="L48" t="s">
        <v>62</v>
      </c>
      <c r="M48">
        <v>2</v>
      </c>
      <c r="N48">
        <v>3</v>
      </c>
      <c r="O48">
        <v>2</v>
      </c>
      <c r="P48" t="s">
        <v>42</v>
      </c>
      <c r="Q48">
        <v>3</v>
      </c>
      <c r="R48" s="11">
        <v>1065</v>
      </c>
      <c r="S48" s="14">
        <v>72</v>
      </c>
      <c r="T48" s="13">
        <v>4568</v>
      </c>
      <c r="U48" s="13">
        <f t="shared" si="1"/>
        <v>54816</v>
      </c>
      <c r="V48" s="14">
        <v>10034</v>
      </c>
      <c r="W48">
        <v>0</v>
      </c>
      <c r="X48" s="8" t="s">
        <v>46</v>
      </c>
      <c r="Y48" s="15">
        <v>0.2</v>
      </c>
      <c r="Z48">
        <v>4</v>
      </c>
      <c r="AA48">
        <v>3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 t="str">
        <f t="shared" si="2"/>
        <v>4-7</v>
      </c>
      <c r="AI48">
        <v>8</v>
      </c>
      <c r="AJ48" t="str">
        <f t="shared" si="3"/>
        <v>6-8</v>
      </c>
      <c r="AK48">
        <v>7</v>
      </c>
    </row>
    <row r="49" spans="1:37" x14ac:dyDescent="0.25">
      <c r="A49" s="8">
        <v>48</v>
      </c>
      <c r="B49" t="s">
        <v>44</v>
      </c>
      <c r="C49" t="s">
        <v>45</v>
      </c>
      <c r="D49" s="8">
        <v>37</v>
      </c>
      <c r="E49" t="str">
        <f t="shared" si="4"/>
        <v>36-45</v>
      </c>
      <c r="F49" t="s">
        <v>46</v>
      </c>
      <c r="G49" t="s">
        <v>39</v>
      </c>
      <c r="H49" s="8" t="s">
        <v>48</v>
      </c>
      <c r="I49" s="10">
        <v>19</v>
      </c>
      <c r="J49" t="str">
        <f t="shared" si="0"/>
        <v>Far</v>
      </c>
      <c r="K49">
        <v>2</v>
      </c>
      <c r="L49" t="s">
        <v>41</v>
      </c>
      <c r="M49">
        <v>2</v>
      </c>
      <c r="N49">
        <v>3</v>
      </c>
      <c r="O49">
        <v>1</v>
      </c>
      <c r="P49" t="s">
        <v>49</v>
      </c>
      <c r="Q49">
        <v>2</v>
      </c>
      <c r="R49" s="11">
        <v>408</v>
      </c>
      <c r="S49" s="14">
        <v>73</v>
      </c>
      <c r="T49" s="13">
        <v>3022</v>
      </c>
      <c r="U49" s="13">
        <f t="shared" si="1"/>
        <v>36264</v>
      </c>
      <c r="V49" s="14">
        <v>10227</v>
      </c>
      <c r="W49">
        <v>4</v>
      </c>
      <c r="X49" s="8" t="s">
        <v>46</v>
      </c>
      <c r="Y49" s="15">
        <v>0.21</v>
      </c>
      <c r="Z49">
        <v>4</v>
      </c>
      <c r="AA49">
        <v>1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 t="str">
        <f t="shared" si="2"/>
        <v>0-3</v>
      </c>
      <c r="AI49">
        <v>0</v>
      </c>
      <c r="AJ49" t="str">
        <f t="shared" si="3"/>
        <v>0-2</v>
      </c>
      <c r="AK49">
        <v>0</v>
      </c>
    </row>
    <row r="50" spans="1:37" x14ac:dyDescent="0.25">
      <c r="A50" s="8">
        <v>49</v>
      </c>
      <c r="B50" t="s">
        <v>44</v>
      </c>
      <c r="C50" t="s">
        <v>37</v>
      </c>
      <c r="D50" s="8">
        <v>46</v>
      </c>
      <c r="E50" t="str">
        <f t="shared" si="4"/>
        <v>46-55</v>
      </c>
      <c r="F50" t="s">
        <v>46</v>
      </c>
      <c r="G50" t="s">
        <v>47</v>
      </c>
      <c r="H50" s="8" t="s">
        <v>40</v>
      </c>
      <c r="I50" s="10">
        <v>5</v>
      </c>
      <c r="J50" t="str">
        <f t="shared" si="0"/>
        <v>Near</v>
      </c>
      <c r="K50">
        <v>4</v>
      </c>
      <c r="L50" t="s">
        <v>62</v>
      </c>
      <c r="M50">
        <v>1</v>
      </c>
      <c r="N50">
        <v>3</v>
      </c>
      <c r="O50">
        <v>2</v>
      </c>
      <c r="P50" t="s">
        <v>42</v>
      </c>
      <c r="Q50">
        <v>4</v>
      </c>
      <c r="R50" s="11">
        <v>1211</v>
      </c>
      <c r="S50" s="14">
        <v>98</v>
      </c>
      <c r="T50" s="13">
        <v>5772</v>
      </c>
      <c r="U50" s="13">
        <f t="shared" si="1"/>
        <v>69264</v>
      </c>
      <c r="V50" s="14">
        <v>20445</v>
      </c>
      <c r="W50">
        <v>4</v>
      </c>
      <c r="X50" s="8" t="s">
        <v>38</v>
      </c>
      <c r="Y50" s="15">
        <v>0.21</v>
      </c>
      <c r="Z50">
        <v>4</v>
      </c>
      <c r="AA50">
        <v>3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 t="str">
        <f t="shared" si="2"/>
        <v>4-7</v>
      </c>
      <c r="AI50">
        <v>0</v>
      </c>
      <c r="AJ50" t="str">
        <f t="shared" si="3"/>
        <v>0-2</v>
      </c>
      <c r="AK50">
        <v>8</v>
      </c>
    </row>
    <row r="51" spans="1:37" x14ac:dyDescent="0.25">
      <c r="A51" s="8">
        <v>50</v>
      </c>
      <c r="B51" t="s">
        <v>44</v>
      </c>
      <c r="C51" t="s">
        <v>45</v>
      </c>
      <c r="D51" s="8">
        <v>35</v>
      </c>
      <c r="E51" t="str">
        <f t="shared" si="4"/>
        <v>26-35</v>
      </c>
      <c r="F51" t="s">
        <v>46</v>
      </c>
      <c r="G51" t="s">
        <v>39</v>
      </c>
      <c r="H51" s="8" t="s">
        <v>48</v>
      </c>
      <c r="I51" s="10">
        <v>8</v>
      </c>
      <c r="J51" t="str">
        <f t="shared" si="0"/>
        <v>Moderate</v>
      </c>
      <c r="K51">
        <v>1</v>
      </c>
      <c r="L51" t="s">
        <v>41</v>
      </c>
      <c r="M51">
        <v>4</v>
      </c>
      <c r="N51">
        <v>4</v>
      </c>
      <c r="O51">
        <v>1</v>
      </c>
      <c r="P51" t="s">
        <v>51</v>
      </c>
      <c r="Q51">
        <v>4</v>
      </c>
      <c r="R51" s="11">
        <v>1229</v>
      </c>
      <c r="S51" s="14">
        <v>36</v>
      </c>
      <c r="T51" s="13">
        <v>2269</v>
      </c>
      <c r="U51" s="13">
        <f t="shared" si="1"/>
        <v>27228</v>
      </c>
      <c r="V51" s="14">
        <v>4892</v>
      </c>
      <c r="W51">
        <v>1</v>
      </c>
      <c r="X51" s="8" t="s">
        <v>46</v>
      </c>
      <c r="Y51" s="15">
        <v>0.19</v>
      </c>
      <c r="Z51">
        <v>3</v>
      </c>
      <c r="AA51">
        <v>4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 t="str">
        <f t="shared" si="2"/>
        <v>0-3</v>
      </c>
      <c r="AI51">
        <v>0</v>
      </c>
      <c r="AJ51" t="str">
        <f t="shared" si="3"/>
        <v>0-2</v>
      </c>
      <c r="AK51">
        <v>1</v>
      </c>
    </row>
    <row r="52" spans="1:37" x14ac:dyDescent="0.25">
      <c r="A52" s="8">
        <v>51</v>
      </c>
      <c r="B52" t="s">
        <v>44</v>
      </c>
      <c r="C52" t="s">
        <v>37</v>
      </c>
      <c r="D52" s="8">
        <v>48</v>
      </c>
      <c r="E52" t="str">
        <f t="shared" si="4"/>
        <v>46-55</v>
      </c>
      <c r="F52" t="s">
        <v>38</v>
      </c>
      <c r="G52" t="s">
        <v>39</v>
      </c>
      <c r="H52" s="8" t="s">
        <v>48</v>
      </c>
      <c r="I52" s="10">
        <v>1</v>
      </c>
      <c r="J52" t="str">
        <f t="shared" si="0"/>
        <v>Near</v>
      </c>
      <c r="K52">
        <v>2</v>
      </c>
      <c r="L52" t="s">
        <v>41</v>
      </c>
      <c r="M52">
        <v>1</v>
      </c>
      <c r="N52">
        <v>2</v>
      </c>
      <c r="O52">
        <v>3</v>
      </c>
      <c r="P52" t="s">
        <v>51</v>
      </c>
      <c r="Q52">
        <v>3</v>
      </c>
      <c r="R52" s="11">
        <v>626</v>
      </c>
      <c r="S52" s="14">
        <v>98</v>
      </c>
      <c r="T52" s="13">
        <v>5381</v>
      </c>
      <c r="U52" s="13">
        <f t="shared" si="1"/>
        <v>64572</v>
      </c>
      <c r="V52" s="14">
        <v>19294</v>
      </c>
      <c r="W52">
        <v>9</v>
      </c>
      <c r="X52" s="8" t="s">
        <v>38</v>
      </c>
      <c r="Y52" s="15">
        <v>0.13</v>
      </c>
      <c r="Z52">
        <v>3</v>
      </c>
      <c r="AA52">
        <v>4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 t="str">
        <f t="shared" si="2"/>
        <v>0-3</v>
      </c>
      <c r="AI52">
        <v>0</v>
      </c>
      <c r="AJ52" t="str">
        <f t="shared" si="3"/>
        <v>0-2</v>
      </c>
      <c r="AK52">
        <v>0</v>
      </c>
    </row>
    <row r="53" spans="1:37" x14ac:dyDescent="0.25">
      <c r="A53" s="8">
        <v>52</v>
      </c>
      <c r="B53" t="s">
        <v>44</v>
      </c>
      <c r="C53" t="s">
        <v>37</v>
      </c>
      <c r="D53" s="8">
        <v>28</v>
      </c>
      <c r="E53" t="str">
        <f t="shared" si="4"/>
        <v>26-35</v>
      </c>
      <c r="F53" t="s">
        <v>38</v>
      </c>
      <c r="G53" t="s">
        <v>39</v>
      </c>
      <c r="H53" s="8" t="s">
        <v>48</v>
      </c>
      <c r="I53" s="10">
        <v>5</v>
      </c>
      <c r="J53" t="str">
        <f t="shared" si="0"/>
        <v>Near</v>
      </c>
      <c r="K53">
        <v>4</v>
      </c>
      <c r="L53" t="s">
        <v>63</v>
      </c>
      <c r="M53">
        <v>3</v>
      </c>
      <c r="N53">
        <v>3</v>
      </c>
      <c r="O53">
        <v>1</v>
      </c>
      <c r="P53" t="s">
        <v>51</v>
      </c>
      <c r="Q53">
        <v>3</v>
      </c>
      <c r="R53" s="11">
        <v>1434</v>
      </c>
      <c r="S53" s="14">
        <v>50</v>
      </c>
      <c r="T53" s="13">
        <v>3441</v>
      </c>
      <c r="U53" s="13">
        <f t="shared" si="1"/>
        <v>41292</v>
      </c>
      <c r="V53" s="14">
        <v>11179</v>
      </c>
      <c r="W53">
        <v>1</v>
      </c>
      <c r="X53" s="8" t="s">
        <v>38</v>
      </c>
      <c r="Y53" s="15">
        <v>0.13</v>
      </c>
      <c r="Z53">
        <v>3</v>
      </c>
      <c r="AA53">
        <v>3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 t="str">
        <f t="shared" si="2"/>
        <v>0-3</v>
      </c>
      <c r="AI53">
        <v>2</v>
      </c>
      <c r="AJ53" t="str">
        <f t="shared" si="3"/>
        <v>0-2</v>
      </c>
      <c r="AK53">
        <v>2</v>
      </c>
    </row>
    <row r="54" spans="1:37" x14ac:dyDescent="0.25">
      <c r="A54" s="8">
        <v>53</v>
      </c>
      <c r="B54" t="s">
        <v>52</v>
      </c>
      <c r="C54" t="s">
        <v>54</v>
      </c>
      <c r="D54" s="8">
        <v>44</v>
      </c>
      <c r="E54" t="str">
        <f t="shared" si="4"/>
        <v>36-45</v>
      </c>
      <c r="F54" t="s">
        <v>46</v>
      </c>
      <c r="G54" t="s">
        <v>39</v>
      </c>
      <c r="H54" s="8" t="s">
        <v>40</v>
      </c>
      <c r="I54" s="10">
        <v>1</v>
      </c>
      <c r="J54" t="str">
        <f t="shared" si="0"/>
        <v>Near</v>
      </c>
      <c r="K54">
        <v>5</v>
      </c>
      <c r="L54" t="s">
        <v>62</v>
      </c>
      <c r="M54">
        <v>2</v>
      </c>
      <c r="N54">
        <v>3</v>
      </c>
      <c r="O54">
        <v>2</v>
      </c>
      <c r="P54" t="s">
        <v>42</v>
      </c>
      <c r="Q54">
        <v>1</v>
      </c>
      <c r="R54" s="11">
        <v>1488</v>
      </c>
      <c r="S54" s="14">
        <v>75</v>
      </c>
      <c r="T54" s="13">
        <v>5454</v>
      </c>
      <c r="U54" s="13">
        <f t="shared" si="1"/>
        <v>65448</v>
      </c>
      <c r="V54" s="14">
        <v>4009</v>
      </c>
      <c r="W54">
        <v>5</v>
      </c>
      <c r="X54" s="8" t="s">
        <v>38</v>
      </c>
      <c r="Y54" s="15">
        <v>0.21</v>
      </c>
      <c r="Z54">
        <v>4</v>
      </c>
      <c r="AA54">
        <v>3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 t="str">
        <f t="shared" si="2"/>
        <v>0-3</v>
      </c>
      <c r="AI54">
        <v>1</v>
      </c>
      <c r="AJ54" t="str">
        <f t="shared" si="3"/>
        <v>0-2</v>
      </c>
      <c r="AK54">
        <v>3</v>
      </c>
    </row>
    <row r="55" spans="1:37" x14ac:dyDescent="0.25">
      <c r="A55" s="8">
        <v>54</v>
      </c>
      <c r="B55" t="s">
        <v>44</v>
      </c>
      <c r="C55" t="s">
        <v>45</v>
      </c>
      <c r="D55" s="8">
        <v>35</v>
      </c>
      <c r="E55" t="str">
        <f t="shared" si="4"/>
        <v>26-35</v>
      </c>
      <c r="F55" t="s">
        <v>46</v>
      </c>
      <c r="G55" t="s">
        <v>58</v>
      </c>
      <c r="H55" s="8" t="s">
        <v>48</v>
      </c>
      <c r="I55" s="10">
        <v>11</v>
      </c>
      <c r="J55" t="str">
        <f t="shared" si="0"/>
        <v>Moderate</v>
      </c>
      <c r="K55">
        <v>2</v>
      </c>
      <c r="L55" t="s">
        <v>53</v>
      </c>
      <c r="M55">
        <v>3</v>
      </c>
      <c r="N55">
        <v>2</v>
      </c>
      <c r="O55">
        <v>3</v>
      </c>
      <c r="P55" t="s">
        <v>56</v>
      </c>
      <c r="Q55">
        <v>1</v>
      </c>
      <c r="R55" s="11">
        <v>1097</v>
      </c>
      <c r="S55" s="14">
        <v>79</v>
      </c>
      <c r="T55" s="13">
        <v>9884</v>
      </c>
      <c r="U55" s="13">
        <f t="shared" si="1"/>
        <v>118608</v>
      </c>
      <c r="V55" s="14">
        <v>8302</v>
      </c>
      <c r="W55">
        <v>2</v>
      </c>
      <c r="X55" s="8" t="s">
        <v>38</v>
      </c>
      <c r="Y55" s="15">
        <v>0.13</v>
      </c>
      <c r="Z55">
        <v>3</v>
      </c>
      <c r="AA55">
        <v>3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 t="str">
        <f t="shared" si="2"/>
        <v>0-3</v>
      </c>
      <c r="AI55">
        <v>2</v>
      </c>
      <c r="AJ55" t="str">
        <f t="shared" si="3"/>
        <v>0-2</v>
      </c>
      <c r="AK55">
        <v>3</v>
      </c>
    </row>
    <row r="56" spans="1:37" x14ac:dyDescent="0.25">
      <c r="A56" s="8">
        <v>55</v>
      </c>
      <c r="B56" t="s">
        <v>52</v>
      </c>
      <c r="C56" t="s">
        <v>45</v>
      </c>
      <c r="D56" s="8">
        <v>26</v>
      </c>
      <c r="E56" t="str">
        <f t="shared" si="4"/>
        <v>26-35</v>
      </c>
      <c r="F56" t="s">
        <v>46</v>
      </c>
      <c r="G56" t="s">
        <v>39</v>
      </c>
      <c r="H56" s="8" t="s">
        <v>40</v>
      </c>
      <c r="I56" s="10">
        <v>23</v>
      </c>
      <c r="J56" t="str">
        <f t="shared" si="0"/>
        <v>Far</v>
      </c>
      <c r="K56">
        <v>3</v>
      </c>
      <c r="L56" t="s">
        <v>62</v>
      </c>
      <c r="M56">
        <v>3</v>
      </c>
      <c r="N56">
        <v>2</v>
      </c>
      <c r="O56">
        <v>2</v>
      </c>
      <c r="P56" t="s">
        <v>42</v>
      </c>
      <c r="Q56">
        <v>4</v>
      </c>
      <c r="R56" s="11">
        <v>1443</v>
      </c>
      <c r="S56" s="14">
        <v>47</v>
      </c>
      <c r="T56" s="13">
        <v>4157</v>
      </c>
      <c r="U56" s="13">
        <f t="shared" si="1"/>
        <v>49884</v>
      </c>
      <c r="V56" s="14">
        <v>21436</v>
      </c>
      <c r="W56">
        <v>7</v>
      </c>
      <c r="X56" s="8" t="s">
        <v>38</v>
      </c>
      <c r="Y56" s="15">
        <v>0.19</v>
      </c>
      <c r="Z56">
        <v>3</v>
      </c>
      <c r="AA56">
        <v>3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 t="str">
        <f t="shared" si="2"/>
        <v>0-3</v>
      </c>
      <c r="AI56">
        <v>0</v>
      </c>
      <c r="AJ56" t="str">
        <f t="shared" si="3"/>
        <v>0-2</v>
      </c>
      <c r="AK56">
        <v>0</v>
      </c>
    </row>
    <row r="57" spans="1:37" x14ac:dyDescent="0.25">
      <c r="A57" s="8">
        <v>56</v>
      </c>
      <c r="B57" t="s">
        <v>52</v>
      </c>
      <c r="C57" t="s">
        <v>37</v>
      </c>
      <c r="D57" s="8">
        <v>33</v>
      </c>
      <c r="E57" t="str">
        <f t="shared" si="4"/>
        <v>26-35</v>
      </c>
      <c r="F57" t="s">
        <v>46</v>
      </c>
      <c r="G57" t="s">
        <v>47</v>
      </c>
      <c r="H57" s="8" t="s">
        <v>48</v>
      </c>
      <c r="I57" s="10">
        <v>1</v>
      </c>
      <c r="J57" t="str">
        <f t="shared" si="0"/>
        <v>Near</v>
      </c>
      <c r="K57">
        <v>2</v>
      </c>
      <c r="L57" t="s">
        <v>41</v>
      </c>
      <c r="M57">
        <v>1</v>
      </c>
      <c r="N57">
        <v>3</v>
      </c>
      <c r="O57">
        <v>3</v>
      </c>
      <c r="P57" t="s">
        <v>61</v>
      </c>
      <c r="Q57">
        <v>4</v>
      </c>
      <c r="R57" s="11">
        <v>515</v>
      </c>
      <c r="S57" s="14">
        <v>98</v>
      </c>
      <c r="T57" s="13">
        <v>13458</v>
      </c>
      <c r="U57" s="13">
        <f t="shared" si="1"/>
        <v>161496</v>
      </c>
      <c r="V57" s="14">
        <v>15146</v>
      </c>
      <c r="W57">
        <v>1</v>
      </c>
      <c r="X57" s="8" t="s">
        <v>38</v>
      </c>
      <c r="Y57" s="15">
        <v>0.12</v>
      </c>
      <c r="Z57">
        <v>3</v>
      </c>
      <c r="AA57">
        <v>3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 t="str">
        <f t="shared" si="2"/>
        <v>12-15</v>
      </c>
      <c r="AI57">
        <v>8</v>
      </c>
      <c r="AJ57" t="str">
        <f t="shared" si="3"/>
        <v>6-8</v>
      </c>
      <c r="AK57">
        <v>12</v>
      </c>
    </row>
    <row r="58" spans="1:37" x14ac:dyDescent="0.25">
      <c r="A58" s="8">
        <v>57</v>
      </c>
      <c r="B58" t="s">
        <v>44</v>
      </c>
      <c r="C58" t="s">
        <v>45</v>
      </c>
      <c r="D58" s="8">
        <v>35</v>
      </c>
      <c r="E58" t="str">
        <f t="shared" si="4"/>
        <v>26-35</v>
      </c>
      <c r="F58" t="s">
        <v>46</v>
      </c>
      <c r="G58" t="s">
        <v>47</v>
      </c>
      <c r="H58" s="8" t="s">
        <v>40</v>
      </c>
      <c r="I58" s="10">
        <v>18</v>
      </c>
      <c r="J58" t="str">
        <f t="shared" si="0"/>
        <v>Far</v>
      </c>
      <c r="K58">
        <v>5</v>
      </c>
      <c r="L58" t="s">
        <v>41</v>
      </c>
      <c r="M58">
        <v>2</v>
      </c>
      <c r="N58">
        <v>3</v>
      </c>
      <c r="O58">
        <v>3</v>
      </c>
      <c r="P58" t="s">
        <v>42</v>
      </c>
      <c r="Q58">
        <v>1</v>
      </c>
      <c r="R58" s="11">
        <v>853</v>
      </c>
      <c r="S58" s="14">
        <v>71</v>
      </c>
      <c r="T58" s="13">
        <v>9069</v>
      </c>
      <c r="U58" s="13">
        <f t="shared" si="1"/>
        <v>108828</v>
      </c>
      <c r="V58" s="14">
        <v>11031</v>
      </c>
      <c r="W58">
        <v>1</v>
      </c>
      <c r="X58" s="8" t="s">
        <v>46</v>
      </c>
      <c r="Y58" s="15">
        <v>0.22</v>
      </c>
      <c r="Z58">
        <v>4</v>
      </c>
      <c r="AA58">
        <v>4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 t="str">
        <f t="shared" si="2"/>
        <v>8-11</v>
      </c>
      <c r="AI58">
        <v>1</v>
      </c>
      <c r="AJ58" t="str">
        <f t="shared" si="3"/>
        <v>0-2</v>
      </c>
      <c r="AK58">
        <v>8</v>
      </c>
    </row>
    <row r="59" spans="1:37" x14ac:dyDescent="0.25">
      <c r="A59" s="8">
        <v>58</v>
      </c>
      <c r="B59" t="s">
        <v>52</v>
      </c>
      <c r="C59" t="s">
        <v>45</v>
      </c>
      <c r="D59" s="8">
        <v>35</v>
      </c>
      <c r="E59" t="str">
        <f t="shared" si="4"/>
        <v>26-35</v>
      </c>
      <c r="F59" t="s">
        <v>46</v>
      </c>
      <c r="G59" t="s">
        <v>39</v>
      </c>
      <c r="H59" s="8" t="s">
        <v>48</v>
      </c>
      <c r="I59" s="10">
        <v>23</v>
      </c>
      <c r="J59" t="str">
        <f t="shared" si="0"/>
        <v>Far</v>
      </c>
      <c r="K59">
        <v>4</v>
      </c>
      <c r="L59" t="s">
        <v>53</v>
      </c>
      <c r="M59">
        <v>3</v>
      </c>
      <c r="N59">
        <v>3</v>
      </c>
      <c r="O59">
        <v>1</v>
      </c>
      <c r="P59" t="s">
        <v>51</v>
      </c>
      <c r="Q59">
        <v>1</v>
      </c>
      <c r="R59" s="11">
        <v>1142</v>
      </c>
      <c r="S59" s="14">
        <v>30</v>
      </c>
      <c r="T59" s="13">
        <v>4014</v>
      </c>
      <c r="U59" s="13">
        <f t="shared" si="1"/>
        <v>48168</v>
      </c>
      <c r="V59" s="14">
        <v>16002</v>
      </c>
      <c r="W59">
        <v>3</v>
      </c>
      <c r="X59" s="8" t="s">
        <v>38</v>
      </c>
      <c r="Y59" s="15">
        <v>0.15</v>
      </c>
      <c r="Z59">
        <v>3</v>
      </c>
      <c r="AA59">
        <v>3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 t="str">
        <f t="shared" si="2"/>
        <v>0-3</v>
      </c>
      <c r="AI59">
        <v>2</v>
      </c>
      <c r="AJ59" t="str">
        <f t="shared" si="3"/>
        <v>0-2</v>
      </c>
      <c r="AK59">
        <v>2</v>
      </c>
    </row>
    <row r="60" spans="1:37" x14ac:dyDescent="0.25">
      <c r="A60" s="8">
        <v>59</v>
      </c>
      <c r="B60" t="s">
        <v>44</v>
      </c>
      <c r="C60" t="s">
        <v>54</v>
      </c>
      <c r="D60" s="8">
        <v>31</v>
      </c>
      <c r="E60" t="str">
        <f t="shared" si="4"/>
        <v>26-35</v>
      </c>
      <c r="F60" t="s">
        <v>46</v>
      </c>
      <c r="G60" t="s">
        <v>39</v>
      </c>
      <c r="H60" s="8" t="s">
        <v>48</v>
      </c>
      <c r="I60" s="10">
        <v>7</v>
      </c>
      <c r="J60" t="str">
        <f t="shared" si="0"/>
        <v>Moderate</v>
      </c>
      <c r="K60">
        <v>4</v>
      </c>
      <c r="L60" t="s">
        <v>41</v>
      </c>
      <c r="M60">
        <v>4</v>
      </c>
      <c r="N60">
        <v>3</v>
      </c>
      <c r="O60">
        <v>2</v>
      </c>
      <c r="P60" t="s">
        <v>51</v>
      </c>
      <c r="Q60">
        <v>4</v>
      </c>
      <c r="R60" s="11">
        <v>655</v>
      </c>
      <c r="S60" s="14">
        <v>48</v>
      </c>
      <c r="T60" s="13">
        <v>5915</v>
      </c>
      <c r="U60" s="13">
        <f t="shared" si="1"/>
        <v>70980</v>
      </c>
      <c r="V60" s="14">
        <v>9528</v>
      </c>
      <c r="W60">
        <v>3</v>
      </c>
      <c r="X60" s="8" t="s">
        <v>46</v>
      </c>
      <c r="Y60" s="15">
        <v>0.22</v>
      </c>
      <c r="Z60">
        <v>4</v>
      </c>
      <c r="AA60">
        <v>4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 t="str">
        <f t="shared" si="2"/>
        <v>4-7</v>
      </c>
      <c r="AI60">
        <v>1</v>
      </c>
      <c r="AJ60" t="str">
        <f t="shared" si="3"/>
        <v>0-2</v>
      </c>
      <c r="AK60">
        <v>7</v>
      </c>
    </row>
    <row r="61" spans="1:37" x14ac:dyDescent="0.25">
      <c r="A61" s="8">
        <v>60</v>
      </c>
      <c r="B61" t="s">
        <v>44</v>
      </c>
      <c r="C61" t="s">
        <v>54</v>
      </c>
      <c r="D61" s="8">
        <v>37</v>
      </c>
      <c r="E61" t="str">
        <f t="shared" si="4"/>
        <v>36-45</v>
      </c>
      <c r="F61" t="s">
        <v>46</v>
      </c>
      <c r="G61" t="s">
        <v>39</v>
      </c>
      <c r="H61" s="8" t="s">
        <v>48</v>
      </c>
      <c r="I61" s="10">
        <v>1</v>
      </c>
      <c r="J61" t="str">
        <f t="shared" si="0"/>
        <v>Near</v>
      </c>
      <c r="K61">
        <v>4</v>
      </c>
      <c r="L61" t="s">
        <v>41</v>
      </c>
      <c r="M61">
        <v>1</v>
      </c>
      <c r="N61">
        <v>2</v>
      </c>
      <c r="O61">
        <v>2</v>
      </c>
      <c r="P61" t="s">
        <v>55</v>
      </c>
      <c r="Q61">
        <v>3</v>
      </c>
      <c r="R61" s="11">
        <v>1115</v>
      </c>
      <c r="S61" s="14">
        <v>51</v>
      </c>
      <c r="T61" s="13">
        <v>5993</v>
      </c>
      <c r="U61" s="13">
        <f t="shared" si="1"/>
        <v>71916</v>
      </c>
      <c r="V61" s="14">
        <v>2689</v>
      </c>
      <c r="W61">
        <v>1</v>
      </c>
      <c r="X61" s="8" t="s">
        <v>46</v>
      </c>
      <c r="Y61" s="15">
        <v>0.18</v>
      </c>
      <c r="Z61">
        <v>3</v>
      </c>
      <c r="AA61">
        <v>3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 t="str">
        <f t="shared" si="2"/>
        <v>4-7</v>
      </c>
      <c r="AI61">
        <v>0</v>
      </c>
      <c r="AJ61" t="str">
        <f t="shared" si="3"/>
        <v>0-2</v>
      </c>
      <c r="AK61">
        <v>7</v>
      </c>
    </row>
    <row r="62" spans="1:37" x14ac:dyDescent="0.25">
      <c r="A62" s="8">
        <v>61</v>
      </c>
      <c r="B62" t="s">
        <v>44</v>
      </c>
      <c r="C62" t="s">
        <v>45</v>
      </c>
      <c r="D62" s="8">
        <v>32</v>
      </c>
      <c r="E62" t="str">
        <f t="shared" si="4"/>
        <v>26-35</v>
      </c>
      <c r="F62" t="s">
        <v>46</v>
      </c>
      <c r="G62" t="s">
        <v>39</v>
      </c>
      <c r="H62" s="8" t="s">
        <v>48</v>
      </c>
      <c r="I62" s="10">
        <v>1</v>
      </c>
      <c r="J62" t="str">
        <f t="shared" si="0"/>
        <v>Near</v>
      </c>
      <c r="K62">
        <v>3</v>
      </c>
      <c r="L62" t="s">
        <v>53</v>
      </c>
      <c r="M62">
        <v>1</v>
      </c>
      <c r="N62">
        <v>3</v>
      </c>
      <c r="O62">
        <v>2</v>
      </c>
      <c r="P62" t="s">
        <v>55</v>
      </c>
      <c r="Q62">
        <v>4</v>
      </c>
      <c r="R62" s="11">
        <v>427</v>
      </c>
      <c r="S62" s="14">
        <v>33</v>
      </c>
      <c r="T62" s="13">
        <v>6162</v>
      </c>
      <c r="U62" s="13">
        <f t="shared" si="1"/>
        <v>73944</v>
      </c>
      <c r="V62" s="14">
        <v>10877</v>
      </c>
      <c r="W62">
        <v>1</v>
      </c>
      <c r="X62" s="8" t="s">
        <v>38</v>
      </c>
      <c r="Y62" s="15">
        <v>0.22</v>
      </c>
      <c r="Z62">
        <v>4</v>
      </c>
      <c r="AA62">
        <v>2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 t="str">
        <f t="shared" si="2"/>
        <v>8-11</v>
      </c>
      <c r="AI62">
        <v>7</v>
      </c>
      <c r="AJ62" t="str">
        <f t="shared" si="3"/>
        <v>6-8</v>
      </c>
      <c r="AK62">
        <v>8</v>
      </c>
    </row>
    <row r="63" spans="1:37" x14ac:dyDescent="0.25">
      <c r="A63" s="8">
        <v>62</v>
      </c>
      <c r="B63" t="s">
        <v>52</v>
      </c>
      <c r="C63" t="s">
        <v>37</v>
      </c>
      <c r="D63" s="8">
        <v>38</v>
      </c>
      <c r="E63" t="str">
        <f t="shared" si="4"/>
        <v>36-45</v>
      </c>
      <c r="F63" t="s">
        <v>46</v>
      </c>
      <c r="G63" t="s">
        <v>47</v>
      </c>
      <c r="H63" s="8" t="s">
        <v>48</v>
      </c>
      <c r="I63" s="10">
        <v>29</v>
      </c>
      <c r="J63" t="str">
        <f t="shared" si="0"/>
        <v>Far</v>
      </c>
      <c r="K63">
        <v>5</v>
      </c>
      <c r="L63" t="s">
        <v>41</v>
      </c>
      <c r="M63">
        <v>4</v>
      </c>
      <c r="N63">
        <v>3</v>
      </c>
      <c r="O63">
        <v>2</v>
      </c>
      <c r="P63" t="s">
        <v>51</v>
      </c>
      <c r="Q63">
        <v>4</v>
      </c>
      <c r="R63" s="11">
        <v>653</v>
      </c>
      <c r="S63" s="14">
        <v>50</v>
      </c>
      <c r="T63" s="13">
        <v>2406</v>
      </c>
      <c r="U63" s="13">
        <f t="shared" si="1"/>
        <v>28872</v>
      </c>
      <c r="V63" s="14">
        <v>5456</v>
      </c>
      <c r="W63">
        <v>1</v>
      </c>
      <c r="X63" s="8" t="s">
        <v>46</v>
      </c>
      <c r="Y63" s="15">
        <v>0.11</v>
      </c>
      <c r="Z63">
        <v>3</v>
      </c>
      <c r="AA63">
        <v>4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 t="str">
        <f t="shared" si="2"/>
        <v>0-3</v>
      </c>
      <c r="AI63">
        <v>9</v>
      </c>
      <c r="AJ63" t="str">
        <f t="shared" si="3"/>
        <v>9-11</v>
      </c>
      <c r="AK63">
        <v>9</v>
      </c>
    </row>
    <row r="64" spans="1:37" x14ac:dyDescent="0.25">
      <c r="A64" s="8">
        <v>63</v>
      </c>
      <c r="B64" t="s">
        <v>52</v>
      </c>
      <c r="C64" t="s">
        <v>54</v>
      </c>
      <c r="D64" s="8">
        <v>50</v>
      </c>
      <c r="E64" t="str">
        <f t="shared" si="4"/>
        <v>46-55</v>
      </c>
      <c r="F64" t="s">
        <v>46</v>
      </c>
      <c r="G64" t="s">
        <v>39</v>
      </c>
      <c r="H64" s="8" t="s">
        <v>48</v>
      </c>
      <c r="I64" s="10">
        <v>7</v>
      </c>
      <c r="J64" t="str">
        <f t="shared" si="0"/>
        <v>Moderate</v>
      </c>
      <c r="K64">
        <v>2</v>
      </c>
      <c r="L64" t="s">
        <v>53</v>
      </c>
      <c r="M64">
        <v>2</v>
      </c>
      <c r="N64">
        <v>2</v>
      </c>
      <c r="O64">
        <v>5</v>
      </c>
      <c r="P64" t="s">
        <v>61</v>
      </c>
      <c r="Q64">
        <v>3</v>
      </c>
      <c r="R64" s="11">
        <v>989</v>
      </c>
      <c r="S64" s="14">
        <v>43</v>
      </c>
      <c r="T64" s="13">
        <v>18740</v>
      </c>
      <c r="U64" s="13">
        <f t="shared" si="1"/>
        <v>224880</v>
      </c>
      <c r="V64" s="14">
        <v>16701</v>
      </c>
      <c r="W64">
        <v>5</v>
      </c>
      <c r="X64" s="8" t="s">
        <v>38</v>
      </c>
      <c r="Y64" s="15">
        <v>0.12</v>
      </c>
      <c r="Z64">
        <v>3</v>
      </c>
      <c r="AA64">
        <v>4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 t="str">
        <f t="shared" si="2"/>
        <v>0-3</v>
      </c>
      <c r="AI64">
        <v>13</v>
      </c>
      <c r="AJ64" t="str">
        <f t="shared" si="3"/>
        <v>12-15</v>
      </c>
      <c r="AK64">
        <v>8</v>
      </c>
    </row>
    <row r="65" spans="1:37" x14ac:dyDescent="0.25">
      <c r="A65" s="8">
        <v>64</v>
      </c>
      <c r="B65" t="s">
        <v>52</v>
      </c>
      <c r="C65" t="s">
        <v>37</v>
      </c>
      <c r="D65" s="8">
        <v>59</v>
      </c>
      <c r="E65" t="str">
        <f t="shared" si="4"/>
        <v>55+</v>
      </c>
      <c r="F65" t="s">
        <v>46</v>
      </c>
      <c r="G65" t="s">
        <v>39</v>
      </c>
      <c r="H65" s="8" t="s">
        <v>40</v>
      </c>
      <c r="I65" s="10">
        <v>25</v>
      </c>
      <c r="J65" t="str">
        <f t="shared" si="0"/>
        <v>Far</v>
      </c>
      <c r="K65">
        <v>3</v>
      </c>
      <c r="L65" t="s">
        <v>41</v>
      </c>
      <c r="M65">
        <v>1</v>
      </c>
      <c r="N65">
        <v>3</v>
      </c>
      <c r="O65">
        <v>3</v>
      </c>
      <c r="P65" t="s">
        <v>42</v>
      </c>
      <c r="Q65">
        <v>1</v>
      </c>
      <c r="R65" s="11">
        <v>1435</v>
      </c>
      <c r="S65" s="14">
        <v>99</v>
      </c>
      <c r="T65" s="13">
        <v>7637</v>
      </c>
      <c r="U65" s="13">
        <f t="shared" si="1"/>
        <v>91644</v>
      </c>
      <c r="V65" s="14">
        <v>2354</v>
      </c>
      <c r="W65">
        <v>7</v>
      </c>
      <c r="X65" s="8" t="s">
        <v>46</v>
      </c>
      <c r="Y65" s="15">
        <v>0.11</v>
      </c>
      <c r="Z65">
        <v>3</v>
      </c>
      <c r="AA65">
        <v>4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 t="str">
        <f t="shared" si="2"/>
        <v>16-19</v>
      </c>
      <c r="AI65">
        <v>7</v>
      </c>
      <c r="AJ65" t="str">
        <f t="shared" si="3"/>
        <v>6-8</v>
      </c>
      <c r="AK65">
        <v>9</v>
      </c>
    </row>
    <row r="66" spans="1:37" x14ac:dyDescent="0.25">
      <c r="A66" s="8">
        <v>65</v>
      </c>
      <c r="B66" t="s">
        <v>52</v>
      </c>
      <c r="C66" t="s">
        <v>54</v>
      </c>
      <c r="D66" s="8">
        <v>36</v>
      </c>
      <c r="E66" t="str">
        <f t="shared" si="4"/>
        <v>36-45</v>
      </c>
      <c r="F66" t="s">
        <v>46</v>
      </c>
      <c r="G66" t="s">
        <v>39</v>
      </c>
      <c r="H66" s="8" t="s">
        <v>48</v>
      </c>
      <c r="I66" s="10">
        <v>8</v>
      </c>
      <c r="J66" t="str">
        <f t="shared" si="0"/>
        <v>Moderate</v>
      </c>
      <c r="K66">
        <v>3</v>
      </c>
      <c r="L66" t="s">
        <v>63</v>
      </c>
      <c r="M66">
        <v>3</v>
      </c>
      <c r="N66">
        <v>3</v>
      </c>
      <c r="O66">
        <v>3</v>
      </c>
      <c r="P66" t="s">
        <v>56</v>
      </c>
      <c r="Q66">
        <v>3</v>
      </c>
      <c r="R66" s="11">
        <v>1223</v>
      </c>
      <c r="S66" s="14">
        <v>59</v>
      </c>
      <c r="T66" s="13">
        <v>10096</v>
      </c>
      <c r="U66" s="13">
        <f t="shared" si="1"/>
        <v>121152</v>
      </c>
      <c r="V66" s="14">
        <v>8202</v>
      </c>
      <c r="W66">
        <v>1</v>
      </c>
      <c r="X66" s="8" t="s">
        <v>46</v>
      </c>
      <c r="Y66" s="15">
        <v>0.13</v>
      </c>
      <c r="Z66">
        <v>3</v>
      </c>
      <c r="AA66">
        <v>2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 t="str">
        <f t="shared" si="2"/>
        <v>12-15</v>
      </c>
      <c r="AI66">
        <v>12</v>
      </c>
      <c r="AJ66" t="str">
        <f t="shared" si="3"/>
        <v>12-15</v>
      </c>
      <c r="AK66">
        <v>8</v>
      </c>
    </row>
    <row r="67" spans="1:37" x14ac:dyDescent="0.25">
      <c r="A67" s="8">
        <v>66</v>
      </c>
      <c r="B67" t="s">
        <v>52</v>
      </c>
      <c r="C67" t="s">
        <v>54</v>
      </c>
      <c r="D67" s="8">
        <v>55</v>
      </c>
      <c r="E67" t="str">
        <f t="shared" si="4"/>
        <v>46-55</v>
      </c>
      <c r="F67" t="s">
        <v>46</v>
      </c>
      <c r="G67" t="s">
        <v>39</v>
      </c>
      <c r="H67" s="8" t="s">
        <v>48</v>
      </c>
      <c r="I67" s="10">
        <v>8</v>
      </c>
      <c r="J67" t="str">
        <f t="shared" ref="J67:J130" si="5">IF(I67&lt;=5,"Near",IF(I67&lt;=15,"Moderate",IF(I67&gt;15,"Far")))</f>
        <v>Moderate</v>
      </c>
      <c r="K67">
        <v>3</v>
      </c>
      <c r="L67" t="s">
        <v>53</v>
      </c>
      <c r="M67">
        <v>4</v>
      </c>
      <c r="N67">
        <v>3</v>
      </c>
      <c r="O67">
        <v>4</v>
      </c>
      <c r="P67" t="s">
        <v>59</v>
      </c>
      <c r="Q67">
        <v>3</v>
      </c>
      <c r="R67" s="11">
        <v>836</v>
      </c>
      <c r="S67" s="14">
        <v>33</v>
      </c>
      <c r="T67" s="13">
        <v>14756</v>
      </c>
      <c r="U67" s="13">
        <f t="shared" ref="U67:U130" si="6">T67*12</f>
        <v>177072</v>
      </c>
      <c r="V67" s="14">
        <v>19730</v>
      </c>
      <c r="W67">
        <v>2</v>
      </c>
      <c r="X67" s="8" t="s">
        <v>38</v>
      </c>
      <c r="Y67" s="15">
        <v>0.14000000000000001</v>
      </c>
      <c r="Z67">
        <v>3</v>
      </c>
      <c r="AA67">
        <v>3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 t="str">
        <f t="shared" ref="AH67:AH130" si="7">IF(AG:AG&lt;=3,"0-3", IF(AG:AG&lt;=7,"4-7", IF(AG:AG&lt;=11,"8-11", IF(AG:AG&lt;=15,"12-15","16-19"))))</f>
        <v>0-3</v>
      </c>
      <c r="AI67">
        <v>0</v>
      </c>
      <c r="AJ67" t="str">
        <f t="shared" ref="AJ67:AJ130" si="8">IF(AI:AI&lt;=2,"0-2",IF(AI:AI&lt;=5,"3-5", IF(AI:AI&lt;=8,"6-8", IF(AI:AI&lt;=11,"9-11","12-15"))))</f>
        <v>0-2</v>
      </c>
      <c r="AK67">
        <v>2</v>
      </c>
    </row>
    <row r="68" spans="1:37" x14ac:dyDescent="0.25">
      <c r="A68" s="8">
        <v>67</v>
      </c>
      <c r="B68" t="s">
        <v>44</v>
      </c>
      <c r="C68" t="s">
        <v>37</v>
      </c>
      <c r="D68" s="8">
        <v>36</v>
      </c>
      <c r="E68" t="str">
        <f t="shared" ref="E68:E131" si="9">IF(D68&lt;25,"18-25",IF(D68&lt;=35,"26-35",IF(D68&lt;=45,"36-45",IF(D68&lt;=55,"46-55",IF(D68&gt;55,"55+")))))</f>
        <v>36-45</v>
      </c>
      <c r="F68" t="s">
        <v>46</v>
      </c>
      <c r="G68" t="s">
        <v>47</v>
      </c>
      <c r="H68" s="8" t="s">
        <v>48</v>
      </c>
      <c r="I68" s="10">
        <v>11</v>
      </c>
      <c r="J68" t="str">
        <f t="shared" si="5"/>
        <v>Moderate</v>
      </c>
      <c r="K68">
        <v>3</v>
      </c>
      <c r="L68" t="s">
        <v>41</v>
      </c>
      <c r="M68">
        <v>2</v>
      </c>
      <c r="N68">
        <v>2</v>
      </c>
      <c r="O68">
        <v>2</v>
      </c>
      <c r="P68" t="s">
        <v>55</v>
      </c>
      <c r="Q68">
        <v>2</v>
      </c>
      <c r="R68" s="11">
        <v>1195</v>
      </c>
      <c r="S68" s="14">
        <v>95</v>
      </c>
      <c r="T68" s="13">
        <v>6499</v>
      </c>
      <c r="U68" s="13">
        <f t="shared" si="6"/>
        <v>77988</v>
      </c>
      <c r="V68" s="14">
        <v>22656</v>
      </c>
      <c r="W68">
        <v>1</v>
      </c>
      <c r="X68" s="8" t="s">
        <v>46</v>
      </c>
      <c r="Y68" s="15">
        <v>0.13</v>
      </c>
      <c r="Z68">
        <v>3</v>
      </c>
      <c r="AA68">
        <v>3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 t="str">
        <f t="shared" si="7"/>
        <v>4-7</v>
      </c>
      <c r="AI68">
        <v>0</v>
      </c>
      <c r="AJ68" t="str">
        <f t="shared" si="8"/>
        <v>0-2</v>
      </c>
      <c r="AK68">
        <v>3</v>
      </c>
    </row>
    <row r="69" spans="1:37" x14ac:dyDescent="0.25">
      <c r="A69" s="8">
        <v>68</v>
      </c>
      <c r="B69" t="s">
        <v>44</v>
      </c>
      <c r="C69" t="s">
        <v>54</v>
      </c>
      <c r="D69" s="8">
        <v>45</v>
      </c>
      <c r="E69" t="str">
        <f t="shared" si="9"/>
        <v>36-45</v>
      </c>
      <c r="F69" t="s">
        <v>46</v>
      </c>
      <c r="G69" t="s">
        <v>39</v>
      </c>
      <c r="H69" s="8" t="s">
        <v>48</v>
      </c>
      <c r="I69" s="10">
        <v>7</v>
      </c>
      <c r="J69" t="str">
        <f t="shared" si="5"/>
        <v>Moderate</v>
      </c>
      <c r="K69">
        <v>3</v>
      </c>
      <c r="L69" t="s">
        <v>41</v>
      </c>
      <c r="M69">
        <v>2</v>
      </c>
      <c r="N69">
        <v>3</v>
      </c>
      <c r="O69">
        <v>3</v>
      </c>
      <c r="P69" t="s">
        <v>49</v>
      </c>
      <c r="Q69">
        <v>1</v>
      </c>
      <c r="R69" s="11">
        <v>1339</v>
      </c>
      <c r="S69" s="14">
        <v>59</v>
      </c>
      <c r="T69" s="13">
        <v>9724</v>
      </c>
      <c r="U69" s="13">
        <f t="shared" si="6"/>
        <v>116688</v>
      </c>
      <c r="V69" s="14">
        <v>18787</v>
      </c>
      <c r="W69">
        <v>2</v>
      </c>
      <c r="X69" s="8" t="s">
        <v>46</v>
      </c>
      <c r="Y69" s="15">
        <v>0.17</v>
      </c>
      <c r="Z69">
        <v>3</v>
      </c>
      <c r="AA69">
        <v>3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 t="str">
        <f t="shared" si="7"/>
        <v>0-3</v>
      </c>
      <c r="AI69">
        <v>0</v>
      </c>
      <c r="AJ69" t="str">
        <f t="shared" si="8"/>
        <v>0-2</v>
      </c>
      <c r="AK69">
        <v>0</v>
      </c>
    </row>
    <row r="70" spans="1:37" x14ac:dyDescent="0.25">
      <c r="A70" s="8">
        <v>69</v>
      </c>
      <c r="B70" t="s">
        <v>44</v>
      </c>
      <c r="C70" t="s">
        <v>45</v>
      </c>
      <c r="D70" s="8">
        <v>35</v>
      </c>
      <c r="E70" t="str">
        <f t="shared" si="9"/>
        <v>26-35</v>
      </c>
      <c r="F70" t="s">
        <v>46</v>
      </c>
      <c r="G70" t="s">
        <v>47</v>
      </c>
      <c r="H70" s="8" t="s">
        <v>48</v>
      </c>
      <c r="I70" s="10">
        <v>1</v>
      </c>
      <c r="J70" t="str">
        <f t="shared" si="5"/>
        <v>Near</v>
      </c>
      <c r="K70">
        <v>3</v>
      </c>
      <c r="L70" t="s">
        <v>53</v>
      </c>
      <c r="M70">
        <v>2</v>
      </c>
      <c r="N70">
        <v>3</v>
      </c>
      <c r="O70">
        <v>1</v>
      </c>
      <c r="P70" t="s">
        <v>49</v>
      </c>
      <c r="Q70">
        <v>1</v>
      </c>
      <c r="R70" s="11">
        <v>664</v>
      </c>
      <c r="S70" s="14">
        <v>79</v>
      </c>
      <c r="T70" s="13">
        <v>2194</v>
      </c>
      <c r="U70" s="13">
        <f t="shared" si="6"/>
        <v>26328</v>
      </c>
      <c r="V70" s="14">
        <v>5868</v>
      </c>
      <c r="W70">
        <v>4</v>
      </c>
      <c r="X70" s="8" t="s">
        <v>46</v>
      </c>
      <c r="Y70" s="15">
        <v>0.13</v>
      </c>
      <c r="Z70">
        <v>3</v>
      </c>
      <c r="AA70">
        <v>4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 t="str">
        <f t="shared" si="7"/>
        <v>0-3</v>
      </c>
      <c r="AI70">
        <v>1</v>
      </c>
      <c r="AJ70" t="str">
        <f t="shared" si="8"/>
        <v>0-2</v>
      </c>
      <c r="AK70">
        <v>2</v>
      </c>
    </row>
    <row r="71" spans="1:37" x14ac:dyDescent="0.25">
      <c r="A71" s="8">
        <v>70</v>
      </c>
      <c r="B71" t="s">
        <v>44</v>
      </c>
      <c r="C71" t="s">
        <v>45</v>
      </c>
      <c r="D71" s="8">
        <v>36</v>
      </c>
      <c r="E71" t="str">
        <f t="shared" si="9"/>
        <v>36-45</v>
      </c>
      <c r="F71" t="s">
        <v>38</v>
      </c>
      <c r="G71" t="s">
        <v>39</v>
      </c>
      <c r="H71" s="8" t="s">
        <v>48</v>
      </c>
      <c r="I71" s="10">
        <v>9</v>
      </c>
      <c r="J71" t="str">
        <f t="shared" si="5"/>
        <v>Moderate</v>
      </c>
      <c r="K71">
        <v>3</v>
      </c>
      <c r="L71" t="s">
        <v>53</v>
      </c>
      <c r="M71">
        <v>4</v>
      </c>
      <c r="N71">
        <v>2</v>
      </c>
      <c r="O71">
        <v>1</v>
      </c>
      <c r="P71" t="s">
        <v>49</v>
      </c>
      <c r="Q71">
        <v>3</v>
      </c>
      <c r="R71" s="11">
        <v>318</v>
      </c>
      <c r="S71" s="14">
        <v>79</v>
      </c>
      <c r="T71" s="13">
        <v>3388</v>
      </c>
      <c r="U71" s="13">
        <f t="shared" si="6"/>
        <v>40656</v>
      </c>
      <c r="V71" s="14">
        <v>21777</v>
      </c>
      <c r="W71">
        <v>0</v>
      </c>
      <c r="X71" s="8" t="s">
        <v>38</v>
      </c>
      <c r="Y71" s="15">
        <v>0.17</v>
      </c>
      <c r="Z71">
        <v>3</v>
      </c>
      <c r="AA71">
        <v>1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 t="str">
        <f t="shared" si="7"/>
        <v>0-3</v>
      </c>
      <c r="AI71">
        <v>0</v>
      </c>
      <c r="AJ71" t="str">
        <f t="shared" si="8"/>
        <v>0-2</v>
      </c>
      <c r="AK71">
        <v>0</v>
      </c>
    </row>
    <row r="72" spans="1:37" x14ac:dyDescent="0.25">
      <c r="A72" s="8">
        <v>71</v>
      </c>
      <c r="B72" t="s">
        <v>52</v>
      </c>
      <c r="C72" t="s">
        <v>37</v>
      </c>
      <c r="D72" s="8">
        <v>59</v>
      </c>
      <c r="E72" t="str">
        <f t="shared" si="9"/>
        <v>55+</v>
      </c>
      <c r="F72" t="s">
        <v>46</v>
      </c>
      <c r="G72" t="s">
        <v>47</v>
      </c>
      <c r="H72" s="8" t="s">
        <v>40</v>
      </c>
      <c r="I72" s="10">
        <v>1</v>
      </c>
      <c r="J72" t="str">
        <f t="shared" si="5"/>
        <v>Near</v>
      </c>
      <c r="K72">
        <v>1</v>
      </c>
      <c r="L72" t="s">
        <v>41</v>
      </c>
      <c r="M72">
        <v>1</v>
      </c>
      <c r="N72">
        <v>2</v>
      </c>
      <c r="O72">
        <v>2</v>
      </c>
      <c r="P72" t="s">
        <v>42</v>
      </c>
      <c r="Q72">
        <v>3</v>
      </c>
      <c r="R72" s="11">
        <v>1225</v>
      </c>
      <c r="S72" s="14">
        <v>57</v>
      </c>
      <c r="T72" s="13">
        <v>5473</v>
      </c>
      <c r="U72" s="13">
        <f t="shared" si="6"/>
        <v>65676</v>
      </c>
      <c r="V72" s="14">
        <v>24668</v>
      </c>
      <c r="W72">
        <v>7</v>
      </c>
      <c r="X72" s="8" t="s">
        <v>46</v>
      </c>
      <c r="Y72" s="15">
        <v>0.11</v>
      </c>
      <c r="Z72">
        <v>3</v>
      </c>
      <c r="AA72">
        <v>4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 t="str">
        <f t="shared" si="7"/>
        <v>0-3</v>
      </c>
      <c r="AI72">
        <v>1</v>
      </c>
      <c r="AJ72" t="str">
        <f t="shared" si="8"/>
        <v>0-2</v>
      </c>
      <c r="AK72">
        <v>3</v>
      </c>
    </row>
    <row r="73" spans="1:37" x14ac:dyDescent="0.25">
      <c r="A73" s="8">
        <v>72</v>
      </c>
      <c r="B73" t="s">
        <v>44</v>
      </c>
      <c r="C73" t="s">
        <v>45</v>
      </c>
      <c r="D73" s="8">
        <v>29</v>
      </c>
      <c r="E73" t="str">
        <f t="shared" si="9"/>
        <v>26-35</v>
      </c>
      <c r="F73" t="s">
        <v>46</v>
      </c>
      <c r="G73" t="s">
        <v>39</v>
      </c>
      <c r="H73" s="8" t="s">
        <v>48</v>
      </c>
      <c r="I73" s="10">
        <v>2</v>
      </c>
      <c r="J73" t="str">
        <f t="shared" si="5"/>
        <v>Near</v>
      </c>
      <c r="K73">
        <v>3</v>
      </c>
      <c r="L73" t="s">
        <v>41</v>
      </c>
      <c r="M73">
        <v>3</v>
      </c>
      <c r="N73">
        <v>3</v>
      </c>
      <c r="O73">
        <v>1</v>
      </c>
      <c r="P73" t="s">
        <v>49</v>
      </c>
      <c r="Q73">
        <v>2</v>
      </c>
      <c r="R73" s="11">
        <v>1328</v>
      </c>
      <c r="S73" s="14">
        <v>76</v>
      </c>
      <c r="T73" s="13">
        <v>2703</v>
      </c>
      <c r="U73" s="13">
        <f t="shared" si="6"/>
        <v>32436</v>
      </c>
      <c r="V73" s="14">
        <v>4956</v>
      </c>
      <c r="W73">
        <v>0</v>
      </c>
      <c r="X73" s="8" t="s">
        <v>46</v>
      </c>
      <c r="Y73" s="15">
        <v>0.23</v>
      </c>
      <c r="Z73">
        <v>4</v>
      </c>
      <c r="AA73">
        <v>4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 t="str">
        <f t="shared" si="7"/>
        <v>4-7</v>
      </c>
      <c r="AI73">
        <v>0</v>
      </c>
      <c r="AJ73" t="str">
        <f t="shared" si="8"/>
        <v>0-2</v>
      </c>
      <c r="AK73">
        <v>4</v>
      </c>
    </row>
    <row r="74" spans="1:37" x14ac:dyDescent="0.25">
      <c r="A74" s="8">
        <v>73</v>
      </c>
      <c r="B74" t="s">
        <v>44</v>
      </c>
      <c r="C74" t="s">
        <v>37</v>
      </c>
      <c r="D74" s="8">
        <v>31</v>
      </c>
      <c r="E74" t="str">
        <f t="shared" si="9"/>
        <v>26-35</v>
      </c>
      <c r="F74" t="s">
        <v>46</v>
      </c>
      <c r="G74" t="s">
        <v>39</v>
      </c>
      <c r="H74" s="8" t="s">
        <v>48</v>
      </c>
      <c r="I74" s="10">
        <v>1</v>
      </c>
      <c r="J74" t="str">
        <f t="shared" si="5"/>
        <v>Near</v>
      </c>
      <c r="K74">
        <v>4</v>
      </c>
      <c r="L74" t="s">
        <v>53</v>
      </c>
      <c r="M74">
        <v>3</v>
      </c>
      <c r="N74">
        <v>3</v>
      </c>
      <c r="O74">
        <v>1</v>
      </c>
      <c r="P74" t="s">
        <v>49</v>
      </c>
      <c r="Q74">
        <v>2</v>
      </c>
      <c r="R74" s="11">
        <v>1082</v>
      </c>
      <c r="S74" s="14">
        <v>87</v>
      </c>
      <c r="T74" s="13">
        <v>2501</v>
      </c>
      <c r="U74" s="13">
        <f t="shared" si="6"/>
        <v>30012</v>
      </c>
      <c r="V74" s="14">
        <v>18775</v>
      </c>
      <c r="W74">
        <v>1</v>
      </c>
      <c r="X74" s="8" t="s">
        <v>46</v>
      </c>
      <c r="Y74" s="15">
        <v>0.17</v>
      </c>
      <c r="Z74">
        <v>3</v>
      </c>
      <c r="AA74">
        <v>2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 t="str">
        <f t="shared" si="7"/>
        <v>0-3</v>
      </c>
      <c r="AI74">
        <v>1</v>
      </c>
      <c r="AJ74" t="str">
        <f t="shared" si="8"/>
        <v>0-2</v>
      </c>
      <c r="AK74">
        <v>0</v>
      </c>
    </row>
    <row r="75" spans="1:37" x14ac:dyDescent="0.25">
      <c r="A75" s="8">
        <v>74</v>
      </c>
      <c r="B75" t="s">
        <v>44</v>
      </c>
      <c r="C75" t="s">
        <v>45</v>
      </c>
      <c r="D75" s="8">
        <v>32</v>
      </c>
      <c r="E75" t="str">
        <f t="shared" si="9"/>
        <v>26-35</v>
      </c>
      <c r="F75" t="s">
        <v>46</v>
      </c>
      <c r="G75" t="s">
        <v>39</v>
      </c>
      <c r="H75" s="8" t="s">
        <v>48</v>
      </c>
      <c r="I75" s="10">
        <v>1</v>
      </c>
      <c r="J75" t="str">
        <f t="shared" si="5"/>
        <v>Near</v>
      </c>
      <c r="K75">
        <v>3</v>
      </c>
      <c r="L75" t="s">
        <v>41</v>
      </c>
      <c r="M75">
        <v>2</v>
      </c>
      <c r="N75">
        <v>3</v>
      </c>
      <c r="O75">
        <v>2</v>
      </c>
      <c r="P75" t="s">
        <v>49</v>
      </c>
      <c r="Q75">
        <v>2</v>
      </c>
      <c r="R75" s="11">
        <v>548</v>
      </c>
      <c r="S75" s="14">
        <v>66</v>
      </c>
      <c r="T75" s="13">
        <v>6220</v>
      </c>
      <c r="U75" s="13">
        <f t="shared" si="6"/>
        <v>74640</v>
      </c>
      <c r="V75" s="14">
        <v>7346</v>
      </c>
      <c r="W75">
        <v>1</v>
      </c>
      <c r="X75" s="8" t="s">
        <v>46</v>
      </c>
      <c r="Y75" s="15">
        <v>0.17</v>
      </c>
      <c r="Z75">
        <v>3</v>
      </c>
      <c r="AA75">
        <v>2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 t="str">
        <f t="shared" si="7"/>
        <v>4-7</v>
      </c>
      <c r="AI75">
        <v>0</v>
      </c>
      <c r="AJ75" t="str">
        <f t="shared" si="8"/>
        <v>0-2</v>
      </c>
      <c r="AK75">
        <v>9</v>
      </c>
    </row>
    <row r="76" spans="1:37" x14ac:dyDescent="0.25">
      <c r="A76" s="8">
        <v>75</v>
      </c>
      <c r="B76" t="s">
        <v>52</v>
      </c>
      <c r="C76" t="s">
        <v>45</v>
      </c>
      <c r="D76" s="8">
        <v>36</v>
      </c>
      <c r="E76" t="str">
        <f t="shared" si="9"/>
        <v>36-45</v>
      </c>
      <c r="F76" t="s">
        <v>46</v>
      </c>
      <c r="G76" t="s">
        <v>39</v>
      </c>
      <c r="H76" s="8" t="s">
        <v>48</v>
      </c>
      <c r="I76" s="10">
        <v>6</v>
      </c>
      <c r="J76" t="str">
        <f t="shared" si="5"/>
        <v>Moderate</v>
      </c>
      <c r="K76">
        <v>3</v>
      </c>
      <c r="L76" t="s">
        <v>41</v>
      </c>
      <c r="M76">
        <v>2</v>
      </c>
      <c r="N76">
        <v>4</v>
      </c>
      <c r="O76">
        <v>1</v>
      </c>
      <c r="P76" t="s">
        <v>51</v>
      </c>
      <c r="Q76">
        <v>4</v>
      </c>
      <c r="R76" s="11">
        <v>132</v>
      </c>
      <c r="S76" s="14">
        <v>55</v>
      </c>
      <c r="T76" s="13">
        <v>3038</v>
      </c>
      <c r="U76" s="13">
        <f t="shared" si="6"/>
        <v>36456</v>
      </c>
      <c r="V76" s="14">
        <v>22002</v>
      </c>
      <c r="W76">
        <v>3</v>
      </c>
      <c r="X76" s="8" t="s">
        <v>46</v>
      </c>
      <c r="Y76" s="15">
        <v>0.12</v>
      </c>
      <c r="Z76">
        <v>3</v>
      </c>
      <c r="AA76">
        <v>2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 t="str">
        <f t="shared" si="7"/>
        <v>0-3</v>
      </c>
      <c r="AI76">
        <v>0</v>
      </c>
      <c r="AJ76" t="str">
        <f t="shared" si="8"/>
        <v>0-2</v>
      </c>
      <c r="AK76">
        <v>0</v>
      </c>
    </row>
    <row r="77" spans="1:37" x14ac:dyDescent="0.25">
      <c r="A77" s="8">
        <v>76</v>
      </c>
      <c r="B77" t="s">
        <v>52</v>
      </c>
      <c r="C77" t="s">
        <v>37</v>
      </c>
      <c r="D77" s="8">
        <v>31</v>
      </c>
      <c r="E77" t="str">
        <f t="shared" si="9"/>
        <v>26-35</v>
      </c>
      <c r="F77" t="s">
        <v>46</v>
      </c>
      <c r="G77" t="s">
        <v>39</v>
      </c>
      <c r="H77" s="8" t="s">
        <v>48</v>
      </c>
      <c r="I77" s="10">
        <v>8</v>
      </c>
      <c r="J77" t="str">
        <f t="shared" si="5"/>
        <v>Moderate</v>
      </c>
      <c r="K77">
        <v>4</v>
      </c>
      <c r="L77" t="s">
        <v>41</v>
      </c>
      <c r="M77">
        <v>3</v>
      </c>
      <c r="N77">
        <v>3</v>
      </c>
      <c r="O77">
        <v>2</v>
      </c>
      <c r="P77" t="s">
        <v>55</v>
      </c>
      <c r="Q77">
        <v>4</v>
      </c>
      <c r="R77" s="11">
        <v>746</v>
      </c>
      <c r="S77" s="14">
        <v>61</v>
      </c>
      <c r="T77" s="13">
        <v>4424</v>
      </c>
      <c r="U77" s="13">
        <f t="shared" si="6"/>
        <v>53088</v>
      </c>
      <c r="V77" s="14">
        <v>20682</v>
      </c>
      <c r="W77">
        <v>1</v>
      </c>
      <c r="X77" s="8" t="s">
        <v>46</v>
      </c>
      <c r="Y77" s="15">
        <v>0.23</v>
      </c>
      <c r="Z77">
        <v>4</v>
      </c>
      <c r="AA77">
        <v>4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 t="str">
        <f t="shared" si="7"/>
        <v>4-7</v>
      </c>
      <c r="AI77">
        <v>1</v>
      </c>
      <c r="AJ77" t="str">
        <f t="shared" si="8"/>
        <v>0-2</v>
      </c>
      <c r="AK77">
        <v>8</v>
      </c>
    </row>
    <row r="78" spans="1:37" x14ac:dyDescent="0.25">
      <c r="A78" s="8">
        <v>77</v>
      </c>
      <c r="B78" t="s">
        <v>44</v>
      </c>
      <c r="C78" t="s">
        <v>37</v>
      </c>
      <c r="D78" s="8">
        <v>35</v>
      </c>
      <c r="E78" t="str">
        <f t="shared" si="9"/>
        <v>26-35</v>
      </c>
      <c r="F78" t="s">
        <v>46</v>
      </c>
      <c r="G78" t="s">
        <v>39</v>
      </c>
      <c r="H78" s="8" t="s">
        <v>40</v>
      </c>
      <c r="I78" s="10">
        <v>1</v>
      </c>
      <c r="J78" t="str">
        <f t="shared" si="5"/>
        <v>Near</v>
      </c>
      <c r="K78">
        <v>4</v>
      </c>
      <c r="L78" t="s">
        <v>62</v>
      </c>
      <c r="M78">
        <v>3</v>
      </c>
      <c r="N78">
        <v>2</v>
      </c>
      <c r="O78">
        <v>2</v>
      </c>
      <c r="P78" t="s">
        <v>42</v>
      </c>
      <c r="Q78">
        <v>1</v>
      </c>
      <c r="R78" s="11">
        <v>776</v>
      </c>
      <c r="S78" s="14">
        <v>32</v>
      </c>
      <c r="T78" s="13">
        <v>4312</v>
      </c>
      <c r="U78" s="13">
        <f t="shared" si="6"/>
        <v>51744</v>
      </c>
      <c r="V78" s="14">
        <v>23016</v>
      </c>
      <c r="W78">
        <v>0</v>
      </c>
      <c r="X78" s="8" t="s">
        <v>46</v>
      </c>
      <c r="Y78" s="15">
        <v>0.14000000000000001</v>
      </c>
      <c r="Z78">
        <v>3</v>
      </c>
      <c r="AA78">
        <v>2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 t="str">
        <f t="shared" si="7"/>
        <v>12-15</v>
      </c>
      <c r="AI78">
        <v>2</v>
      </c>
      <c r="AJ78" t="str">
        <f t="shared" si="8"/>
        <v>0-2</v>
      </c>
      <c r="AK78">
        <v>8</v>
      </c>
    </row>
    <row r="79" spans="1:37" x14ac:dyDescent="0.25">
      <c r="A79" s="8">
        <v>78</v>
      </c>
      <c r="B79" t="s">
        <v>44</v>
      </c>
      <c r="C79" t="s">
        <v>45</v>
      </c>
      <c r="D79" s="8">
        <v>45</v>
      </c>
      <c r="E79" t="str">
        <f t="shared" si="9"/>
        <v>36-45</v>
      </c>
      <c r="F79" t="s">
        <v>46</v>
      </c>
      <c r="G79" t="s">
        <v>39</v>
      </c>
      <c r="H79" s="8" t="s">
        <v>48</v>
      </c>
      <c r="I79" s="10">
        <v>6</v>
      </c>
      <c r="J79" t="str">
        <f t="shared" si="5"/>
        <v>Moderate</v>
      </c>
      <c r="K79">
        <v>4</v>
      </c>
      <c r="L79" t="s">
        <v>50</v>
      </c>
      <c r="M79">
        <v>4</v>
      </c>
      <c r="N79">
        <v>3</v>
      </c>
      <c r="O79">
        <v>3</v>
      </c>
      <c r="P79" t="s">
        <v>61</v>
      </c>
      <c r="Q79">
        <v>1</v>
      </c>
      <c r="R79" s="11">
        <v>193</v>
      </c>
      <c r="S79" s="14">
        <v>52</v>
      </c>
      <c r="T79" s="13">
        <v>13245</v>
      </c>
      <c r="U79" s="13">
        <f t="shared" si="6"/>
        <v>158940</v>
      </c>
      <c r="V79" s="14">
        <v>15067</v>
      </c>
      <c r="W79">
        <v>4</v>
      </c>
      <c r="X79" s="8" t="s">
        <v>38</v>
      </c>
      <c r="Y79" s="15">
        <v>0.14000000000000001</v>
      </c>
      <c r="Z79">
        <v>3</v>
      </c>
      <c r="AA79">
        <v>2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 t="str">
        <f t="shared" si="7"/>
        <v>0-3</v>
      </c>
      <c r="AI79">
        <v>0</v>
      </c>
      <c r="AJ79" t="str">
        <f t="shared" si="8"/>
        <v>0-2</v>
      </c>
      <c r="AK79">
        <v>0</v>
      </c>
    </row>
    <row r="80" spans="1:37" x14ac:dyDescent="0.25">
      <c r="A80" s="8">
        <v>79</v>
      </c>
      <c r="B80" t="s">
        <v>44</v>
      </c>
      <c r="C80" t="s">
        <v>37</v>
      </c>
      <c r="D80" s="8">
        <v>37</v>
      </c>
      <c r="E80" t="str">
        <f t="shared" si="9"/>
        <v>36-45</v>
      </c>
      <c r="F80" t="s">
        <v>46</v>
      </c>
      <c r="G80" t="s">
        <v>39</v>
      </c>
      <c r="H80" s="8" t="s">
        <v>48</v>
      </c>
      <c r="I80" s="10">
        <v>7</v>
      </c>
      <c r="J80" t="str">
        <f t="shared" si="5"/>
        <v>Moderate</v>
      </c>
      <c r="K80">
        <v>4</v>
      </c>
      <c r="L80" t="s">
        <v>53</v>
      </c>
      <c r="M80">
        <v>1</v>
      </c>
      <c r="N80">
        <v>3</v>
      </c>
      <c r="O80">
        <v>3</v>
      </c>
      <c r="P80" t="s">
        <v>61</v>
      </c>
      <c r="Q80">
        <v>3</v>
      </c>
      <c r="R80" s="11">
        <v>397</v>
      </c>
      <c r="S80" s="14">
        <v>30</v>
      </c>
      <c r="T80" s="13">
        <v>13664</v>
      </c>
      <c r="U80" s="13">
        <f t="shared" si="6"/>
        <v>163968</v>
      </c>
      <c r="V80" s="14">
        <v>25258</v>
      </c>
      <c r="W80">
        <v>4</v>
      </c>
      <c r="X80" s="8" t="s">
        <v>46</v>
      </c>
      <c r="Y80" s="15">
        <v>0.13</v>
      </c>
      <c r="Z80">
        <v>3</v>
      </c>
      <c r="AA80">
        <v>1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 t="str">
        <f t="shared" si="7"/>
        <v>0-3</v>
      </c>
      <c r="AI80">
        <v>0</v>
      </c>
      <c r="AJ80" t="str">
        <f t="shared" si="8"/>
        <v>0-2</v>
      </c>
      <c r="AK80">
        <v>2</v>
      </c>
    </row>
    <row r="81" spans="1:37" x14ac:dyDescent="0.25">
      <c r="A81" s="8">
        <v>80</v>
      </c>
      <c r="B81" t="s">
        <v>44</v>
      </c>
      <c r="C81" t="s">
        <v>54</v>
      </c>
      <c r="D81" s="8">
        <v>46</v>
      </c>
      <c r="E81" t="str">
        <f t="shared" si="9"/>
        <v>46-55</v>
      </c>
      <c r="F81" t="s">
        <v>46</v>
      </c>
      <c r="G81" t="s">
        <v>39</v>
      </c>
      <c r="H81" s="8" t="s">
        <v>64</v>
      </c>
      <c r="I81" s="10">
        <v>5</v>
      </c>
      <c r="J81" t="str">
        <f t="shared" si="5"/>
        <v>Near</v>
      </c>
      <c r="K81">
        <v>2</v>
      </c>
      <c r="L81" t="s">
        <v>53</v>
      </c>
      <c r="M81">
        <v>2</v>
      </c>
      <c r="N81">
        <v>3</v>
      </c>
      <c r="O81">
        <v>2</v>
      </c>
      <c r="P81" t="s">
        <v>64</v>
      </c>
      <c r="Q81">
        <v>2</v>
      </c>
      <c r="R81" s="11">
        <v>945</v>
      </c>
      <c r="S81" s="14">
        <v>80</v>
      </c>
      <c r="T81" s="13">
        <v>5021</v>
      </c>
      <c r="U81" s="13">
        <f t="shared" si="6"/>
        <v>60252</v>
      </c>
      <c r="V81" s="14">
        <v>10425</v>
      </c>
      <c r="W81">
        <v>8</v>
      </c>
      <c r="X81" s="8" t="s">
        <v>38</v>
      </c>
      <c r="Y81" s="15">
        <v>0.22</v>
      </c>
      <c r="Z81">
        <v>4</v>
      </c>
      <c r="AA81">
        <v>4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 t="str">
        <f t="shared" si="7"/>
        <v>0-3</v>
      </c>
      <c r="AI81">
        <v>0</v>
      </c>
      <c r="AJ81" t="str">
        <f t="shared" si="8"/>
        <v>0-2</v>
      </c>
      <c r="AK81">
        <v>2</v>
      </c>
    </row>
    <row r="82" spans="1:37" x14ac:dyDescent="0.25">
      <c r="A82" s="8">
        <v>81</v>
      </c>
      <c r="B82" t="s">
        <v>44</v>
      </c>
      <c r="C82" t="s">
        <v>45</v>
      </c>
      <c r="D82" s="8">
        <v>30</v>
      </c>
      <c r="E82" t="str">
        <f t="shared" si="9"/>
        <v>26-35</v>
      </c>
      <c r="F82" t="s">
        <v>46</v>
      </c>
      <c r="G82" t="s">
        <v>39</v>
      </c>
      <c r="H82" s="8" t="s">
        <v>48</v>
      </c>
      <c r="I82" s="10">
        <v>1</v>
      </c>
      <c r="J82" t="str">
        <f t="shared" si="5"/>
        <v>Near</v>
      </c>
      <c r="K82">
        <v>1</v>
      </c>
      <c r="L82" t="s">
        <v>41</v>
      </c>
      <c r="M82">
        <v>4</v>
      </c>
      <c r="N82">
        <v>2</v>
      </c>
      <c r="O82">
        <v>2</v>
      </c>
      <c r="P82" t="s">
        <v>51</v>
      </c>
      <c r="Q82">
        <v>4</v>
      </c>
      <c r="R82" s="11">
        <v>852</v>
      </c>
      <c r="S82" s="14">
        <v>55</v>
      </c>
      <c r="T82" s="13">
        <v>5126</v>
      </c>
      <c r="U82" s="13">
        <f t="shared" si="6"/>
        <v>61512</v>
      </c>
      <c r="V82" s="14">
        <v>15998</v>
      </c>
      <c r="W82">
        <v>1</v>
      </c>
      <c r="X82" s="8" t="s">
        <v>38</v>
      </c>
      <c r="Y82" s="15">
        <v>0.12</v>
      </c>
      <c r="Z82">
        <v>3</v>
      </c>
      <c r="AA82">
        <v>3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 t="str">
        <f t="shared" si="7"/>
        <v>8-11</v>
      </c>
      <c r="AI82">
        <v>3</v>
      </c>
      <c r="AJ82" t="str">
        <f t="shared" si="8"/>
        <v>3-5</v>
      </c>
      <c r="AK82">
        <v>0</v>
      </c>
    </row>
    <row r="83" spans="1:37" x14ac:dyDescent="0.25">
      <c r="A83" s="8">
        <v>82</v>
      </c>
      <c r="B83" t="s">
        <v>44</v>
      </c>
      <c r="C83" t="s">
        <v>37</v>
      </c>
      <c r="D83" s="8">
        <v>35</v>
      </c>
      <c r="E83" t="str">
        <f t="shared" si="9"/>
        <v>26-35</v>
      </c>
      <c r="F83" t="s">
        <v>46</v>
      </c>
      <c r="G83" t="s">
        <v>39</v>
      </c>
      <c r="H83" s="8" t="s">
        <v>48</v>
      </c>
      <c r="I83" s="10">
        <v>1</v>
      </c>
      <c r="J83" t="str">
        <f t="shared" si="5"/>
        <v>Near</v>
      </c>
      <c r="K83">
        <v>3</v>
      </c>
      <c r="L83" t="s">
        <v>53</v>
      </c>
      <c r="M83">
        <v>2</v>
      </c>
      <c r="N83">
        <v>2</v>
      </c>
      <c r="O83">
        <v>1</v>
      </c>
      <c r="P83" t="s">
        <v>49</v>
      </c>
      <c r="Q83">
        <v>3</v>
      </c>
      <c r="R83" s="11">
        <v>1214</v>
      </c>
      <c r="S83" s="14">
        <v>30</v>
      </c>
      <c r="T83" s="13">
        <v>2859</v>
      </c>
      <c r="U83" s="13">
        <f t="shared" si="6"/>
        <v>34308</v>
      </c>
      <c r="V83" s="14">
        <v>26278</v>
      </c>
      <c r="W83">
        <v>1</v>
      </c>
      <c r="X83" s="8" t="s">
        <v>46</v>
      </c>
      <c r="Y83" s="15">
        <v>0.18</v>
      </c>
      <c r="Z83">
        <v>3</v>
      </c>
      <c r="AA83">
        <v>1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 t="str">
        <f t="shared" si="7"/>
        <v>4-7</v>
      </c>
      <c r="AI83">
        <v>0</v>
      </c>
      <c r="AJ83" t="str">
        <f t="shared" si="8"/>
        <v>0-2</v>
      </c>
      <c r="AK83">
        <v>4</v>
      </c>
    </row>
    <row r="84" spans="1:37" x14ac:dyDescent="0.25">
      <c r="A84" s="8">
        <v>83</v>
      </c>
      <c r="B84" t="s">
        <v>44</v>
      </c>
      <c r="C84" t="s">
        <v>45</v>
      </c>
      <c r="D84" s="8">
        <v>55</v>
      </c>
      <c r="E84" t="str">
        <f t="shared" si="9"/>
        <v>46-55</v>
      </c>
      <c r="F84" t="s">
        <v>46</v>
      </c>
      <c r="G84" t="s">
        <v>39</v>
      </c>
      <c r="H84" s="8" t="s">
        <v>40</v>
      </c>
      <c r="I84" s="10">
        <v>1</v>
      </c>
      <c r="J84" t="str">
        <f t="shared" si="5"/>
        <v>Near</v>
      </c>
      <c r="K84">
        <v>2</v>
      </c>
      <c r="L84" t="s">
        <v>41</v>
      </c>
      <c r="M84">
        <v>1</v>
      </c>
      <c r="N84">
        <v>3</v>
      </c>
      <c r="O84">
        <v>3</v>
      </c>
      <c r="P84" t="s">
        <v>42</v>
      </c>
      <c r="Q84">
        <v>4</v>
      </c>
      <c r="R84" s="11">
        <v>111</v>
      </c>
      <c r="S84" s="14">
        <v>70</v>
      </c>
      <c r="T84" s="13">
        <v>10239</v>
      </c>
      <c r="U84" s="13">
        <f t="shared" si="6"/>
        <v>122868</v>
      </c>
      <c r="V84" s="14">
        <v>18092</v>
      </c>
      <c r="W84">
        <v>3</v>
      </c>
      <c r="X84" s="8" t="s">
        <v>46</v>
      </c>
      <c r="Y84" s="15">
        <v>0.14000000000000001</v>
      </c>
      <c r="Z84">
        <v>3</v>
      </c>
      <c r="AA84">
        <v>4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 t="str">
        <f t="shared" si="7"/>
        <v>0-3</v>
      </c>
      <c r="AI84">
        <v>1</v>
      </c>
      <c r="AJ84" t="str">
        <f t="shared" si="8"/>
        <v>0-2</v>
      </c>
      <c r="AK84">
        <v>0</v>
      </c>
    </row>
    <row r="85" spans="1:37" x14ac:dyDescent="0.25">
      <c r="A85" s="8">
        <v>84</v>
      </c>
      <c r="B85" t="s">
        <v>52</v>
      </c>
      <c r="C85" t="s">
        <v>54</v>
      </c>
      <c r="D85" s="8">
        <v>38</v>
      </c>
      <c r="E85" t="str">
        <f t="shared" si="9"/>
        <v>36-45</v>
      </c>
      <c r="F85" t="s">
        <v>46</v>
      </c>
      <c r="G85" t="s">
        <v>58</v>
      </c>
      <c r="H85" s="8" t="s">
        <v>48</v>
      </c>
      <c r="I85" s="10">
        <v>6</v>
      </c>
      <c r="J85" t="str">
        <f t="shared" si="5"/>
        <v>Moderate</v>
      </c>
      <c r="K85">
        <v>3</v>
      </c>
      <c r="L85" t="s">
        <v>53</v>
      </c>
      <c r="M85">
        <v>2</v>
      </c>
      <c r="N85">
        <v>1</v>
      </c>
      <c r="O85">
        <v>2</v>
      </c>
      <c r="P85" t="s">
        <v>49</v>
      </c>
      <c r="Q85">
        <v>4</v>
      </c>
      <c r="R85" s="11">
        <v>573</v>
      </c>
      <c r="S85" s="14">
        <v>79</v>
      </c>
      <c r="T85" s="13">
        <v>5329</v>
      </c>
      <c r="U85" s="13">
        <f t="shared" si="6"/>
        <v>63948</v>
      </c>
      <c r="V85" s="14">
        <v>15717</v>
      </c>
      <c r="W85">
        <v>7</v>
      </c>
      <c r="X85" s="8" t="s">
        <v>38</v>
      </c>
      <c r="Y85" s="15">
        <v>0.12</v>
      </c>
      <c r="Z85">
        <v>3</v>
      </c>
      <c r="AA85">
        <v>4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 t="str">
        <f t="shared" si="7"/>
        <v>8-11</v>
      </c>
      <c r="AI85">
        <v>1</v>
      </c>
      <c r="AJ85" t="str">
        <f t="shared" si="8"/>
        <v>0-2</v>
      </c>
      <c r="AK85">
        <v>9</v>
      </c>
    </row>
    <row r="86" spans="1:37" x14ac:dyDescent="0.25">
      <c r="A86" s="8">
        <v>85</v>
      </c>
      <c r="B86" t="s">
        <v>44</v>
      </c>
      <c r="C86" t="s">
        <v>45</v>
      </c>
      <c r="D86" s="8">
        <v>34</v>
      </c>
      <c r="E86" t="str">
        <f t="shared" si="9"/>
        <v>26-35</v>
      </c>
      <c r="F86" t="s">
        <v>46</v>
      </c>
      <c r="G86" t="s">
        <v>39</v>
      </c>
      <c r="H86" s="8" t="s">
        <v>48</v>
      </c>
      <c r="I86" s="10">
        <v>1</v>
      </c>
      <c r="J86" t="str">
        <f t="shared" si="5"/>
        <v>Near</v>
      </c>
      <c r="K86">
        <v>2</v>
      </c>
      <c r="L86" t="s">
        <v>53</v>
      </c>
      <c r="M86">
        <v>1</v>
      </c>
      <c r="N86">
        <v>3</v>
      </c>
      <c r="O86">
        <v>2</v>
      </c>
      <c r="P86" t="s">
        <v>55</v>
      </c>
      <c r="Q86">
        <v>2</v>
      </c>
      <c r="R86" s="11">
        <v>1153</v>
      </c>
      <c r="S86" s="14">
        <v>94</v>
      </c>
      <c r="T86" s="13">
        <v>4325</v>
      </c>
      <c r="U86" s="13">
        <f t="shared" si="6"/>
        <v>51900</v>
      </c>
      <c r="V86" s="14">
        <v>17736</v>
      </c>
      <c r="W86">
        <v>1</v>
      </c>
      <c r="X86" s="8" t="s">
        <v>46</v>
      </c>
      <c r="Y86" s="15">
        <v>0.15</v>
      </c>
      <c r="Z86">
        <v>3</v>
      </c>
      <c r="AA86">
        <v>3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 t="str">
        <f t="shared" si="7"/>
        <v>0-3</v>
      </c>
      <c r="AI86">
        <v>1</v>
      </c>
      <c r="AJ86" t="str">
        <f t="shared" si="8"/>
        <v>0-2</v>
      </c>
      <c r="AK86">
        <v>3</v>
      </c>
    </row>
    <row r="87" spans="1:37" x14ac:dyDescent="0.25">
      <c r="A87" s="8">
        <v>86</v>
      </c>
      <c r="B87" t="s">
        <v>44</v>
      </c>
      <c r="C87" t="s">
        <v>37</v>
      </c>
      <c r="D87" s="8">
        <v>56</v>
      </c>
      <c r="E87" t="str">
        <f t="shared" si="9"/>
        <v>55+</v>
      </c>
      <c r="F87" t="s">
        <v>46</v>
      </c>
      <c r="G87" t="s">
        <v>39</v>
      </c>
      <c r="H87" s="8" t="s">
        <v>48</v>
      </c>
      <c r="I87" s="10">
        <v>7</v>
      </c>
      <c r="J87" t="str">
        <f t="shared" si="5"/>
        <v>Moderate</v>
      </c>
      <c r="K87">
        <v>3</v>
      </c>
      <c r="L87" t="s">
        <v>41</v>
      </c>
      <c r="M87">
        <v>4</v>
      </c>
      <c r="N87">
        <v>1</v>
      </c>
      <c r="O87">
        <v>3</v>
      </c>
      <c r="P87" t="s">
        <v>55</v>
      </c>
      <c r="Q87">
        <v>4</v>
      </c>
      <c r="R87" s="11">
        <v>1400</v>
      </c>
      <c r="S87" s="14">
        <v>49</v>
      </c>
      <c r="T87" s="13">
        <v>7260</v>
      </c>
      <c r="U87" s="13">
        <f t="shared" si="6"/>
        <v>87120</v>
      </c>
      <c r="V87" s="14">
        <v>21698</v>
      </c>
      <c r="W87">
        <v>4</v>
      </c>
      <c r="X87" s="8" t="s">
        <v>46</v>
      </c>
      <c r="Y87" s="15">
        <v>0.11</v>
      </c>
      <c r="Z87">
        <v>3</v>
      </c>
      <c r="AA87">
        <v>1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 t="str">
        <f t="shared" si="7"/>
        <v>4-7</v>
      </c>
      <c r="AI87">
        <v>0</v>
      </c>
      <c r="AJ87" t="str">
        <f t="shared" si="8"/>
        <v>0-2</v>
      </c>
      <c r="AK87">
        <v>2</v>
      </c>
    </row>
    <row r="88" spans="1:37" x14ac:dyDescent="0.25">
      <c r="A88" s="8">
        <v>87</v>
      </c>
      <c r="B88" t="s">
        <v>44</v>
      </c>
      <c r="C88" t="s">
        <v>54</v>
      </c>
      <c r="D88" s="8">
        <v>23</v>
      </c>
      <c r="E88" t="str">
        <f t="shared" si="9"/>
        <v>18-25</v>
      </c>
      <c r="F88" t="s">
        <v>46</v>
      </c>
      <c r="G88" t="s">
        <v>39</v>
      </c>
      <c r="H88" s="8" t="s">
        <v>40</v>
      </c>
      <c r="I88" s="10">
        <v>2</v>
      </c>
      <c r="J88" t="str">
        <f t="shared" si="5"/>
        <v>Near</v>
      </c>
      <c r="K88">
        <v>1</v>
      </c>
      <c r="L88" t="s">
        <v>63</v>
      </c>
      <c r="M88">
        <v>3</v>
      </c>
      <c r="N88">
        <v>3</v>
      </c>
      <c r="O88">
        <v>1</v>
      </c>
      <c r="P88" t="s">
        <v>60</v>
      </c>
      <c r="Q88">
        <v>1</v>
      </c>
      <c r="R88" s="11">
        <v>541</v>
      </c>
      <c r="S88" s="14">
        <v>62</v>
      </c>
      <c r="T88" s="13">
        <v>2322</v>
      </c>
      <c r="U88" s="13">
        <f t="shared" si="6"/>
        <v>27864</v>
      </c>
      <c r="V88" s="14">
        <v>9518</v>
      </c>
      <c r="W88">
        <v>3</v>
      </c>
      <c r="X88" s="8" t="s">
        <v>46</v>
      </c>
      <c r="Y88" s="15">
        <v>0.13</v>
      </c>
      <c r="Z88">
        <v>3</v>
      </c>
      <c r="AA88">
        <v>3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 t="str">
        <f t="shared" si="7"/>
        <v>0-3</v>
      </c>
      <c r="AI88">
        <v>0</v>
      </c>
      <c r="AJ88" t="str">
        <f t="shared" si="8"/>
        <v>0-2</v>
      </c>
      <c r="AK88">
        <v>0</v>
      </c>
    </row>
    <row r="89" spans="1:37" x14ac:dyDescent="0.25">
      <c r="A89" s="8">
        <v>88</v>
      </c>
      <c r="B89" t="s">
        <v>44</v>
      </c>
      <c r="C89" t="s">
        <v>45</v>
      </c>
      <c r="D89" s="8">
        <v>51</v>
      </c>
      <c r="E89" t="str">
        <f t="shared" si="9"/>
        <v>46-55</v>
      </c>
      <c r="F89" t="s">
        <v>46</v>
      </c>
      <c r="G89" t="s">
        <v>39</v>
      </c>
      <c r="H89" s="8" t="s">
        <v>48</v>
      </c>
      <c r="I89" s="10">
        <v>9</v>
      </c>
      <c r="J89" t="str">
        <f t="shared" si="5"/>
        <v>Moderate</v>
      </c>
      <c r="K89">
        <v>4</v>
      </c>
      <c r="L89" t="s">
        <v>41</v>
      </c>
      <c r="M89">
        <v>4</v>
      </c>
      <c r="N89">
        <v>3</v>
      </c>
      <c r="O89">
        <v>1</v>
      </c>
      <c r="P89" t="s">
        <v>51</v>
      </c>
      <c r="Q89">
        <v>4</v>
      </c>
      <c r="R89" s="11">
        <v>432</v>
      </c>
      <c r="S89" s="14">
        <v>96</v>
      </c>
      <c r="T89" s="13">
        <v>2075</v>
      </c>
      <c r="U89" s="13">
        <f t="shared" si="6"/>
        <v>24900</v>
      </c>
      <c r="V89" s="14">
        <v>18725</v>
      </c>
      <c r="W89">
        <v>3</v>
      </c>
      <c r="X89" s="8" t="s">
        <v>46</v>
      </c>
      <c r="Y89" s="15">
        <v>0.23</v>
      </c>
      <c r="Z89">
        <v>4</v>
      </c>
      <c r="AA89">
        <v>2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 t="str">
        <f t="shared" si="7"/>
        <v>0-3</v>
      </c>
      <c r="AI89">
        <v>0</v>
      </c>
      <c r="AJ89" t="str">
        <f t="shared" si="8"/>
        <v>0-2</v>
      </c>
      <c r="AK89">
        <v>3</v>
      </c>
    </row>
    <row r="90" spans="1:37" x14ac:dyDescent="0.25">
      <c r="A90" s="8">
        <v>89</v>
      </c>
      <c r="B90" t="s">
        <v>44</v>
      </c>
      <c r="C90" t="s">
        <v>45</v>
      </c>
      <c r="D90" s="8">
        <v>30</v>
      </c>
      <c r="E90" t="str">
        <f t="shared" si="9"/>
        <v>26-35</v>
      </c>
      <c r="F90" t="s">
        <v>46</v>
      </c>
      <c r="G90" t="s">
        <v>39</v>
      </c>
      <c r="H90" s="8" t="s">
        <v>48</v>
      </c>
      <c r="I90" s="10">
        <v>2</v>
      </c>
      <c r="J90" t="str">
        <f t="shared" si="5"/>
        <v>Near</v>
      </c>
      <c r="K90">
        <v>3</v>
      </c>
      <c r="L90" t="s">
        <v>41</v>
      </c>
      <c r="M90">
        <v>3</v>
      </c>
      <c r="N90">
        <v>2</v>
      </c>
      <c r="O90">
        <v>2</v>
      </c>
      <c r="P90" t="s">
        <v>56</v>
      </c>
      <c r="Q90">
        <v>4</v>
      </c>
      <c r="R90" s="11">
        <v>288</v>
      </c>
      <c r="S90" s="14">
        <v>99</v>
      </c>
      <c r="T90" s="13">
        <v>4152</v>
      </c>
      <c r="U90" s="13">
        <f t="shared" si="6"/>
        <v>49824</v>
      </c>
      <c r="V90" s="14">
        <v>15830</v>
      </c>
      <c r="W90">
        <v>1</v>
      </c>
      <c r="X90" s="8" t="s">
        <v>46</v>
      </c>
      <c r="Y90" s="15">
        <v>0.19</v>
      </c>
      <c r="Z90">
        <v>3</v>
      </c>
      <c r="AA90">
        <v>1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 t="str">
        <f t="shared" si="7"/>
        <v>8-11</v>
      </c>
      <c r="AI90">
        <v>10</v>
      </c>
      <c r="AJ90" t="str">
        <f t="shared" si="8"/>
        <v>9-11</v>
      </c>
      <c r="AK90">
        <v>8</v>
      </c>
    </row>
    <row r="91" spans="1:37" x14ac:dyDescent="0.25">
      <c r="A91" s="8">
        <v>90</v>
      </c>
      <c r="B91" t="s">
        <v>44</v>
      </c>
      <c r="C91" t="s">
        <v>37</v>
      </c>
      <c r="D91" s="8">
        <v>46</v>
      </c>
      <c r="E91" t="str">
        <f t="shared" si="9"/>
        <v>46-55</v>
      </c>
      <c r="F91" t="s">
        <v>38</v>
      </c>
      <c r="G91" t="s">
        <v>39</v>
      </c>
      <c r="H91" s="8" t="s">
        <v>40</v>
      </c>
      <c r="I91" s="10">
        <v>9</v>
      </c>
      <c r="J91" t="str">
        <f t="shared" si="5"/>
        <v>Moderate</v>
      </c>
      <c r="K91">
        <v>2</v>
      </c>
      <c r="L91" t="s">
        <v>53</v>
      </c>
      <c r="M91">
        <v>3</v>
      </c>
      <c r="N91">
        <v>2</v>
      </c>
      <c r="O91">
        <v>3</v>
      </c>
      <c r="P91" t="s">
        <v>42</v>
      </c>
      <c r="Q91">
        <v>4</v>
      </c>
      <c r="R91" s="11">
        <v>669</v>
      </c>
      <c r="S91" s="14">
        <v>64</v>
      </c>
      <c r="T91" s="13">
        <v>9619</v>
      </c>
      <c r="U91" s="13">
        <f t="shared" si="6"/>
        <v>115428</v>
      </c>
      <c r="V91" s="14">
        <v>13596</v>
      </c>
      <c r="W91">
        <v>1</v>
      </c>
      <c r="X91" s="8" t="s">
        <v>46</v>
      </c>
      <c r="Y91" s="15">
        <v>0.16</v>
      </c>
      <c r="Z91">
        <v>3</v>
      </c>
      <c r="AA91">
        <v>4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 t="str">
        <f t="shared" si="7"/>
        <v>8-11</v>
      </c>
      <c r="AI91">
        <v>4</v>
      </c>
      <c r="AJ91" t="str">
        <f t="shared" si="8"/>
        <v>3-5</v>
      </c>
      <c r="AK91">
        <v>7</v>
      </c>
    </row>
    <row r="92" spans="1:37" x14ac:dyDescent="0.25">
      <c r="A92" s="8">
        <v>91</v>
      </c>
      <c r="B92" t="s">
        <v>44</v>
      </c>
      <c r="C92" t="s">
        <v>45</v>
      </c>
      <c r="D92" s="8">
        <v>40</v>
      </c>
      <c r="E92" t="str">
        <f t="shared" si="9"/>
        <v>36-45</v>
      </c>
      <c r="F92" t="s">
        <v>46</v>
      </c>
      <c r="G92" t="s">
        <v>47</v>
      </c>
      <c r="H92" s="8" t="s">
        <v>48</v>
      </c>
      <c r="I92" s="10">
        <v>1</v>
      </c>
      <c r="J92" t="str">
        <f t="shared" si="5"/>
        <v>Near</v>
      </c>
      <c r="K92">
        <v>4</v>
      </c>
      <c r="L92" t="s">
        <v>41</v>
      </c>
      <c r="M92">
        <v>3</v>
      </c>
      <c r="N92">
        <v>2</v>
      </c>
      <c r="O92">
        <v>4</v>
      </c>
      <c r="P92" t="s">
        <v>56</v>
      </c>
      <c r="Q92">
        <v>2</v>
      </c>
      <c r="R92" s="11">
        <v>530</v>
      </c>
      <c r="S92" s="14">
        <v>78</v>
      </c>
      <c r="T92" s="13">
        <v>13503</v>
      </c>
      <c r="U92" s="13">
        <f t="shared" si="6"/>
        <v>162036</v>
      </c>
      <c r="V92" s="14">
        <v>14115</v>
      </c>
      <c r="W92">
        <v>1</v>
      </c>
      <c r="X92" s="8" t="s">
        <v>46</v>
      </c>
      <c r="Y92" s="15">
        <v>0.22</v>
      </c>
      <c r="Z92">
        <v>4</v>
      </c>
      <c r="AA92">
        <v>4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 t="str">
        <f t="shared" si="7"/>
        <v>0-3</v>
      </c>
      <c r="AI92">
        <v>11</v>
      </c>
      <c r="AJ92" t="str">
        <f t="shared" si="8"/>
        <v>9-11</v>
      </c>
      <c r="AK92">
        <v>11</v>
      </c>
    </row>
    <row r="93" spans="1:37" x14ac:dyDescent="0.25">
      <c r="A93" s="8">
        <v>92</v>
      </c>
      <c r="B93" t="s">
        <v>44</v>
      </c>
      <c r="C93" t="s">
        <v>37</v>
      </c>
      <c r="D93" s="8">
        <v>51</v>
      </c>
      <c r="E93" t="str">
        <f t="shared" si="9"/>
        <v>46-55</v>
      </c>
      <c r="F93" t="s">
        <v>46</v>
      </c>
      <c r="G93" t="s">
        <v>39</v>
      </c>
      <c r="H93" s="8" t="s">
        <v>40</v>
      </c>
      <c r="I93" s="10">
        <v>21</v>
      </c>
      <c r="J93" t="str">
        <f t="shared" si="5"/>
        <v>Far</v>
      </c>
      <c r="K93">
        <v>4</v>
      </c>
      <c r="L93" t="s">
        <v>62</v>
      </c>
      <c r="M93">
        <v>3</v>
      </c>
      <c r="N93">
        <v>3</v>
      </c>
      <c r="O93">
        <v>2</v>
      </c>
      <c r="P93" t="s">
        <v>42</v>
      </c>
      <c r="Q93">
        <v>4</v>
      </c>
      <c r="R93" s="11">
        <v>632</v>
      </c>
      <c r="S93" s="14">
        <v>71</v>
      </c>
      <c r="T93" s="13">
        <v>5441</v>
      </c>
      <c r="U93" s="13">
        <f t="shared" si="6"/>
        <v>65292</v>
      </c>
      <c r="V93" s="14">
        <v>8423</v>
      </c>
      <c r="W93">
        <v>0</v>
      </c>
      <c r="X93" s="8" t="s">
        <v>38</v>
      </c>
      <c r="Y93" s="15">
        <v>0.22</v>
      </c>
      <c r="Z93">
        <v>4</v>
      </c>
      <c r="AA93">
        <v>4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 t="str">
        <f t="shared" si="7"/>
        <v>4-7</v>
      </c>
      <c r="AI93">
        <v>1</v>
      </c>
      <c r="AJ93" t="str">
        <f t="shared" si="8"/>
        <v>0-2</v>
      </c>
      <c r="AK93">
        <v>0</v>
      </c>
    </row>
    <row r="94" spans="1:37" x14ac:dyDescent="0.25">
      <c r="A94" s="8">
        <v>93</v>
      </c>
      <c r="B94" t="s">
        <v>52</v>
      </c>
      <c r="C94" t="s">
        <v>54</v>
      </c>
      <c r="D94" s="8">
        <v>30</v>
      </c>
      <c r="E94" t="str">
        <f t="shared" si="9"/>
        <v>26-35</v>
      </c>
      <c r="F94" t="s">
        <v>46</v>
      </c>
      <c r="G94" t="s">
        <v>39</v>
      </c>
      <c r="H94" s="8" t="s">
        <v>40</v>
      </c>
      <c r="I94" s="10">
        <v>4</v>
      </c>
      <c r="J94" t="str">
        <f t="shared" si="5"/>
        <v>Near</v>
      </c>
      <c r="K94">
        <v>2</v>
      </c>
      <c r="L94" t="s">
        <v>53</v>
      </c>
      <c r="M94">
        <v>3</v>
      </c>
      <c r="N94">
        <v>2</v>
      </c>
      <c r="O94">
        <v>2</v>
      </c>
      <c r="P94" t="s">
        <v>42</v>
      </c>
      <c r="Q94">
        <v>2</v>
      </c>
      <c r="R94" s="11">
        <v>1334</v>
      </c>
      <c r="S94" s="14">
        <v>63</v>
      </c>
      <c r="T94" s="13">
        <v>5209</v>
      </c>
      <c r="U94" s="13">
        <f t="shared" si="6"/>
        <v>62508</v>
      </c>
      <c r="V94" s="14">
        <v>19760</v>
      </c>
      <c r="W94">
        <v>1</v>
      </c>
      <c r="X94" s="8" t="s">
        <v>38</v>
      </c>
      <c r="Y94" s="15">
        <v>0.12</v>
      </c>
      <c r="Z94">
        <v>3</v>
      </c>
      <c r="AA94">
        <v>2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 t="str">
        <f t="shared" si="7"/>
        <v>8-11</v>
      </c>
      <c r="AI94">
        <v>2</v>
      </c>
      <c r="AJ94" t="str">
        <f t="shared" si="8"/>
        <v>0-2</v>
      </c>
      <c r="AK94">
        <v>7</v>
      </c>
    </row>
    <row r="95" spans="1:37" x14ac:dyDescent="0.25">
      <c r="A95" s="8">
        <v>94</v>
      </c>
      <c r="B95" t="s">
        <v>44</v>
      </c>
      <c r="C95" t="s">
        <v>45</v>
      </c>
      <c r="D95" s="8">
        <v>46</v>
      </c>
      <c r="E95" t="str">
        <f t="shared" si="9"/>
        <v>46-55</v>
      </c>
      <c r="F95" t="s">
        <v>46</v>
      </c>
      <c r="G95" t="s">
        <v>47</v>
      </c>
      <c r="H95" s="8" t="s">
        <v>48</v>
      </c>
      <c r="I95" s="10">
        <v>1</v>
      </c>
      <c r="J95" t="str">
        <f t="shared" si="5"/>
        <v>Near</v>
      </c>
      <c r="K95">
        <v>3</v>
      </c>
      <c r="L95" t="s">
        <v>53</v>
      </c>
      <c r="M95">
        <v>3</v>
      </c>
      <c r="N95">
        <v>2</v>
      </c>
      <c r="O95">
        <v>3</v>
      </c>
      <c r="P95" t="s">
        <v>56</v>
      </c>
      <c r="Q95">
        <v>1</v>
      </c>
      <c r="R95" s="11">
        <v>638</v>
      </c>
      <c r="S95" s="14">
        <v>40</v>
      </c>
      <c r="T95" s="13">
        <v>10673</v>
      </c>
      <c r="U95" s="13">
        <f t="shared" si="6"/>
        <v>128076</v>
      </c>
      <c r="V95" s="14">
        <v>3142</v>
      </c>
      <c r="W95">
        <v>2</v>
      </c>
      <c r="X95" s="8" t="s">
        <v>38</v>
      </c>
      <c r="Y95" s="15">
        <v>0.13</v>
      </c>
      <c r="Z95">
        <v>3</v>
      </c>
      <c r="AA95">
        <v>3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 t="str">
        <f t="shared" si="7"/>
        <v>8-11</v>
      </c>
      <c r="AI95">
        <v>9</v>
      </c>
      <c r="AJ95" t="str">
        <f t="shared" si="8"/>
        <v>9-11</v>
      </c>
      <c r="AK95">
        <v>5</v>
      </c>
    </row>
    <row r="96" spans="1:37" x14ac:dyDescent="0.25">
      <c r="A96" s="8">
        <v>95</v>
      </c>
      <c r="B96" t="s">
        <v>44</v>
      </c>
      <c r="C96" t="s">
        <v>37</v>
      </c>
      <c r="D96" s="8">
        <v>32</v>
      </c>
      <c r="E96" t="str">
        <f t="shared" si="9"/>
        <v>26-35</v>
      </c>
      <c r="F96" t="s">
        <v>46</v>
      </c>
      <c r="G96" t="s">
        <v>39</v>
      </c>
      <c r="H96" s="8" t="s">
        <v>40</v>
      </c>
      <c r="I96" s="10">
        <v>6</v>
      </c>
      <c r="J96" t="str">
        <f t="shared" si="5"/>
        <v>Moderate</v>
      </c>
      <c r="K96">
        <v>4</v>
      </c>
      <c r="L96" t="s">
        <v>53</v>
      </c>
      <c r="M96">
        <v>2</v>
      </c>
      <c r="N96">
        <v>3</v>
      </c>
      <c r="O96">
        <v>2</v>
      </c>
      <c r="P96" t="s">
        <v>42</v>
      </c>
      <c r="Q96">
        <v>3</v>
      </c>
      <c r="R96" s="11">
        <v>1093</v>
      </c>
      <c r="S96" s="14">
        <v>87</v>
      </c>
      <c r="T96" s="13">
        <v>5010</v>
      </c>
      <c r="U96" s="13">
        <f t="shared" si="6"/>
        <v>60120</v>
      </c>
      <c r="V96" s="14">
        <v>24301</v>
      </c>
      <c r="W96">
        <v>1</v>
      </c>
      <c r="X96" s="8" t="s">
        <v>46</v>
      </c>
      <c r="Y96" s="15">
        <v>0.16</v>
      </c>
      <c r="Z96">
        <v>3</v>
      </c>
      <c r="AA96">
        <v>1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 t="str">
        <f t="shared" si="7"/>
        <v>8-11</v>
      </c>
      <c r="AI96">
        <v>5</v>
      </c>
      <c r="AJ96" t="str">
        <f t="shared" si="8"/>
        <v>3-5</v>
      </c>
      <c r="AK96">
        <v>7</v>
      </c>
    </row>
    <row r="97" spans="1:37" x14ac:dyDescent="0.25">
      <c r="A97" s="8">
        <v>96</v>
      </c>
      <c r="B97" t="s">
        <v>52</v>
      </c>
      <c r="C97" t="s">
        <v>45</v>
      </c>
      <c r="D97" s="8">
        <v>54</v>
      </c>
      <c r="E97" t="str">
        <f t="shared" si="9"/>
        <v>46-55</v>
      </c>
      <c r="F97" t="s">
        <v>46</v>
      </c>
      <c r="G97" t="s">
        <v>39</v>
      </c>
      <c r="H97" s="8" t="s">
        <v>48</v>
      </c>
      <c r="I97" s="10">
        <v>2</v>
      </c>
      <c r="J97" t="str">
        <f t="shared" si="5"/>
        <v>Near</v>
      </c>
      <c r="K97">
        <v>4</v>
      </c>
      <c r="L97" t="s">
        <v>63</v>
      </c>
      <c r="M97">
        <v>1</v>
      </c>
      <c r="N97">
        <v>3</v>
      </c>
      <c r="O97">
        <v>3</v>
      </c>
      <c r="P97" t="s">
        <v>61</v>
      </c>
      <c r="Q97">
        <v>3</v>
      </c>
      <c r="R97" s="11">
        <v>1217</v>
      </c>
      <c r="S97" s="14">
        <v>60</v>
      </c>
      <c r="T97" s="13">
        <v>13549</v>
      </c>
      <c r="U97" s="13">
        <f t="shared" si="6"/>
        <v>162588</v>
      </c>
      <c r="V97" s="14">
        <v>24001</v>
      </c>
      <c r="W97">
        <v>9</v>
      </c>
      <c r="X97" s="8" t="s">
        <v>46</v>
      </c>
      <c r="Y97" s="15">
        <v>0.12</v>
      </c>
      <c r="Z97">
        <v>3</v>
      </c>
      <c r="AA97">
        <v>1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 t="str">
        <f t="shared" si="7"/>
        <v>0-3</v>
      </c>
      <c r="AI97">
        <v>0</v>
      </c>
      <c r="AJ97" t="str">
        <f t="shared" si="8"/>
        <v>0-2</v>
      </c>
      <c r="AK97">
        <v>3</v>
      </c>
    </row>
    <row r="98" spans="1:37" x14ac:dyDescent="0.25">
      <c r="A98" s="8">
        <v>97</v>
      </c>
      <c r="B98" t="s">
        <v>52</v>
      </c>
      <c r="C98" t="s">
        <v>45</v>
      </c>
      <c r="D98" s="8">
        <v>24</v>
      </c>
      <c r="E98" t="str">
        <f t="shared" si="9"/>
        <v>18-25</v>
      </c>
      <c r="F98" t="s">
        <v>46</v>
      </c>
      <c r="G98" t="s">
        <v>39</v>
      </c>
      <c r="H98" s="8" t="s">
        <v>40</v>
      </c>
      <c r="I98" s="10">
        <v>3</v>
      </c>
      <c r="J98" t="str">
        <f t="shared" si="5"/>
        <v>Near</v>
      </c>
      <c r="K98">
        <v>2</v>
      </c>
      <c r="L98" t="s">
        <v>50</v>
      </c>
      <c r="M98">
        <v>1</v>
      </c>
      <c r="N98">
        <v>3</v>
      </c>
      <c r="O98">
        <v>2</v>
      </c>
      <c r="P98" t="s">
        <v>42</v>
      </c>
      <c r="Q98">
        <v>3</v>
      </c>
      <c r="R98" s="11">
        <v>1353</v>
      </c>
      <c r="S98" s="14">
        <v>33</v>
      </c>
      <c r="T98" s="13">
        <v>4999</v>
      </c>
      <c r="U98" s="13">
        <f t="shared" si="6"/>
        <v>59988</v>
      </c>
      <c r="V98" s="14">
        <v>17519</v>
      </c>
      <c r="W98">
        <v>0</v>
      </c>
      <c r="X98" s="8" t="s">
        <v>46</v>
      </c>
      <c r="Y98" s="15">
        <v>0.21</v>
      </c>
      <c r="Z98">
        <v>4</v>
      </c>
      <c r="AA98">
        <v>1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 t="str">
        <f t="shared" si="7"/>
        <v>0-3</v>
      </c>
      <c r="AI98">
        <v>0</v>
      </c>
      <c r="AJ98" t="str">
        <f t="shared" si="8"/>
        <v>0-2</v>
      </c>
      <c r="AK98">
        <v>2</v>
      </c>
    </row>
    <row r="99" spans="1:37" x14ac:dyDescent="0.25">
      <c r="A99" s="8">
        <v>98</v>
      </c>
      <c r="B99" t="s">
        <v>44</v>
      </c>
      <c r="C99" t="s">
        <v>45</v>
      </c>
      <c r="D99" s="8">
        <v>28</v>
      </c>
      <c r="E99" t="str">
        <f t="shared" si="9"/>
        <v>26-35</v>
      </c>
      <c r="F99" t="s">
        <v>46</v>
      </c>
      <c r="G99" t="s">
        <v>58</v>
      </c>
      <c r="H99" s="8" t="s">
        <v>40</v>
      </c>
      <c r="I99" s="10">
        <v>4</v>
      </c>
      <c r="J99" t="str">
        <f t="shared" si="5"/>
        <v>Near</v>
      </c>
      <c r="K99">
        <v>3</v>
      </c>
      <c r="L99" t="s">
        <v>53</v>
      </c>
      <c r="M99">
        <v>2</v>
      </c>
      <c r="N99">
        <v>3</v>
      </c>
      <c r="O99">
        <v>2</v>
      </c>
      <c r="P99" t="s">
        <v>42</v>
      </c>
      <c r="Q99">
        <v>3</v>
      </c>
      <c r="R99" s="11">
        <v>120</v>
      </c>
      <c r="S99" s="14">
        <v>43</v>
      </c>
      <c r="T99" s="13">
        <v>4221</v>
      </c>
      <c r="U99" s="13">
        <f t="shared" si="6"/>
        <v>50652</v>
      </c>
      <c r="V99" s="14">
        <v>8863</v>
      </c>
      <c r="W99">
        <v>1</v>
      </c>
      <c r="X99" s="8" t="s">
        <v>46</v>
      </c>
      <c r="Y99" s="15">
        <v>0.15</v>
      </c>
      <c r="Z99">
        <v>3</v>
      </c>
      <c r="AA99">
        <v>2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 t="str">
        <f t="shared" si="7"/>
        <v>4-7</v>
      </c>
      <c r="AI99">
        <v>0</v>
      </c>
      <c r="AJ99" t="str">
        <f t="shared" si="8"/>
        <v>0-2</v>
      </c>
      <c r="AK99">
        <v>4</v>
      </c>
    </row>
    <row r="100" spans="1:37" x14ac:dyDescent="0.25">
      <c r="A100" s="8">
        <v>99</v>
      </c>
      <c r="B100" t="s">
        <v>44</v>
      </c>
      <c r="C100" t="s">
        <v>37</v>
      </c>
      <c r="D100" s="8">
        <v>58</v>
      </c>
      <c r="E100" t="str">
        <f t="shared" si="9"/>
        <v>55+</v>
      </c>
      <c r="F100" t="s">
        <v>46</v>
      </c>
      <c r="G100" t="s">
        <v>39</v>
      </c>
      <c r="H100" s="8" t="s">
        <v>40</v>
      </c>
      <c r="I100" s="10">
        <v>10</v>
      </c>
      <c r="J100" t="str">
        <f t="shared" si="5"/>
        <v>Moderate</v>
      </c>
      <c r="K100">
        <v>4</v>
      </c>
      <c r="L100" t="s">
        <v>53</v>
      </c>
      <c r="M100">
        <v>4</v>
      </c>
      <c r="N100">
        <v>3</v>
      </c>
      <c r="O100">
        <v>4</v>
      </c>
      <c r="P100" t="s">
        <v>42</v>
      </c>
      <c r="Q100">
        <v>3</v>
      </c>
      <c r="R100" s="11">
        <v>682</v>
      </c>
      <c r="S100" s="14">
        <v>37</v>
      </c>
      <c r="T100" s="13">
        <v>13872</v>
      </c>
      <c r="U100" s="13">
        <f t="shared" si="6"/>
        <v>166464</v>
      </c>
      <c r="V100" s="14">
        <v>24409</v>
      </c>
      <c r="W100">
        <v>0</v>
      </c>
      <c r="X100" s="8" t="s">
        <v>46</v>
      </c>
      <c r="Y100" s="15">
        <v>0.13</v>
      </c>
      <c r="Z100">
        <v>3</v>
      </c>
      <c r="AA100">
        <v>3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 t="str">
        <f t="shared" si="7"/>
        <v>8-11</v>
      </c>
      <c r="AI100">
        <v>1</v>
      </c>
      <c r="AJ100" t="str">
        <f t="shared" si="8"/>
        <v>0-2</v>
      </c>
      <c r="AK100">
        <v>8</v>
      </c>
    </row>
    <row r="101" spans="1:37" x14ac:dyDescent="0.25">
      <c r="A101" s="8">
        <v>100</v>
      </c>
      <c r="B101" t="s">
        <v>44</v>
      </c>
      <c r="C101" t="s">
        <v>45</v>
      </c>
      <c r="D101" s="8">
        <v>44</v>
      </c>
      <c r="E101" t="str">
        <f t="shared" si="9"/>
        <v>36-45</v>
      </c>
      <c r="F101" t="s">
        <v>46</v>
      </c>
      <c r="G101" t="s">
        <v>58</v>
      </c>
      <c r="H101" s="8" t="s">
        <v>48</v>
      </c>
      <c r="I101" s="10">
        <v>23</v>
      </c>
      <c r="J101" t="str">
        <f t="shared" si="5"/>
        <v>Far</v>
      </c>
      <c r="K101">
        <v>3</v>
      </c>
      <c r="L101" t="s">
        <v>53</v>
      </c>
      <c r="M101">
        <v>2</v>
      </c>
      <c r="N101">
        <v>3</v>
      </c>
      <c r="O101">
        <v>2</v>
      </c>
      <c r="P101" t="s">
        <v>51</v>
      </c>
      <c r="Q101">
        <v>2</v>
      </c>
      <c r="R101" s="11">
        <v>489</v>
      </c>
      <c r="S101" s="14">
        <v>67</v>
      </c>
      <c r="T101" s="13">
        <v>2042</v>
      </c>
      <c r="U101" s="13">
        <f t="shared" si="6"/>
        <v>24504</v>
      </c>
      <c r="V101" s="14">
        <v>25043</v>
      </c>
      <c r="W101">
        <v>4</v>
      </c>
      <c r="X101" s="8" t="s">
        <v>46</v>
      </c>
      <c r="Y101" s="15">
        <v>0.12</v>
      </c>
      <c r="Z101">
        <v>3</v>
      </c>
      <c r="AA101">
        <v>3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 t="str">
        <f t="shared" si="7"/>
        <v>0-3</v>
      </c>
      <c r="AI101">
        <v>1</v>
      </c>
      <c r="AJ101" t="str">
        <f t="shared" si="8"/>
        <v>0-2</v>
      </c>
      <c r="AK101">
        <v>2</v>
      </c>
    </row>
    <row r="102" spans="1:37" x14ac:dyDescent="0.25">
      <c r="A102" s="8">
        <v>101</v>
      </c>
      <c r="B102" t="s">
        <v>44</v>
      </c>
      <c r="C102" t="s">
        <v>54</v>
      </c>
      <c r="D102" s="8">
        <v>37</v>
      </c>
      <c r="E102" t="str">
        <f t="shared" si="9"/>
        <v>36-45</v>
      </c>
      <c r="F102" t="s">
        <v>38</v>
      </c>
      <c r="G102" t="s">
        <v>39</v>
      </c>
      <c r="H102" s="8" t="s">
        <v>64</v>
      </c>
      <c r="I102" s="10">
        <v>6</v>
      </c>
      <c r="J102" t="str">
        <f t="shared" si="5"/>
        <v>Moderate</v>
      </c>
      <c r="K102">
        <v>4</v>
      </c>
      <c r="L102" t="s">
        <v>64</v>
      </c>
      <c r="M102">
        <v>3</v>
      </c>
      <c r="N102">
        <v>3</v>
      </c>
      <c r="O102">
        <v>1</v>
      </c>
      <c r="P102" t="s">
        <v>64</v>
      </c>
      <c r="Q102">
        <v>1</v>
      </c>
      <c r="R102" s="11">
        <v>807</v>
      </c>
      <c r="S102" s="14">
        <v>63</v>
      </c>
      <c r="T102" s="13">
        <v>2073</v>
      </c>
      <c r="U102" s="13">
        <f t="shared" si="6"/>
        <v>24876</v>
      </c>
      <c r="V102" s="14">
        <v>23648</v>
      </c>
      <c r="W102">
        <v>4</v>
      </c>
      <c r="X102" s="8" t="s">
        <v>38</v>
      </c>
      <c r="Y102" s="15">
        <v>0.22</v>
      </c>
      <c r="Z102">
        <v>4</v>
      </c>
      <c r="AA102">
        <v>4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 t="str">
        <f t="shared" si="7"/>
        <v>0-3</v>
      </c>
      <c r="AI102">
        <v>0</v>
      </c>
      <c r="AJ102" t="str">
        <f t="shared" si="8"/>
        <v>0-2</v>
      </c>
      <c r="AK102">
        <v>2</v>
      </c>
    </row>
    <row r="103" spans="1:37" x14ac:dyDescent="0.25">
      <c r="A103" s="8">
        <v>102</v>
      </c>
      <c r="B103" t="s">
        <v>44</v>
      </c>
      <c r="C103" t="s">
        <v>37</v>
      </c>
      <c r="D103" s="8">
        <v>32</v>
      </c>
      <c r="E103" t="str">
        <f t="shared" si="9"/>
        <v>26-35</v>
      </c>
      <c r="F103" t="s">
        <v>46</v>
      </c>
      <c r="G103" t="s">
        <v>39</v>
      </c>
      <c r="H103" s="8" t="s">
        <v>48</v>
      </c>
      <c r="I103" s="10">
        <v>1</v>
      </c>
      <c r="J103" t="str">
        <f t="shared" si="5"/>
        <v>Near</v>
      </c>
      <c r="K103">
        <v>1</v>
      </c>
      <c r="L103" t="s">
        <v>41</v>
      </c>
      <c r="M103">
        <v>4</v>
      </c>
      <c r="N103">
        <v>3</v>
      </c>
      <c r="O103">
        <v>1</v>
      </c>
      <c r="P103" t="s">
        <v>49</v>
      </c>
      <c r="Q103">
        <v>1</v>
      </c>
      <c r="R103" s="11">
        <v>827</v>
      </c>
      <c r="S103" s="14">
        <v>71</v>
      </c>
      <c r="T103" s="13">
        <v>2956</v>
      </c>
      <c r="U103" s="13">
        <f t="shared" si="6"/>
        <v>35472</v>
      </c>
      <c r="V103" s="14">
        <v>15178</v>
      </c>
      <c r="W103">
        <v>1</v>
      </c>
      <c r="X103" s="8" t="s">
        <v>46</v>
      </c>
      <c r="Y103" s="15">
        <v>0.13</v>
      </c>
      <c r="Z103">
        <v>3</v>
      </c>
      <c r="AA103">
        <v>4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 t="str">
        <f t="shared" si="7"/>
        <v>0-3</v>
      </c>
      <c r="AI103">
        <v>0</v>
      </c>
      <c r="AJ103" t="str">
        <f t="shared" si="8"/>
        <v>0-2</v>
      </c>
      <c r="AK103">
        <v>0</v>
      </c>
    </row>
    <row r="104" spans="1:37" x14ac:dyDescent="0.25">
      <c r="A104" s="8">
        <v>103</v>
      </c>
      <c r="B104" t="s">
        <v>52</v>
      </c>
      <c r="C104" t="s">
        <v>37</v>
      </c>
      <c r="D104" s="8">
        <v>20</v>
      </c>
      <c r="E104" t="str">
        <f t="shared" si="9"/>
        <v>18-25</v>
      </c>
      <c r="F104" t="s">
        <v>38</v>
      </c>
      <c r="G104" t="s">
        <v>47</v>
      </c>
      <c r="H104" s="8" t="s">
        <v>48</v>
      </c>
      <c r="I104" s="10">
        <v>6</v>
      </c>
      <c r="J104" t="str">
        <f t="shared" si="5"/>
        <v>Moderate</v>
      </c>
      <c r="K104">
        <v>3</v>
      </c>
      <c r="L104" t="s">
        <v>41</v>
      </c>
      <c r="M104">
        <v>4</v>
      </c>
      <c r="N104">
        <v>2</v>
      </c>
      <c r="O104">
        <v>1</v>
      </c>
      <c r="P104" t="s">
        <v>51</v>
      </c>
      <c r="Q104">
        <v>4</v>
      </c>
      <c r="R104" s="11">
        <v>871</v>
      </c>
      <c r="S104" s="14">
        <v>66</v>
      </c>
      <c r="T104" s="13">
        <v>2926</v>
      </c>
      <c r="U104" s="13">
        <f t="shared" si="6"/>
        <v>35112</v>
      </c>
      <c r="V104" s="14">
        <v>19783</v>
      </c>
      <c r="W104">
        <v>1</v>
      </c>
      <c r="X104" s="8" t="s">
        <v>38</v>
      </c>
      <c r="Y104" s="15">
        <v>0.18</v>
      </c>
      <c r="Z104">
        <v>3</v>
      </c>
      <c r="AA104">
        <v>2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 t="str">
        <f t="shared" si="7"/>
        <v>0-3</v>
      </c>
      <c r="AI104">
        <v>1</v>
      </c>
      <c r="AJ104" t="str">
        <f t="shared" si="8"/>
        <v>0-2</v>
      </c>
      <c r="AK104">
        <v>0</v>
      </c>
    </row>
    <row r="105" spans="1:37" x14ac:dyDescent="0.25">
      <c r="A105" s="8">
        <v>104</v>
      </c>
      <c r="B105" t="s">
        <v>52</v>
      </c>
      <c r="C105" t="s">
        <v>37</v>
      </c>
      <c r="D105" s="8">
        <v>34</v>
      </c>
      <c r="E105" t="str">
        <f t="shared" si="9"/>
        <v>26-35</v>
      </c>
      <c r="F105" t="s">
        <v>46</v>
      </c>
      <c r="G105" t="s">
        <v>39</v>
      </c>
      <c r="H105" s="8" t="s">
        <v>48</v>
      </c>
      <c r="I105" s="10">
        <v>6</v>
      </c>
      <c r="J105" t="str">
        <f t="shared" si="5"/>
        <v>Moderate</v>
      </c>
      <c r="K105">
        <v>4</v>
      </c>
      <c r="L105" t="s">
        <v>50</v>
      </c>
      <c r="M105">
        <v>1</v>
      </c>
      <c r="N105">
        <v>3</v>
      </c>
      <c r="O105">
        <v>2</v>
      </c>
      <c r="P105" t="s">
        <v>49</v>
      </c>
      <c r="Q105">
        <v>3</v>
      </c>
      <c r="R105" s="11">
        <v>665</v>
      </c>
      <c r="S105" s="14">
        <v>41</v>
      </c>
      <c r="T105" s="13">
        <v>4809</v>
      </c>
      <c r="U105" s="13">
        <f t="shared" si="6"/>
        <v>57708</v>
      </c>
      <c r="V105" s="14">
        <v>12482</v>
      </c>
      <c r="W105">
        <v>1</v>
      </c>
      <c r="X105" s="8" t="s">
        <v>46</v>
      </c>
      <c r="Y105" s="15">
        <v>0.14000000000000001</v>
      </c>
      <c r="Z105">
        <v>3</v>
      </c>
      <c r="AA105">
        <v>3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 t="str">
        <f t="shared" si="7"/>
        <v>12-15</v>
      </c>
      <c r="AI105">
        <v>2</v>
      </c>
      <c r="AJ105" t="str">
        <f t="shared" si="8"/>
        <v>0-2</v>
      </c>
      <c r="AK105">
        <v>10</v>
      </c>
    </row>
    <row r="106" spans="1:37" x14ac:dyDescent="0.25">
      <c r="A106" s="8">
        <v>105</v>
      </c>
      <c r="B106" t="s">
        <v>44</v>
      </c>
      <c r="C106" t="s">
        <v>54</v>
      </c>
      <c r="D106" s="8">
        <v>37</v>
      </c>
      <c r="E106" t="str">
        <f t="shared" si="9"/>
        <v>36-45</v>
      </c>
      <c r="F106" t="s">
        <v>46</v>
      </c>
      <c r="G106" t="s">
        <v>58</v>
      </c>
      <c r="H106" s="8" t="s">
        <v>48</v>
      </c>
      <c r="I106" s="10">
        <v>2</v>
      </c>
      <c r="J106" t="str">
        <f t="shared" si="5"/>
        <v>Near</v>
      </c>
      <c r="K106">
        <v>2</v>
      </c>
      <c r="L106" t="s">
        <v>41</v>
      </c>
      <c r="M106">
        <v>3</v>
      </c>
      <c r="N106">
        <v>2</v>
      </c>
      <c r="O106">
        <v>2</v>
      </c>
      <c r="P106" t="s">
        <v>56</v>
      </c>
      <c r="Q106">
        <v>4</v>
      </c>
      <c r="R106" s="11">
        <v>1040</v>
      </c>
      <c r="S106" s="14">
        <v>100</v>
      </c>
      <c r="T106" s="13">
        <v>5163</v>
      </c>
      <c r="U106" s="13">
        <f t="shared" si="6"/>
        <v>61956</v>
      </c>
      <c r="V106" s="14">
        <v>15850</v>
      </c>
      <c r="W106">
        <v>5</v>
      </c>
      <c r="X106" s="8" t="s">
        <v>46</v>
      </c>
      <c r="Y106" s="15">
        <v>0.14000000000000001</v>
      </c>
      <c r="Z106">
        <v>3</v>
      </c>
      <c r="AA106">
        <v>4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 t="str">
        <f t="shared" si="7"/>
        <v>0-3</v>
      </c>
      <c r="AI106">
        <v>0</v>
      </c>
      <c r="AJ106" t="str">
        <f t="shared" si="8"/>
        <v>0-2</v>
      </c>
      <c r="AK106">
        <v>0</v>
      </c>
    </row>
    <row r="107" spans="1:37" x14ac:dyDescent="0.25">
      <c r="A107" s="8">
        <v>106</v>
      </c>
      <c r="B107" t="s">
        <v>52</v>
      </c>
      <c r="C107" t="s">
        <v>45</v>
      </c>
      <c r="D107" s="8">
        <v>59</v>
      </c>
      <c r="E107" t="str">
        <f t="shared" si="9"/>
        <v>55+</v>
      </c>
      <c r="F107" t="s">
        <v>46</v>
      </c>
      <c r="G107" t="s">
        <v>58</v>
      </c>
      <c r="H107" s="8" t="s">
        <v>64</v>
      </c>
      <c r="I107" s="10">
        <v>2</v>
      </c>
      <c r="J107" t="str">
        <f t="shared" si="5"/>
        <v>Near</v>
      </c>
      <c r="K107">
        <v>4</v>
      </c>
      <c r="L107" t="s">
        <v>64</v>
      </c>
      <c r="M107">
        <v>3</v>
      </c>
      <c r="N107">
        <v>2</v>
      </c>
      <c r="O107">
        <v>5</v>
      </c>
      <c r="P107" t="s">
        <v>59</v>
      </c>
      <c r="Q107">
        <v>4</v>
      </c>
      <c r="R107" s="11">
        <v>1420</v>
      </c>
      <c r="S107" s="14">
        <v>32</v>
      </c>
      <c r="T107" s="13">
        <v>18844</v>
      </c>
      <c r="U107" s="13">
        <f t="shared" si="6"/>
        <v>226128</v>
      </c>
      <c r="V107" s="14">
        <v>21922</v>
      </c>
      <c r="W107">
        <v>9</v>
      </c>
      <c r="X107" s="8" t="s">
        <v>46</v>
      </c>
      <c r="Y107" s="15">
        <v>0.21</v>
      </c>
      <c r="Z107">
        <v>4</v>
      </c>
      <c r="AA107">
        <v>4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 t="str">
        <f t="shared" si="7"/>
        <v>0-3</v>
      </c>
      <c r="AI107">
        <v>2</v>
      </c>
      <c r="AJ107" t="str">
        <f t="shared" si="8"/>
        <v>0-2</v>
      </c>
      <c r="AK107">
        <v>2</v>
      </c>
    </row>
    <row r="108" spans="1:37" x14ac:dyDescent="0.25">
      <c r="A108" s="8">
        <v>107</v>
      </c>
      <c r="B108" t="s">
        <v>52</v>
      </c>
      <c r="C108" t="s">
        <v>45</v>
      </c>
      <c r="D108" s="8">
        <v>50</v>
      </c>
      <c r="E108" t="str">
        <f t="shared" si="9"/>
        <v>46-55</v>
      </c>
      <c r="F108" t="s">
        <v>46</v>
      </c>
      <c r="G108" t="s">
        <v>47</v>
      </c>
      <c r="H108" s="8" t="s">
        <v>48</v>
      </c>
      <c r="I108" s="10">
        <v>1</v>
      </c>
      <c r="J108" t="str">
        <f t="shared" si="5"/>
        <v>Near</v>
      </c>
      <c r="K108">
        <v>3</v>
      </c>
      <c r="L108" t="s">
        <v>41</v>
      </c>
      <c r="M108">
        <v>1</v>
      </c>
      <c r="N108">
        <v>3</v>
      </c>
      <c r="O108">
        <v>5</v>
      </c>
      <c r="P108" t="s">
        <v>61</v>
      </c>
      <c r="Q108">
        <v>2</v>
      </c>
      <c r="R108" s="11">
        <v>1115</v>
      </c>
      <c r="S108" s="14">
        <v>73</v>
      </c>
      <c r="T108" s="13">
        <v>18172</v>
      </c>
      <c r="U108" s="13">
        <f t="shared" si="6"/>
        <v>218064</v>
      </c>
      <c r="V108" s="14">
        <v>9755</v>
      </c>
      <c r="W108">
        <v>3</v>
      </c>
      <c r="X108" s="8" t="s">
        <v>38</v>
      </c>
      <c r="Y108" s="15">
        <v>0.19</v>
      </c>
      <c r="Z108">
        <v>3</v>
      </c>
      <c r="AA108">
        <v>1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 t="str">
        <f t="shared" si="7"/>
        <v>0-3</v>
      </c>
      <c r="AI108">
        <v>0</v>
      </c>
      <c r="AJ108" t="str">
        <f t="shared" si="8"/>
        <v>0-2</v>
      </c>
      <c r="AK108">
        <v>7</v>
      </c>
    </row>
    <row r="109" spans="1:37" x14ac:dyDescent="0.25">
      <c r="A109" s="8">
        <v>108</v>
      </c>
      <c r="B109" t="s">
        <v>44</v>
      </c>
      <c r="C109" t="s">
        <v>37</v>
      </c>
      <c r="D109" s="8">
        <v>25</v>
      </c>
      <c r="E109" t="str">
        <f t="shared" si="9"/>
        <v>26-35</v>
      </c>
      <c r="F109" t="s">
        <v>38</v>
      </c>
      <c r="G109" t="s">
        <v>39</v>
      </c>
      <c r="H109" s="8" t="s">
        <v>40</v>
      </c>
      <c r="I109" s="10">
        <v>5</v>
      </c>
      <c r="J109" t="str">
        <f t="shared" si="5"/>
        <v>Near</v>
      </c>
      <c r="K109">
        <v>3</v>
      </c>
      <c r="L109" t="s">
        <v>62</v>
      </c>
      <c r="M109">
        <v>3</v>
      </c>
      <c r="N109">
        <v>2</v>
      </c>
      <c r="O109">
        <v>2</v>
      </c>
      <c r="P109" t="s">
        <v>42</v>
      </c>
      <c r="Q109">
        <v>3</v>
      </c>
      <c r="R109" s="11">
        <v>240</v>
      </c>
      <c r="S109" s="14">
        <v>46</v>
      </c>
      <c r="T109" s="13">
        <v>5744</v>
      </c>
      <c r="U109" s="13">
        <f t="shared" si="6"/>
        <v>68928</v>
      </c>
      <c r="V109" s="14">
        <v>26959</v>
      </c>
      <c r="W109">
        <v>1</v>
      </c>
      <c r="X109" s="8" t="s">
        <v>38</v>
      </c>
      <c r="Y109" s="15">
        <v>0.11</v>
      </c>
      <c r="Z109">
        <v>3</v>
      </c>
      <c r="AA109">
        <v>4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 t="str">
        <f t="shared" si="7"/>
        <v>4-7</v>
      </c>
      <c r="AI109">
        <v>0</v>
      </c>
      <c r="AJ109" t="str">
        <f t="shared" si="8"/>
        <v>0-2</v>
      </c>
      <c r="AK109">
        <v>3</v>
      </c>
    </row>
    <row r="110" spans="1:37" x14ac:dyDescent="0.25">
      <c r="A110" s="8">
        <v>109</v>
      </c>
      <c r="B110" t="s">
        <v>44</v>
      </c>
      <c r="C110" t="s">
        <v>45</v>
      </c>
      <c r="D110" s="8">
        <v>25</v>
      </c>
      <c r="E110" t="str">
        <f t="shared" si="9"/>
        <v>26-35</v>
      </c>
      <c r="F110" t="s">
        <v>46</v>
      </c>
      <c r="G110" t="s">
        <v>39</v>
      </c>
      <c r="H110" s="8" t="s">
        <v>48</v>
      </c>
      <c r="I110" s="10">
        <v>7</v>
      </c>
      <c r="J110" t="str">
        <f t="shared" si="5"/>
        <v>Moderate</v>
      </c>
      <c r="K110">
        <v>1</v>
      </c>
      <c r="L110" t="s">
        <v>53</v>
      </c>
      <c r="M110">
        <v>4</v>
      </c>
      <c r="N110">
        <v>2</v>
      </c>
      <c r="O110">
        <v>1</v>
      </c>
      <c r="P110" t="s">
        <v>49</v>
      </c>
      <c r="Q110">
        <v>4</v>
      </c>
      <c r="R110" s="11">
        <v>1280</v>
      </c>
      <c r="S110" s="14">
        <v>64</v>
      </c>
      <c r="T110" s="13">
        <v>2889</v>
      </c>
      <c r="U110" s="13">
        <f t="shared" si="6"/>
        <v>34668</v>
      </c>
      <c r="V110" s="14">
        <v>26897</v>
      </c>
      <c r="W110">
        <v>1</v>
      </c>
      <c r="X110" s="8" t="s">
        <v>46</v>
      </c>
      <c r="Y110" s="15">
        <v>0.11</v>
      </c>
      <c r="Z110">
        <v>3</v>
      </c>
      <c r="AA110">
        <v>3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 t="str">
        <f t="shared" si="7"/>
        <v>0-3</v>
      </c>
      <c r="AI110">
        <v>2</v>
      </c>
      <c r="AJ110" t="str">
        <f t="shared" si="8"/>
        <v>0-2</v>
      </c>
      <c r="AK110">
        <v>1</v>
      </c>
    </row>
    <row r="111" spans="1:37" x14ac:dyDescent="0.25">
      <c r="A111" s="8">
        <v>110</v>
      </c>
      <c r="B111" t="s">
        <v>52</v>
      </c>
      <c r="C111" t="s">
        <v>37</v>
      </c>
      <c r="D111" s="8">
        <v>22</v>
      </c>
      <c r="E111" t="str">
        <f t="shared" si="9"/>
        <v>18-25</v>
      </c>
      <c r="F111" t="s">
        <v>46</v>
      </c>
      <c r="G111" t="s">
        <v>39</v>
      </c>
      <c r="H111" s="8" t="s">
        <v>48</v>
      </c>
      <c r="I111" s="10">
        <v>15</v>
      </c>
      <c r="J111" t="str">
        <f t="shared" si="5"/>
        <v>Moderate</v>
      </c>
      <c r="K111">
        <v>3</v>
      </c>
      <c r="L111" t="s">
        <v>53</v>
      </c>
      <c r="M111">
        <v>2</v>
      </c>
      <c r="N111">
        <v>3</v>
      </c>
      <c r="O111">
        <v>1</v>
      </c>
      <c r="P111" t="s">
        <v>51</v>
      </c>
      <c r="Q111">
        <v>4</v>
      </c>
      <c r="R111" s="11">
        <v>534</v>
      </c>
      <c r="S111" s="14">
        <v>59</v>
      </c>
      <c r="T111" s="13">
        <v>2871</v>
      </c>
      <c r="U111" s="13">
        <f t="shared" si="6"/>
        <v>34452</v>
      </c>
      <c r="V111" s="14">
        <v>23785</v>
      </c>
      <c r="W111">
        <v>1</v>
      </c>
      <c r="X111" s="8" t="s">
        <v>46</v>
      </c>
      <c r="Y111" s="15">
        <v>0.15</v>
      </c>
      <c r="Z111">
        <v>3</v>
      </c>
      <c r="AA111">
        <v>3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 t="str">
        <f t="shared" si="7"/>
        <v>0-3</v>
      </c>
      <c r="AI111">
        <v>0</v>
      </c>
      <c r="AJ111" t="str">
        <f t="shared" si="8"/>
        <v>0-2</v>
      </c>
      <c r="AK111">
        <v>0</v>
      </c>
    </row>
    <row r="112" spans="1:37" x14ac:dyDescent="0.25">
      <c r="A112" s="8">
        <v>111</v>
      </c>
      <c r="B112" t="s">
        <v>52</v>
      </c>
      <c r="C112" t="s">
        <v>37</v>
      </c>
      <c r="D112" s="8">
        <v>51</v>
      </c>
      <c r="E112" t="str">
        <f t="shared" si="9"/>
        <v>46-55</v>
      </c>
      <c r="F112" t="s">
        <v>46</v>
      </c>
      <c r="G112" t="s">
        <v>47</v>
      </c>
      <c r="H112" s="8" t="s">
        <v>48</v>
      </c>
      <c r="I112" s="10">
        <v>1</v>
      </c>
      <c r="J112" t="str">
        <f t="shared" si="5"/>
        <v>Near</v>
      </c>
      <c r="K112">
        <v>4</v>
      </c>
      <c r="L112" t="s">
        <v>53</v>
      </c>
      <c r="M112">
        <v>1</v>
      </c>
      <c r="N112">
        <v>2</v>
      </c>
      <c r="O112">
        <v>3</v>
      </c>
      <c r="P112" t="s">
        <v>56</v>
      </c>
      <c r="Q112">
        <v>1</v>
      </c>
      <c r="R112" s="11">
        <v>1456</v>
      </c>
      <c r="S112" s="14">
        <v>30</v>
      </c>
      <c r="T112" s="13">
        <v>7484</v>
      </c>
      <c r="U112" s="13">
        <f t="shared" si="6"/>
        <v>89808</v>
      </c>
      <c r="V112" s="14">
        <v>25796</v>
      </c>
      <c r="W112">
        <v>3</v>
      </c>
      <c r="X112" s="8" t="s">
        <v>46</v>
      </c>
      <c r="Y112" s="15">
        <v>0.2</v>
      </c>
      <c r="Z112">
        <v>4</v>
      </c>
      <c r="AA112">
        <v>3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 t="str">
        <f t="shared" si="7"/>
        <v>12-15</v>
      </c>
      <c r="AI112">
        <v>12</v>
      </c>
      <c r="AJ112" t="str">
        <f t="shared" si="8"/>
        <v>12-15</v>
      </c>
      <c r="AK112">
        <v>8</v>
      </c>
    </row>
    <row r="113" spans="1:37" x14ac:dyDescent="0.25">
      <c r="A113" s="8">
        <v>112</v>
      </c>
      <c r="B113" t="s">
        <v>44</v>
      </c>
      <c r="C113" t="s">
        <v>37</v>
      </c>
      <c r="D113" s="8">
        <v>34</v>
      </c>
      <c r="E113" t="str">
        <f t="shared" si="9"/>
        <v>26-35</v>
      </c>
      <c r="F113" t="s">
        <v>38</v>
      </c>
      <c r="G113" t="s">
        <v>47</v>
      </c>
      <c r="H113" s="8" t="s">
        <v>48</v>
      </c>
      <c r="I113" s="10">
        <v>7</v>
      </c>
      <c r="J113" t="str">
        <f t="shared" si="5"/>
        <v>Moderate</v>
      </c>
      <c r="K113">
        <v>3</v>
      </c>
      <c r="L113" t="s">
        <v>41</v>
      </c>
      <c r="M113">
        <v>1</v>
      </c>
      <c r="N113">
        <v>1</v>
      </c>
      <c r="O113">
        <v>2</v>
      </c>
      <c r="P113" t="s">
        <v>51</v>
      </c>
      <c r="Q113">
        <v>3</v>
      </c>
      <c r="R113" s="11">
        <v>658</v>
      </c>
      <c r="S113" s="14">
        <v>66</v>
      </c>
      <c r="T113" s="13">
        <v>6074</v>
      </c>
      <c r="U113" s="13">
        <f t="shared" si="6"/>
        <v>72888</v>
      </c>
      <c r="V113" s="14">
        <v>22887</v>
      </c>
      <c r="W113">
        <v>1</v>
      </c>
      <c r="X113" s="8" t="s">
        <v>38</v>
      </c>
      <c r="Y113" s="15">
        <v>0.24</v>
      </c>
      <c r="Z113">
        <v>4</v>
      </c>
      <c r="AA113">
        <v>4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 t="str">
        <f t="shared" si="7"/>
        <v>4-7</v>
      </c>
      <c r="AI113">
        <v>0</v>
      </c>
      <c r="AJ113" t="str">
        <f t="shared" si="8"/>
        <v>0-2</v>
      </c>
      <c r="AK113">
        <v>6</v>
      </c>
    </row>
    <row r="114" spans="1:37" x14ac:dyDescent="0.25">
      <c r="A114" s="8">
        <v>113</v>
      </c>
      <c r="B114" t="s">
        <v>52</v>
      </c>
      <c r="C114" t="s">
        <v>37</v>
      </c>
      <c r="D114" s="8">
        <v>54</v>
      </c>
      <c r="E114" t="str">
        <f t="shared" si="9"/>
        <v>46-55</v>
      </c>
      <c r="F114" t="s">
        <v>46</v>
      </c>
      <c r="G114" t="s">
        <v>58</v>
      </c>
      <c r="H114" s="8" t="s">
        <v>64</v>
      </c>
      <c r="I114" s="10">
        <v>26</v>
      </c>
      <c r="J114" t="str">
        <f t="shared" si="5"/>
        <v>Far</v>
      </c>
      <c r="K114">
        <v>3</v>
      </c>
      <c r="L114" t="s">
        <v>64</v>
      </c>
      <c r="M114">
        <v>4</v>
      </c>
      <c r="N114">
        <v>4</v>
      </c>
      <c r="O114">
        <v>4</v>
      </c>
      <c r="P114" t="s">
        <v>59</v>
      </c>
      <c r="Q114">
        <v>4</v>
      </c>
      <c r="R114" s="11">
        <v>142</v>
      </c>
      <c r="S114" s="14">
        <v>30</v>
      </c>
      <c r="T114" s="13">
        <v>17328</v>
      </c>
      <c r="U114" s="13">
        <f t="shared" si="6"/>
        <v>207936</v>
      </c>
      <c r="V114" s="14">
        <v>13871</v>
      </c>
      <c r="W114">
        <v>2</v>
      </c>
      <c r="X114" s="8" t="s">
        <v>38</v>
      </c>
      <c r="Y114" s="15">
        <v>0.12</v>
      </c>
      <c r="Z114">
        <v>3</v>
      </c>
      <c r="AA114">
        <v>3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 t="str">
        <f t="shared" si="7"/>
        <v>0-3</v>
      </c>
      <c r="AI114">
        <v>4</v>
      </c>
      <c r="AJ114" t="str">
        <f t="shared" si="8"/>
        <v>3-5</v>
      </c>
      <c r="AK114">
        <v>4</v>
      </c>
    </row>
    <row r="115" spans="1:37" x14ac:dyDescent="0.25">
      <c r="A115" s="8">
        <v>114</v>
      </c>
      <c r="B115" t="s">
        <v>44</v>
      </c>
      <c r="C115" t="s">
        <v>45</v>
      </c>
      <c r="D115" s="8">
        <v>24</v>
      </c>
      <c r="E115" t="str">
        <f t="shared" si="9"/>
        <v>18-25</v>
      </c>
      <c r="F115" t="s">
        <v>46</v>
      </c>
      <c r="G115" t="s">
        <v>39</v>
      </c>
      <c r="H115" s="8" t="s">
        <v>48</v>
      </c>
      <c r="I115" s="10">
        <v>18</v>
      </c>
      <c r="J115" t="str">
        <f t="shared" si="5"/>
        <v>Far</v>
      </c>
      <c r="K115">
        <v>1</v>
      </c>
      <c r="L115" t="s">
        <v>41</v>
      </c>
      <c r="M115">
        <v>2</v>
      </c>
      <c r="N115">
        <v>3</v>
      </c>
      <c r="O115">
        <v>1</v>
      </c>
      <c r="P115" t="s">
        <v>51</v>
      </c>
      <c r="Q115">
        <v>3</v>
      </c>
      <c r="R115" s="11">
        <v>1127</v>
      </c>
      <c r="S115" s="14">
        <v>52</v>
      </c>
      <c r="T115" s="13">
        <v>2774</v>
      </c>
      <c r="U115" s="13">
        <f t="shared" si="6"/>
        <v>33288</v>
      </c>
      <c r="V115" s="14">
        <v>13257</v>
      </c>
      <c r="W115">
        <v>0</v>
      </c>
      <c r="X115" s="8" t="s">
        <v>46</v>
      </c>
      <c r="Y115" s="15">
        <v>0.12</v>
      </c>
      <c r="Z115">
        <v>3</v>
      </c>
      <c r="AA115">
        <v>3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 t="str">
        <f t="shared" si="7"/>
        <v>0-3</v>
      </c>
      <c r="AI115">
        <v>1</v>
      </c>
      <c r="AJ115" t="str">
        <f t="shared" si="8"/>
        <v>0-2</v>
      </c>
      <c r="AK115">
        <v>2</v>
      </c>
    </row>
    <row r="116" spans="1:37" x14ac:dyDescent="0.25">
      <c r="A116" s="8">
        <v>115</v>
      </c>
      <c r="B116" t="s">
        <v>52</v>
      </c>
      <c r="C116" t="s">
        <v>54</v>
      </c>
      <c r="D116" s="8">
        <v>34</v>
      </c>
      <c r="E116" t="str">
        <f t="shared" si="9"/>
        <v>26-35</v>
      </c>
      <c r="F116" t="s">
        <v>46</v>
      </c>
      <c r="G116" t="s">
        <v>39</v>
      </c>
      <c r="H116" s="8" t="s">
        <v>48</v>
      </c>
      <c r="I116" s="10">
        <v>6</v>
      </c>
      <c r="J116" t="str">
        <f t="shared" si="5"/>
        <v>Moderate</v>
      </c>
      <c r="K116">
        <v>4</v>
      </c>
      <c r="L116" t="s">
        <v>41</v>
      </c>
      <c r="M116">
        <v>3</v>
      </c>
      <c r="N116">
        <v>2</v>
      </c>
      <c r="O116">
        <v>2</v>
      </c>
      <c r="P116" t="s">
        <v>49</v>
      </c>
      <c r="Q116">
        <v>2</v>
      </c>
      <c r="R116" s="11">
        <v>1031</v>
      </c>
      <c r="S116" s="14">
        <v>45</v>
      </c>
      <c r="T116" s="13">
        <v>4505</v>
      </c>
      <c r="U116" s="13">
        <f t="shared" si="6"/>
        <v>54060</v>
      </c>
      <c r="V116" s="14">
        <v>15000</v>
      </c>
      <c r="W116">
        <v>6</v>
      </c>
      <c r="X116" s="8" t="s">
        <v>46</v>
      </c>
      <c r="Y116" s="15">
        <v>0.15</v>
      </c>
      <c r="Z116">
        <v>3</v>
      </c>
      <c r="AA116">
        <v>3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 t="str">
        <f t="shared" si="7"/>
        <v>0-3</v>
      </c>
      <c r="AI116">
        <v>0</v>
      </c>
      <c r="AJ116" t="str">
        <f t="shared" si="8"/>
        <v>0-2</v>
      </c>
      <c r="AK116">
        <v>0</v>
      </c>
    </row>
    <row r="117" spans="1:37" x14ac:dyDescent="0.25">
      <c r="A117" s="8">
        <v>116</v>
      </c>
      <c r="B117" t="s">
        <v>44</v>
      </c>
      <c r="C117" t="s">
        <v>37</v>
      </c>
      <c r="D117" s="8">
        <v>37</v>
      </c>
      <c r="E117" t="str">
        <f t="shared" si="9"/>
        <v>36-45</v>
      </c>
      <c r="F117" t="s">
        <v>46</v>
      </c>
      <c r="G117" t="s">
        <v>39</v>
      </c>
      <c r="H117" s="8" t="s">
        <v>40</v>
      </c>
      <c r="I117" s="10">
        <v>3</v>
      </c>
      <c r="J117" t="str">
        <f t="shared" si="5"/>
        <v>Near</v>
      </c>
      <c r="K117">
        <v>3</v>
      </c>
      <c r="L117" t="s">
        <v>41</v>
      </c>
      <c r="M117">
        <v>3</v>
      </c>
      <c r="N117">
        <v>3</v>
      </c>
      <c r="O117">
        <v>3</v>
      </c>
      <c r="P117" t="s">
        <v>42</v>
      </c>
      <c r="Q117">
        <v>4</v>
      </c>
      <c r="R117" s="11">
        <v>1189</v>
      </c>
      <c r="S117" s="14">
        <v>87</v>
      </c>
      <c r="T117" s="13">
        <v>7428</v>
      </c>
      <c r="U117" s="13">
        <f t="shared" si="6"/>
        <v>89136</v>
      </c>
      <c r="V117" s="14">
        <v>14506</v>
      </c>
      <c r="W117">
        <v>2</v>
      </c>
      <c r="X117" s="8" t="s">
        <v>46</v>
      </c>
      <c r="Y117" s="15">
        <v>0.12</v>
      </c>
      <c r="Z117">
        <v>3</v>
      </c>
      <c r="AA117">
        <v>1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 t="str">
        <f t="shared" si="7"/>
        <v>0-3</v>
      </c>
      <c r="AI117">
        <v>1</v>
      </c>
      <c r="AJ117" t="str">
        <f t="shared" si="8"/>
        <v>0-2</v>
      </c>
      <c r="AK117">
        <v>3</v>
      </c>
    </row>
    <row r="118" spans="1:37" x14ac:dyDescent="0.25">
      <c r="A118" s="8">
        <v>117</v>
      </c>
      <c r="B118" t="s">
        <v>52</v>
      </c>
      <c r="C118" t="s">
        <v>37</v>
      </c>
      <c r="D118" s="8">
        <v>34</v>
      </c>
      <c r="E118" t="str">
        <f t="shared" si="9"/>
        <v>26-35</v>
      </c>
      <c r="F118" t="s">
        <v>46</v>
      </c>
      <c r="G118" t="s">
        <v>39</v>
      </c>
      <c r="H118" s="8" t="s">
        <v>48</v>
      </c>
      <c r="I118" s="10">
        <v>5</v>
      </c>
      <c r="J118" t="str">
        <f t="shared" si="5"/>
        <v>Near</v>
      </c>
      <c r="K118">
        <v>3</v>
      </c>
      <c r="L118" t="s">
        <v>53</v>
      </c>
      <c r="M118">
        <v>3</v>
      </c>
      <c r="N118">
        <v>2</v>
      </c>
      <c r="O118">
        <v>3</v>
      </c>
      <c r="P118" t="s">
        <v>59</v>
      </c>
      <c r="Q118">
        <v>1</v>
      </c>
      <c r="R118" s="11">
        <v>1354</v>
      </c>
      <c r="S118" s="14">
        <v>45</v>
      </c>
      <c r="T118" s="13">
        <v>11631</v>
      </c>
      <c r="U118" s="13">
        <f t="shared" si="6"/>
        <v>139572</v>
      </c>
      <c r="V118" s="14">
        <v>5615</v>
      </c>
      <c r="W118">
        <v>2</v>
      </c>
      <c r="X118" s="8" t="s">
        <v>46</v>
      </c>
      <c r="Y118" s="15">
        <v>0.12</v>
      </c>
      <c r="Z118">
        <v>3</v>
      </c>
      <c r="AA118">
        <v>4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 t="str">
        <f t="shared" si="7"/>
        <v>8-11</v>
      </c>
      <c r="AI118">
        <v>5</v>
      </c>
      <c r="AJ118" t="str">
        <f t="shared" si="8"/>
        <v>3-5</v>
      </c>
      <c r="AK118">
        <v>8</v>
      </c>
    </row>
    <row r="119" spans="1:37" x14ac:dyDescent="0.25">
      <c r="A119" s="8">
        <v>118</v>
      </c>
      <c r="B119" t="s">
        <v>52</v>
      </c>
      <c r="C119" t="s">
        <v>45</v>
      </c>
      <c r="D119" s="8">
        <v>36</v>
      </c>
      <c r="E119" t="str">
        <f t="shared" si="9"/>
        <v>36-45</v>
      </c>
      <c r="F119" t="s">
        <v>46</v>
      </c>
      <c r="G119" t="s">
        <v>47</v>
      </c>
      <c r="H119" s="8" t="s">
        <v>40</v>
      </c>
      <c r="I119" s="10">
        <v>11</v>
      </c>
      <c r="J119" t="str">
        <f t="shared" si="5"/>
        <v>Moderate</v>
      </c>
      <c r="K119">
        <v>2</v>
      </c>
      <c r="L119" t="s">
        <v>63</v>
      </c>
      <c r="M119">
        <v>2</v>
      </c>
      <c r="N119">
        <v>3</v>
      </c>
      <c r="O119">
        <v>3</v>
      </c>
      <c r="P119" t="s">
        <v>42</v>
      </c>
      <c r="Q119">
        <v>4</v>
      </c>
      <c r="R119" s="11">
        <v>1467</v>
      </c>
      <c r="S119" s="14">
        <v>92</v>
      </c>
      <c r="T119" s="13">
        <v>9738</v>
      </c>
      <c r="U119" s="13">
        <f t="shared" si="6"/>
        <v>116856</v>
      </c>
      <c r="V119" s="14">
        <v>22952</v>
      </c>
      <c r="W119">
        <v>0</v>
      </c>
      <c r="X119" s="8" t="s">
        <v>46</v>
      </c>
      <c r="Y119" s="15">
        <v>0.14000000000000001</v>
      </c>
      <c r="Z119">
        <v>3</v>
      </c>
      <c r="AA119">
        <v>3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 t="str">
        <f t="shared" si="7"/>
        <v>4-7</v>
      </c>
      <c r="AI119">
        <v>2</v>
      </c>
      <c r="AJ119" t="str">
        <f t="shared" si="8"/>
        <v>0-2</v>
      </c>
      <c r="AK119">
        <v>8</v>
      </c>
    </row>
    <row r="120" spans="1:37" x14ac:dyDescent="0.25">
      <c r="A120" s="8">
        <v>119</v>
      </c>
      <c r="B120" t="s">
        <v>52</v>
      </c>
      <c r="C120" t="s">
        <v>54</v>
      </c>
      <c r="D120" s="8">
        <v>36</v>
      </c>
      <c r="E120" t="str">
        <f t="shared" si="9"/>
        <v>36-45</v>
      </c>
      <c r="F120" t="s">
        <v>46</v>
      </c>
      <c r="G120" t="s">
        <v>39</v>
      </c>
      <c r="H120" s="8" t="s">
        <v>48</v>
      </c>
      <c r="I120" s="10">
        <v>3</v>
      </c>
      <c r="J120" t="str">
        <f t="shared" si="5"/>
        <v>Near</v>
      </c>
      <c r="K120">
        <v>2</v>
      </c>
      <c r="L120" t="s">
        <v>41</v>
      </c>
      <c r="M120">
        <v>1</v>
      </c>
      <c r="N120">
        <v>3</v>
      </c>
      <c r="O120">
        <v>1</v>
      </c>
      <c r="P120" t="s">
        <v>51</v>
      </c>
      <c r="Q120">
        <v>4</v>
      </c>
      <c r="R120" s="11">
        <v>922</v>
      </c>
      <c r="S120" s="14">
        <v>39</v>
      </c>
      <c r="T120" s="13">
        <v>2835</v>
      </c>
      <c r="U120" s="13">
        <f t="shared" si="6"/>
        <v>34020</v>
      </c>
      <c r="V120" s="14">
        <v>2561</v>
      </c>
      <c r="W120">
        <v>5</v>
      </c>
      <c r="X120" s="8" t="s">
        <v>46</v>
      </c>
      <c r="Y120" s="15">
        <v>0.22</v>
      </c>
      <c r="Z120">
        <v>4</v>
      </c>
      <c r="AA120">
        <v>1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 t="str">
        <f t="shared" si="7"/>
        <v>0-3</v>
      </c>
      <c r="AI120">
        <v>0</v>
      </c>
      <c r="AJ120" t="str">
        <f t="shared" si="8"/>
        <v>0-2</v>
      </c>
      <c r="AK120">
        <v>0</v>
      </c>
    </row>
    <row r="121" spans="1:37" x14ac:dyDescent="0.25">
      <c r="A121" s="8">
        <v>120</v>
      </c>
      <c r="B121" t="s">
        <v>44</v>
      </c>
      <c r="C121" t="s">
        <v>45</v>
      </c>
      <c r="D121" s="8">
        <v>43</v>
      </c>
      <c r="E121" t="str">
        <f t="shared" si="9"/>
        <v>36-45</v>
      </c>
      <c r="F121" t="s">
        <v>46</v>
      </c>
      <c r="G121" t="s">
        <v>47</v>
      </c>
      <c r="H121" s="8" t="s">
        <v>40</v>
      </c>
      <c r="I121" s="10">
        <v>26</v>
      </c>
      <c r="J121" t="str">
        <f t="shared" si="5"/>
        <v>Far</v>
      </c>
      <c r="K121">
        <v>2</v>
      </c>
      <c r="L121" t="s">
        <v>41</v>
      </c>
      <c r="M121">
        <v>3</v>
      </c>
      <c r="N121">
        <v>3</v>
      </c>
      <c r="O121">
        <v>4</v>
      </c>
      <c r="P121" t="s">
        <v>59</v>
      </c>
      <c r="Q121">
        <v>4</v>
      </c>
      <c r="R121" s="11">
        <v>394</v>
      </c>
      <c r="S121" s="14">
        <v>92</v>
      </c>
      <c r="T121" s="13">
        <v>16959</v>
      </c>
      <c r="U121" s="13">
        <f t="shared" si="6"/>
        <v>203508</v>
      </c>
      <c r="V121" s="14">
        <v>19494</v>
      </c>
      <c r="W121">
        <v>1</v>
      </c>
      <c r="X121" s="8" t="s">
        <v>38</v>
      </c>
      <c r="Y121" s="15">
        <v>0.12</v>
      </c>
      <c r="Z121">
        <v>3</v>
      </c>
      <c r="AA121">
        <v>4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 t="str">
        <f t="shared" si="7"/>
        <v>12-15</v>
      </c>
      <c r="AI121">
        <v>4</v>
      </c>
      <c r="AJ121" t="str">
        <f t="shared" si="8"/>
        <v>3-5</v>
      </c>
      <c r="AK121">
        <v>12</v>
      </c>
    </row>
    <row r="122" spans="1:37" x14ac:dyDescent="0.25">
      <c r="A122" s="8">
        <v>121</v>
      </c>
      <c r="B122" t="s">
        <v>44</v>
      </c>
      <c r="C122" t="s">
        <v>54</v>
      </c>
      <c r="D122" s="8">
        <v>30</v>
      </c>
      <c r="E122" t="str">
        <f t="shared" si="9"/>
        <v>26-35</v>
      </c>
      <c r="F122" t="s">
        <v>46</v>
      </c>
      <c r="G122" t="s">
        <v>47</v>
      </c>
      <c r="H122" s="8" t="s">
        <v>48</v>
      </c>
      <c r="I122" s="10">
        <v>23</v>
      </c>
      <c r="J122" t="str">
        <f t="shared" si="5"/>
        <v>Far</v>
      </c>
      <c r="K122">
        <v>3</v>
      </c>
      <c r="L122" t="s">
        <v>41</v>
      </c>
      <c r="M122">
        <v>1</v>
      </c>
      <c r="N122">
        <v>1</v>
      </c>
      <c r="O122">
        <v>1</v>
      </c>
      <c r="P122" t="s">
        <v>49</v>
      </c>
      <c r="Q122">
        <v>3</v>
      </c>
      <c r="R122" s="11">
        <v>1312</v>
      </c>
      <c r="S122" s="14">
        <v>96</v>
      </c>
      <c r="T122" s="13">
        <v>2613</v>
      </c>
      <c r="U122" s="13">
        <f t="shared" si="6"/>
        <v>31356</v>
      </c>
      <c r="V122" s="14">
        <v>22310</v>
      </c>
      <c r="W122">
        <v>1</v>
      </c>
      <c r="X122" s="8" t="s">
        <v>46</v>
      </c>
      <c r="Y122" s="15">
        <v>0.25</v>
      </c>
      <c r="Z122">
        <v>4</v>
      </c>
      <c r="AA122">
        <v>3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 t="str">
        <f t="shared" si="7"/>
        <v>4-7</v>
      </c>
      <c r="AI122">
        <v>0</v>
      </c>
      <c r="AJ122" t="str">
        <f t="shared" si="8"/>
        <v>0-2</v>
      </c>
      <c r="AK122">
        <v>9</v>
      </c>
    </row>
    <row r="123" spans="1:37" x14ac:dyDescent="0.25">
      <c r="A123" s="8">
        <v>122</v>
      </c>
      <c r="B123" t="s">
        <v>44</v>
      </c>
      <c r="C123" t="s">
        <v>45</v>
      </c>
      <c r="D123" s="8">
        <v>33</v>
      </c>
      <c r="E123" t="str">
        <f t="shared" si="9"/>
        <v>26-35</v>
      </c>
      <c r="F123" t="s">
        <v>46</v>
      </c>
      <c r="G123" t="s">
        <v>58</v>
      </c>
      <c r="H123" s="8" t="s">
        <v>40</v>
      </c>
      <c r="I123" s="10">
        <v>22</v>
      </c>
      <c r="J123" t="str">
        <f t="shared" si="5"/>
        <v>Far</v>
      </c>
      <c r="K123">
        <v>2</v>
      </c>
      <c r="L123" t="s">
        <v>62</v>
      </c>
      <c r="M123">
        <v>3</v>
      </c>
      <c r="N123">
        <v>3</v>
      </c>
      <c r="O123">
        <v>2</v>
      </c>
      <c r="P123" t="s">
        <v>42</v>
      </c>
      <c r="Q123">
        <v>2</v>
      </c>
      <c r="R123" s="11">
        <v>750</v>
      </c>
      <c r="S123" s="14">
        <v>95</v>
      </c>
      <c r="T123" s="13">
        <v>6146</v>
      </c>
      <c r="U123" s="13">
        <f t="shared" si="6"/>
        <v>73752</v>
      </c>
      <c r="V123" s="14">
        <v>15480</v>
      </c>
      <c r="W123">
        <v>0</v>
      </c>
      <c r="X123" s="8" t="s">
        <v>46</v>
      </c>
      <c r="Y123" s="15">
        <v>0.13</v>
      </c>
      <c r="Z123">
        <v>3</v>
      </c>
      <c r="AA123">
        <v>1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 t="str">
        <f t="shared" si="7"/>
        <v>4-7</v>
      </c>
      <c r="AI123">
        <v>0</v>
      </c>
      <c r="AJ123" t="str">
        <f t="shared" si="8"/>
        <v>0-2</v>
      </c>
      <c r="AK123">
        <v>7</v>
      </c>
    </row>
    <row r="124" spans="1:37" x14ac:dyDescent="0.25">
      <c r="A124" s="8">
        <v>123</v>
      </c>
      <c r="B124" t="s">
        <v>52</v>
      </c>
      <c r="C124" t="s">
        <v>45</v>
      </c>
      <c r="D124" s="8">
        <v>56</v>
      </c>
      <c r="E124" t="str">
        <f t="shared" si="9"/>
        <v>55+</v>
      </c>
      <c r="F124" t="s">
        <v>38</v>
      </c>
      <c r="G124" t="s">
        <v>39</v>
      </c>
      <c r="H124" s="8" t="s">
        <v>48</v>
      </c>
      <c r="I124" s="10">
        <v>14</v>
      </c>
      <c r="J124" t="str">
        <f t="shared" si="5"/>
        <v>Moderate</v>
      </c>
      <c r="K124">
        <v>4</v>
      </c>
      <c r="L124" t="s">
        <v>41</v>
      </c>
      <c r="M124">
        <v>2</v>
      </c>
      <c r="N124">
        <v>3</v>
      </c>
      <c r="O124">
        <v>1</v>
      </c>
      <c r="P124" t="s">
        <v>49</v>
      </c>
      <c r="Q124">
        <v>2</v>
      </c>
      <c r="R124" s="11">
        <v>441</v>
      </c>
      <c r="S124" s="14">
        <v>72</v>
      </c>
      <c r="T124" s="13">
        <v>4963</v>
      </c>
      <c r="U124" s="13">
        <f t="shared" si="6"/>
        <v>59556</v>
      </c>
      <c r="V124" s="14">
        <v>4510</v>
      </c>
      <c r="W124">
        <v>9</v>
      </c>
      <c r="X124" s="8" t="s">
        <v>38</v>
      </c>
      <c r="Y124" s="15">
        <v>0.18</v>
      </c>
      <c r="Z124">
        <v>3</v>
      </c>
      <c r="AA124">
        <v>1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 t="str">
        <f t="shared" si="7"/>
        <v>4-7</v>
      </c>
      <c r="AI124">
        <v>4</v>
      </c>
      <c r="AJ124" t="str">
        <f t="shared" si="8"/>
        <v>3-5</v>
      </c>
      <c r="AK124">
        <v>3</v>
      </c>
    </row>
    <row r="125" spans="1:37" x14ac:dyDescent="0.25">
      <c r="A125" s="8">
        <v>124</v>
      </c>
      <c r="B125" t="s">
        <v>44</v>
      </c>
      <c r="C125" t="s">
        <v>37</v>
      </c>
      <c r="D125" s="8">
        <v>51</v>
      </c>
      <c r="E125" t="str">
        <f t="shared" si="9"/>
        <v>46-55</v>
      </c>
      <c r="F125" t="s">
        <v>46</v>
      </c>
      <c r="G125" t="s">
        <v>39</v>
      </c>
      <c r="H125" s="8" t="s">
        <v>48</v>
      </c>
      <c r="I125" s="10">
        <v>6</v>
      </c>
      <c r="J125" t="str">
        <f t="shared" si="5"/>
        <v>Moderate</v>
      </c>
      <c r="K125">
        <v>3</v>
      </c>
      <c r="L125" t="s">
        <v>41</v>
      </c>
      <c r="M125">
        <v>1</v>
      </c>
      <c r="N125">
        <v>3</v>
      </c>
      <c r="O125">
        <v>5</v>
      </c>
      <c r="P125" t="s">
        <v>61</v>
      </c>
      <c r="Q125">
        <v>3</v>
      </c>
      <c r="R125" s="11">
        <v>684</v>
      </c>
      <c r="S125" s="14">
        <v>51</v>
      </c>
      <c r="T125" s="13">
        <v>19537</v>
      </c>
      <c r="U125" s="13">
        <f t="shared" si="6"/>
        <v>234444</v>
      </c>
      <c r="V125" s="14">
        <v>6462</v>
      </c>
      <c r="W125">
        <v>7</v>
      </c>
      <c r="X125" s="8" t="s">
        <v>46</v>
      </c>
      <c r="Y125" s="15">
        <v>0.13</v>
      </c>
      <c r="Z125">
        <v>3</v>
      </c>
      <c r="AA125">
        <v>3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 t="str">
        <f t="shared" si="7"/>
        <v>16-19</v>
      </c>
      <c r="AI125">
        <v>15</v>
      </c>
      <c r="AJ125" t="str">
        <f t="shared" si="8"/>
        <v>12-15</v>
      </c>
      <c r="AK125">
        <v>15</v>
      </c>
    </row>
    <row r="126" spans="1:37" x14ac:dyDescent="0.25">
      <c r="A126" s="8">
        <v>125</v>
      </c>
      <c r="B126" t="s">
        <v>44</v>
      </c>
      <c r="C126" t="s">
        <v>45</v>
      </c>
      <c r="D126" s="8">
        <v>31</v>
      </c>
      <c r="E126" t="str">
        <f t="shared" si="9"/>
        <v>26-35</v>
      </c>
      <c r="F126" t="s">
        <v>38</v>
      </c>
      <c r="G126" t="s">
        <v>39</v>
      </c>
      <c r="H126" s="8" t="s">
        <v>40</v>
      </c>
      <c r="I126" s="10">
        <v>6</v>
      </c>
      <c r="J126" t="str">
        <f t="shared" si="5"/>
        <v>Moderate</v>
      </c>
      <c r="K126">
        <v>4</v>
      </c>
      <c r="L126" t="s">
        <v>41</v>
      </c>
      <c r="M126">
        <v>2</v>
      </c>
      <c r="N126">
        <v>1</v>
      </c>
      <c r="O126">
        <v>2</v>
      </c>
      <c r="P126" t="s">
        <v>42</v>
      </c>
      <c r="Q126">
        <v>3</v>
      </c>
      <c r="R126" s="11">
        <v>249</v>
      </c>
      <c r="S126" s="14">
        <v>76</v>
      </c>
      <c r="T126" s="13">
        <v>6172</v>
      </c>
      <c r="U126" s="13">
        <f t="shared" si="6"/>
        <v>74064</v>
      </c>
      <c r="V126" s="14">
        <v>20739</v>
      </c>
      <c r="W126">
        <v>4</v>
      </c>
      <c r="X126" s="8" t="s">
        <v>38</v>
      </c>
      <c r="Y126" s="15">
        <v>0.18</v>
      </c>
      <c r="Z126">
        <v>3</v>
      </c>
      <c r="AA126">
        <v>2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 t="str">
        <f t="shared" si="7"/>
        <v>4-7</v>
      </c>
      <c r="AI126">
        <v>7</v>
      </c>
      <c r="AJ126" t="str">
        <f t="shared" si="8"/>
        <v>6-8</v>
      </c>
      <c r="AK126">
        <v>7</v>
      </c>
    </row>
    <row r="127" spans="1:37" x14ac:dyDescent="0.25">
      <c r="A127" s="8">
        <v>126</v>
      </c>
      <c r="B127" t="s">
        <v>52</v>
      </c>
      <c r="C127" t="s">
        <v>45</v>
      </c>
      <c r="D127" s="8">
        <v>26</v>
      </c>
      <c r="E127" t="str">
        <f t="shared" si="9"/>
        <v>26-35</v>
      </c>
      <c r="F127" t="s">
        <v>46</v>
      </c>
      <c r="G127" t="s">
        <v>39</v>
      </c>
      <c r="H127" s="8" t="s">
        <v>48</v>
      </c>
      <c r="I127" s="10">
        <v>6</v>
      </c>
      <c r="J127" t="str">
        <f t="shared" si="5"/>
        <v>Moderate</v>
      </c>
      <c r="K127">
        <v>3</v>
      </c>
      <c r="L127" t="s">
        <v>50</v>
      </c>
      <c r="M127">
        <v>3</v>
      </c>
      <c r="N127">
        <v>2</v>
      </c>
      <c r="O127">
        <v>1</v>
      </c>
      <c r="P127" t="s">
        <v>49</v>
      </c>
      <c r="Q127">
        <v>2</v>
      </c>
      <c r="R127" s="11">
        <v>841</v>
      </c>
      <c r="S127" s="14">
        <v>46</v>
      </c>
      <c r="T127" s="13">
        <v>2368</v>
      </c>
      <c r="U127" s="13">
        <f t="shared" si="6"/>
        <v>28416</v>
      </c>
      <c r="V127" s="14">
        <v>23300</v>
      </c>
      <c r="W127">
        <v>1</v>
      </c>
      <c r="X127" s="8" t="s">
        <v>46</v>
      </c>
      <c r="Y127" s="15">
        <v>0.19</v>
      </c>
      <c r="Z127">
        <v>3</v>
      </c>
      <c r="AA127">
        <v>3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 t="str">
        <f t="shared" si="7"/>
        <v>4-7</v>
      </c>
      <c r="AI127">
        <v>4</v>
      </c>
      <c r="AJ127" t="str">
        <f t="shared" si="8"/>
        <v>3-5</v>
      </c>
      <c r="AK127">
        <v>3</v>
      </c>
    </row>
    <row r="128" spans="1:37" x14ac:dyDescent="0.25">
      <c r="A128" s="8">
        <v>127</v>
      </c>
      <c r="B128" t="s">
        <v>52</v>
      </c>
      <c r="C128" t="s">
        <v>45</v>
      </c>
      <c r="D128" s="8">
        <v>58</v>
      </c>
      <c r="E128" t="str">
        <f t="shared" si="9"/>
        <v>55+</v>
      </c>
      <c r="F128" t="s">
        <v>38</v>
      </c>
      <c r="G128" t="s">
        <v>39</v>
      </c>
      <c r="H128" s="8" t="s">
        <v>48</v>
      </c>
      <c r="I128" s="10">
        <v>23</v>
      </c>
      <c r="J128" t="str">
        <f t="shared" si="5"/>
        <v>Far</v>
      </c>
      <c r="K128">
        <v>4</v>
      </c>
      <c r="L128" t="s">
        <v>53</v>
      </c>
      <c r="M128">
        <v>4</v>
      </c>
      <c r="N128">
        <v>3</v>
      </c>
      <c r="O128">
        <v>3</v>
      </c>
      <c r="P128" t="s">
        <v>56</v>
      </c>
      <c r="Q128">
        <v>4</v>
      </c>
      <c r="R128" s="11">
        <v>147</v>
      </c>
      <c r="S128" s="14">
        <v>94</v>
      </c>
      <c r="T128" s="13">
        <v>10312</v>
      </c>
      <c r="U128" s="13">
        <f t="shared" si="6"/>
        <v>123744</v>
      </c>
      <c r="V128" s="14">
        <v>3465</v>
      </c>
      <c r="W128">
        <v>1</v>
      </c>
      <c r="X128" s="8" t="s">
        <v>46</v>
      </c>
      <c r="Y128" s="15">
        <v>0.12</v>
      </c>
      <c r="Z128">
        <v>3</v>
      </c>
      <c r="AA128">
        <v>4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 t="str">
        <f t="shared" si="7"/>
        <v>8-11</v>
      </c>
      <c r="AI128">
        <v>15</v>
      </c>
      <c r="AJ128" t="str">
        <f t="shared" si="8"/>
        <v>12-15</v>
      </c>
      <c r="AK128">
        <v>6</v>
      </c>
    </row>
    <row r="129" spans="1:37" x14ac:dyDescent="0.25">
      <c r="A129" s="8">
        <v>128</v>
      </c>
      <c r="B129" t="s">
        <v>44</v>
      </c>
      <c r="C129" t="s">
        <v>37</v>
      </c>
      <c r="D129" s="8">
        <v>19</v>
      </c>
      <c r="E129" t="str">
        <f t="shared" si="9"/>
        <v>18-25</v>
      </c>
      <c r="F129" t="s">
        <v>38</v>
      </c>
      <c r="G129" t="s">
        <v>39</v>
      </c>
      <c r="H129" s="8" t="s">
        <v>40</v>
      </c>
      <c r="I129" s="10">
        <v>22</v>
      </c>
      <c r="J129" t="str">
        <f t="shared" si="5"/>
        <v>Far</v>
      </c>
      <c r="K129">
        <v>1</v>
      </c>
      <c r="L129" t="s">
        <v>62</v>
      </c>
      <c r="M129">
        <v>4</v>
      </c>
      <c r="N129">
        <v>3</v>
      </c>
      <c r="O129">
        <v>1</v>
      </c>
      <c r="P129" t="s">
        <v>60</v>
      </c>
      <c r="Q129">
        <v>3</v>
      </c>
      <c r="R129" s="11">
        <v>528</v>
      </c>
      <c r="S129" s="14">
        <v>50</v>
      </c>
      <c r="T129" s="13">
        <v>1675</v>
      </c>
      <c r="U129" s="13">
        <f t="shared" si="6"/>
        <v>20100</v>
      </c>
      <c r="V129" s="14">
        <v>26820</v>
      </c>
      <c r="W129">
        <v>1</v>
      </c>
      <c r="X129" s="8" t="s">
        <v>38</v>
      </c>
      <c r="Y129" s="15">
        <v>0.19</v>
      </c>
      <c r="Z129">
        <v>3</v>
      </c>
      <c r="AA129">
        <v>4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 t="str">
        <f t="shared" si="7"/>
        <v>0-3</v>
      </c>
      <c r="AI129">
        <v>0</v>
      </c>
      <c r="AJ129" t="str">
        <f t="shared" si="8"/>
        <v>0-2</v>
      </c>
      <c r="AK129">
        <v>0</v>
      </c>
    </row>
    <row r="130" spans="1:37" x14ac:dyDescent="0.25">
      <c r="A130" s="8">
        <v>129</v>
      </c>
      <c r="B130" t="s">
        <v>44</v>
      </c>
      <c r="C130" t="s">
        <v>45</v>
      </c>
      <c r="D130" s="8">
        <v>22</v>
      </c>
      <c r="E130" t="str">
        <f t="shared" si="9"/>
        <v>18-25</v>
      </c>
      <c r="F130" t="s">
        <v>46</v>
      </c>
      <c r="G130" t="s">
        <v>39</v>
      </c>
      <c r="H130" s="8" t="s">
        <v>48</v>
      </c>
      <c r="I130" s="10">
        <v>2</v>
      </c>
      <c r="J130" t="str">
        <f t="shared" si="5"/>
        <v>Near</v>
      </c>
      <c r="K130">
        <v>1</v>
      </c>
      <c r="L130" t="s">
        <v>63</v>
      </c>
      <c r="M130">
        <v>3</v>
      </c>
      <c r="N130">
        <v>3</v>
      </c>
      <c r="O130">
        <v>1</v>
      </c>
      <c r="P130" t="s">
        <v>51</v>
      </c>
      <c r="Q130">
        <v>4</v>
      </c>
      <c r="R130" s="11">
        <v>594</v>
      </c>
      <c r="S130" s="14">
        <v>100</v>
      </c>
      <c r="T130" s="13">
        <v>2523</v>
      </c>
      <c r="U130" s="13">
        <f t="shared" si="6"/>
        <v>30276</v>
      </c>
      <c r="V130" s="14">
        <v>19299</v>
      </c>
      <c r="W130">
        <v>0</v>
      </c>
      <c r="X130" s="8" t="s">
        <v>46</v>
      </c>
      <c r="Y130" s="15">
        <v>0.14000000000000001</v>
      </c>
      <c r="Z130">
        <v>3</v>
      </c>
      <c r="AA130">
        <v>3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 t="str">
        <f t="shared" si="7"/>
        <v>0-3</v>
      </c>
      <c r="AI130">
        <v>2</v>
      </c>
      <c r="AJ130" t="str">
        <f t="shared" si="8"/>
        <v>0-2</v>
      </c>
      <c r="AK130">
        <v>1</v>
      </c>
    </row>
    <row r="131" spans="1:37" x14ac:dyDescent="0.25">
      <c r="A131" s="8">
        <v>130</v>
      </c>
      <c r="B131" t="s">
        <v>52</v>
      </c>
      <c r="C131" t="s">
        <v>45</v>
      </c>
      <c r="D131" s="8">
        <v>49</v>
      </c>
      <c r="E131" t="str">
        <f t="shared" si="9"/>
        <v>46-55</v>
      </c>
      <c r="F131" t="s">
        <v>46</v>
      </c>
      <c r="G131" t="s">
        <v>39</v>
      </c>
      <c r="H131" s="8" t="s">
        <v>48</v>
      </c>
      <c r="I131" s="10">
        <v>20</v>
      </c>
      <c r="J131" t="str">
        <f t="shared" ref="J131:J194" si="10">IF(I131&lt;=5,"Near",IF(I131&lt;=15,"Moderate",IF(I131&gt;15,"Far")))</f>
        <v>Far</v>
      </c>
      <c r="K131">
        <v>4</v>
      </c>
      <c r="L131" t="s">
        <v>53</v>
      </c>
      <c r="M131">
        <v>3</v>
      </c>
      <c r="N131">
        <v>3</v>
      </c>
      <c r="O131">
        <v>2</v>
      </c>
      <c r="P131" t="s">
        <v>55</v>
      </c>
      <c r="Q131">
        <v>1</v>
      </c>
      <c r="R131" s="11">
        <v>470</v>
      </c>
      <c r="S131" s="14">
        <v>96</v>
      </c>
      <c r="T131" s="13">
        <v>6567</v>
      </c>
      <c r="U131" s="13">
        <f t="shared" ref="U131:U194" si="11">T131*12</f>
        <v>78804</v>
      </c>
      <c r="V131" s="14">
        <v>5549</v>
      </c>
      <c r="W131">
        <v>1</v>
      </c>
      <c r="X131" s="8" t="s">
        <v>46</v>
      </c>
      <c r="Y131" s="15">
        <v>0.14000000000000001</v>
      </c>
      <c r="Z131">
        <v>3</v>
      </c>
      <c r="AA131">
        <v>3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 t="str">
        <f t="shared" ref="AH131:AH194" si="12">IF(AG:AG&lt;=3,"0-3", IF(AG:AG&lt;=7,"4-7", IF(AG:AG&lt;=11,"8-11", IF(AG:AG&lt;=15,"12-15","16-19"))))</f>
        <v>8-11</v>
      </c>
      <c r="AI131">
        <v>5</v>
      </c>
      <c r="AJ131" t="str">
        <f t="shared" ref="AJ131:AJ194" si="13">IF(AI:AI&lt;=2,"0-2",IF(AI:AI&lt;=5,"3-5", IF(AI:AI&lt;=8,"6-8", IF(AI:AI&lt;=11,"9-11","12-15"))))</f>
        <v>3-5</v>
      </c>
      <c r="AK131">
        <v>11</v>
      </c>
    </row>
    <row r="132" spans="1:37" x14ac:dyDescent="0.25">
      <c r="A132" s="8">
        <v>131</v>
      </c>
      <c r="B132" t="s">
        <v>52</v>
      </c>
      <c r="C132" t="s">
        <v>37</v>
      </c>
      <c r="D132" s="8">
        <v>43</v>
      </c>
      <c r="E132" t="str">
        <f t="shared" ref="E132:E195" si="14">IF(D132&lt;25,"18-25",IF(D132&lt;=35,"26-35",IF(D132&lt;=45,"36-45",IF(D132&lt;=55,"46-55",IF(D132&gt;55,"55+")))))</f>
        <v>36-45</v>
      </c>
      <c r="F132" t="s">
        <v>46</v>
      </c>
      <c r="G132" t="s">
        <v>47</v>
      </c>
      <c r="H132" s="8" t="s">
        <v>48</v>
      </c>
      <c r="I132" s="10">
        <v>28</v>
      </c>
      <c r="J132" t="str">
        <f t="shared" si="10"/>
        <v>Far</v>
      </c>
      <c r="K132">
        <v>3</v>
      </c>
      <c r="L132" t="s">
        <v>53</v>
      </c>
      <c r="M132">
        <v>2</v>
      </c>
      <c r="N132">
        <v>4</v>
      </c>
      <c r="O132">
        <v>1</v>
      </c>
      <c r="P132" t="s">
        <v>49</v>
      </c>
      <c r="Q132">
        <v>3</v>
      </c>
      <c r="R132" s="11">
        <v>957</v>
      </c>
      <c r="S132" s="14">
        <v>72</v>
      </c>
      <c r="T132" s="13">
        <v>4739</v>
      </c>
      <c r="U132" s="13">
        <f t="shared" si="11"/>
        <v>56868</v>
      </c>
      <c r="V132" s="14">
        <v>16090</v>
      </c>
      <c r="W132">
        <v>4</v>
      </c>
      <c r="X132" s="8" t="s">
        <v>46</v>
      </c>
      <c r="Y132" s="15">
        <v>0.12</v>
      </c>
      <c r="Z132">
        <v>3</v>
      </c>
      <c r="AA132">
        <v>4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 t="str">
        <f t="shared" si="12"/>
        <v>0-3</v>
      </c>
      <c r="AI132">
        <v>1</v>
      </c>
      <c r="AJ132" t="str">
        <f t="shared" si="13"/>
        <v>0-2</v>
      </c>
      <c r="AK132">
        <v>2</v>
      </c>
    </row>
    <row r="133" spans="1:37" x14ac:dyDescent="0.25">
      <c r="A133" s="8">
        <v>132</v>
      </c>
      <c r="B133" t="s">
        <v>52</v>
      </c>
      <c r="C133" t="s">
        <v>37</v>
      </c>
      <c r="D133" s="8">
        <v>50</v>
      </c>
      <c r="E133" t="str">
        <f t="shared" si="14"/>
        <v>46-55</v>
      </c>
      <c r="F133" t="s">
        <v>46</v>
      </c>
      <c r="G133" t="s">
        <v>47</v>
      </c>
      <c r="H133" s="8" t="s">
        <v>40</v>
      </c>
      <c r="I133" s="10">
        <v>12</v>
      </c>
      <c r="J133" t="str">
        <f t="shared" si="10"/>
        <v>Moderate</v>
      </c>
      <c r="K133">
        <v>3</v>
      </c>
      <c r="L133" t="s">
        <v>62</v>
      </c>
      <c r="M133">
        <v>3</v>
      </c>
      <c r="N133">
        <v>3</v>
      </c>
      <c r="O133">
        <v>3</v>
      </c>
      <c r="P133" t="s">
        <v>42</v>
      </c>
      <c r="Q133">
        <v>4</v>
      </c>
      <c r="R133" s="11">
        <v>809</v>
      </c>
      <c r="S133" s="14">
        <v>77</v>
      </c>
      <c r="T133" s="13">
        <v>9208</v>
      </c>
      <c r="U133" s="13">
        <f t="shared" si="11"/>
        <v>110496</v>
      </c>
      <c r="V133" s="14">
        <v>6645</v>
      </c>
      <c r="W133">
        <v>4</v>
      </c>
      <c r="X133" s="8" t="s">
        <v>46</v>
      </c>
      <c r="Y133" s="15">
        <v>0.11</v>
      </c>
      <c r="Z133">
        <v>3</v>
      </c>
      <c r="AA133">
        <v>4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 t="str">
        <f t="shared" si="12"/>
        <v>0-3</v>
      </c>
      <c r="AI133">
        <v>2</v>
      </c>
      <c r="AJ133" t="str">
        <f t="shared" si="13"/>
        <v>0-2</v>
      </c>
      <c r="AK133">
        <v>1</v>
      </c>
    </row>
    <row r="134" spans="1:37" x14ac:dyDescent="0.25">
      <c r="A134" s="8">
        <v>133</v>
      </c>
      <c r="B134" t="s">
        <v>52</v>
      </c>
      <c r="C134" t="s">
        <v>45</v>
      </c>
      <c r="D134" s="8">
        <v>31</v>
      </c>
      <c r="E134" t="str">
        <f t="shared" si="14"/>
        <v>26-35</v>
      </c>
      <c r="F134" t="s">
        <v>38</v>
      </c>
      <c r="G134" t="s">
        <v>39</v>
      </c>
      <c r="H134" s="8" t="s">
        <v>40</v>
      </c>
      <c r="I134" s="10">
        <v>20</v>
      </c>
      <c r="J134" t="str">
        <f t="shared" si="10"/>
        <v>Far</v>
      </c>
      <c r="K134">
        <v>3</v>
      </c>
      <c r="L134" t="s">
        <v>41</v>
      </c>
      <c r="M134">
        <v>2</v>
      </c>
      <c r="N134">
        <v>1</v>
      </c>
      <c r="O134">
        <v>2</v>
      </c>
      <c r="P134" t="s">
        <v>42</v>
      </c>
      <c r="Q134">
        <v>3</v>
      </c>
      <c r="R134" s="11">
        <v>542</v>
      </c>
      <c r="S134" s="14">
        <v>71</v>
      </c>
      <c r="T134" s="13">
        <v>4559</v>
      </c>
      <c r="U134" s="13">
        <f t="shared" si="11"/>
        <v>54708</v>
      </c>
      <c r="V134" s="14">
        <v>24788</v>
      </c>
      <c r="W134">
        <v>3</v>
      </c>
      <c r="X134" s="8" t="s">
        <v>38</v>
      </c>
      <c r="Y134" s="15">
        <v>0.11</v>
      </c>
      <c r="Z134">
        <v>3</v>
      </c>
      <c r="AA134">
        <v>3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 t="str">
        <f t="shared" si="12"/>
        <v>0-3</v>
      </c>
      <c r="AI134">
        <v>2</v>
      </c>
      <c r="AJ134" t="str">
        <f t="shared" si="13"/>
        <v>0-2</v>
      </c>
      <c r="AK134">
        <v>2</v>
      </c>
    </row>
    <row r="135" spans="1:37" x14ac:dyDescent="0.25">
      <c r="A135" s="8">
        <v>134</v>
      </c>
      <c r="B135" t="s">
        <v>44</v>
      </c>
      <c r="C135" t="s">
        <v>54</v>
      </c>
      <c r="D135" s="8">
        <v>41</v>
      </c>
      <c r="E135" t="str">
        <f t="shared" si="14"/>
        <v>36-45</v>
      </c>
      <c r="F135" t="s">
        <v>46</v>
      </c>
      <c r="G135" t="s">
        <v>39</v>
      </c>
      <c r="H135" s="8" t="s">
        <v>40</v>
      </c>
      <c r="I135" s="10">
        <v>9</v>
      </c>
      <c r="J135" t="str">
        <f t="shared" si="10"/>
        <v>Moderate</v>
      </c>
      <c r="K135">
        <v>1</v>
      </c>
      <c r="L135" t="s">
        <v>41</v>
      </c>
      <c r="M135">
        <v>3</v>
      </c>
      <c r="N135">
        <v>3</v>
      </c>
      <c r="O135">
        <v>3</v>
      </c>
      <c r="P135" t="s">
        <v>42</v>
      </c>
      <c r="Q135">
        <v>3</v>
      </c>
      <c r="R135" s="11">
        <v>802</v>
      </c>
      <c r="S135" s="14">
        <v>96</v>
      </c>
      <c r="T135" s="13">
        <v>8189</v>
      </c>
      <c r="U135" s="13">
        <f t="shared" si="11"/>
        <v>98268</v>
      </c>
      <c r="V135" s="14">
        <v>21196</v>
      </c>
      <c r="W135">
        <v>3</v>
      </c>
      <c r="X135" s="8" t="s">
        <v>38</v>
      </c>
      <c r="Y135" s="15">
        <v>0.13</v>
      </c>
      <c r="Z135">
        <v>3</v>
      </c>
      <c r="AA135">
        <v>3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 t="str">
        <f t="shared" si="12"/>
        <v>4-7</v>
      </c>
      <c r="AI135">
        <v>0</v>
      </c>
      <c r="AJ135" t="str">
        <f t="shared" si="13"/>
        <v>0-2</v>
      </c>
      <c r="AK135">
        <v>7</v>
      </c>
    </row>
    <row r="136" spans="1:37" x14ac:dyDescent="0.25">
      <c r="A136" s="8">
        <v>135</v>
      </c>
      <c r="B136" t="s">
        <v>52</v>
      </c>
      <c r="C136" t="s">
        <v>45</v>
      </c>
      <c r="D136" s="8">
        <v>26</v>
      </c>
      <c r="E136" t="str">
        <f t="shared" si="14"/>
        <v>26-35</v>
      </c>
      <c r="F136" t="s">
        <v>46</v>
      </c>
      <c r="G136" t="s">
        <v>39</v>
      </c>
      <c r="H136" s="8" t="s">
        <v>64</v>
      </c>
      <c r="I136" s="10">
        <v>25</v>
      </c>
      <c r="J136" t="str">
        <f t="shared" si="10"/>
        <v>Far</v>
      </c>
      <c r="K136">
        <v>1</v>
      </c>
      <c r="L136" t="s">
        <v>41</v>
      </c>
      <c r="M136">
        <v>3</v>
      </c>
      <c r="N136">
        <v>3</v>
      </c>
      <c r="O136">
        <v>1</v>
      </c>
      <c r="P136" t="s">
        <v>64</v>
      </c>
      <c r="Q136">
        <v>3</v>
      </c>
      <c r="R136" s="11">
        <v>1355</v>
      </c>
      <c r="S136" s="14">
        <v>61</v>
      </c>
      <c r="T136" s="13">
        <v>2942</v>
      </c>
      <c r="U136" s="13">
        <f t="shared" si="11"/>
        <v>35304</v>
      </c>
      <c r="V136" s="14">
        <v>8916</v>
      </c>
      <c r="W136">
        <v>1</v>
      </c>
      <c r="X136" s="8" t="s">
        <v>46</v>
      </c>
      <c r="Y136" s="15">
        <v>0.23</v>
      </c>
      <c r="Z136">
        <v>4</v>
      </c>
      <c r="AA136">
        <v>4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 t="str">
        <f t="shared" si="12"/>
        <v>4-7</v>
      </c>
      <c r="AI136">
        <v>5</v>
      </c>
      <c r="AJ136" t="str">
        <f t="shared" si="13"/>
        <v>3-5</v>
      </c>
      <c r="AK136">
        <v>7</v>
      </c>
    </row>
    <row r="137" spans="1:37" x14ac:dyDescent="0.25">
      <c r="A137" s="8">
        <v>136</v>
      </c>
      <c r="B137" t="s">
        <v>44</v>
      </c>
      <c r="C137" t="s">
        <v>54</v>
      </c>
      <c r="D137" s="8">
        <v>36</v>
      </c>
      <c r="E137" t="str">
        <f t="shared" si="14"/>
        <v>36-45</v>
      </c>
      <c r="F137" t="s">
        <v>46</v>
      </c>
      <c r="G137" t="s">
        <v>39</v>
      </c>
      <c r="H137" s="8" t="s">
        <v>48</v>
      </c>
      <c r="I137" s="10">
        <v>6</v>
      </c>
      <c r="J137" t="str">
        <f t="shared" si="10"/>
        <v>Moderate</v>
      </c>
      <c r="K137">
        <v>2</v>
      </c>
      <c r="L137" t="s">
        <v>53</v>
      </c>
      <c r="M137">
        <v>2</v>
      </c>
      <c r="N137">
        <v>3</v>
      </c>
      <c r="O137">
        <v>2</v>
      </c>
      <c r="P137" t="s">
        <v>55</v>
      </c>
      <c r="Q137">
        <v>2</v>
      </c>
      <c r="R137" s="11">
        <v>216</v>
      </c>
      <c r="S137" s="14">
        <v>84</v>
      </c>
      <c r="T137" s="13">
        <v>4941</v>
      </c>
      <c r="U137" s="13">
        <f t="shared" si="11"/>
        <v>59292</v>
      </c>
      <c r="V137" s="14">
        <v>2819</v>
      </c>
      <c r="W137">
        <v>6</v>
      </c>
      <c r="X137" s="8" t="s">
        <v>46</v>
      </c>
      <c r="Y137" s="15">
        <v>0.2</v>
      </c>
      <c r="Z137">
        <v>4</v>
      </c>
      <c r="AA137">
        <v>4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 t="str">
        <f t="shared" si="12"/>
        <v>0-3</v>
      </c>
      <c r="AI137">
        <v>0</v>
      </c>
      <c r="AJ137" t="str">
        <f t="shared" si="13"/>
        <v>0-2</v>
      </c>
      <c r="AK137">
        <v>1</v>
      </c>
    </row>
    <row r="138" spans="1:37" x14ac:dyDescent="0.25">
      <c r="A138" s="8">
        <v>137</v>
      </c>
      <c r="B138" t="s">
        <v>44</v>
      </c>
      <c r="C138" t="s">
        <v>37</v>
      </c>
      <c r="D138" s="8">
        <v>51</v>
      </c>
      <c r="E138" t="str">
        <f t="shared" si="14"/>
        <v>46-55</v>
      </c>
      <c r="F138" t="s">
        <v>38</v>
      </c>
      <c r="G138" t="s">
        <v>47</v>
      </c>
      <c r="H138" s="8" t="s">
        <v>48</v>
      </c>
      <c r="I138" s="10">
        <v>8</v>
      </c>
      <c r="J138" t="str">
        <f t="shared" si="10"/>
        <v>Moderate</v>
      </c>
      <c r="K138">
        <v>4</v>
      </c>
      <c r="L138" t="s">
        <v>41</v>
      </c>
      <c r="M138">
        <v>1</v>
      </c>
      <c r="N138">
        <v>1</v>
      </c>
      <c r="O138">
        <v>3</v>
      </c>
      <c r="P138" t="s">
        <v>55</v>
      </c>
      <c r="Q138">
        <v>4</v>
      </c>
      <c r="R138" s="11">
        <v>1150</v>
      </c>
      <c r="S138" s="14">
        <v>53</v>
      </c>
      <c r="T138" s="13">
        <v>10650</v>
      </c>
      <c r="U138" s="13">
        <f t="shared" si="11"/>
        <v>127800</v>
      </c>
      <c r="V138" s="14">
        <v>25150</v>
      </c>
      <c r="W138">
        <v>2</v>
      </c>
      <c r="X138" s="8" t="s">
        <v>46</v>
      </c>
      <c r="Y138" s="15">
        <v>0.15</v>
      </c>
      <c r="Z138">
        <v>3</v>
      </c>
      <c r="AA138">
        <v>4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 t="str">
        <f t="shared" si="12"/>
        <v>0-3</v>
      </c>
      <c r="AI138">
        <v>0</v>
      </c>
      <c r="AJ138" t="str">
        <f t="shared" si="13"/>
        <v>0-2</v>
      </c>
      <c r="AK138">
        <v>3</v>
      </c>
    </row>
    <row r="139" spans="1:37" x14ac:dyDescent="0.25">
      <c r="A139" s="8">
        <v>138</v>
      </c>
      <c r="B139" t="s">
        <v>52</v>
      </c>
      <c r="C139" t="s">
        <v>45</v>
      </c>
      <c r="D139" s="8">
        <v>39</v>
      </c>
      <c r="E139" t="str">
        <f t="shared" si="14"/>
        <v>36-45</v>
      </c>
      <c r="F139" t="s">
        <v>46</v>
      </c>
      <c r="G139" t="s">
        <v>39</v>
      </c>
      <c r="H139" s="8" t="s">
        <v>40</v>
      </c>
      <c r="I139" s="10">
        <v>4</v>
      </c>
      <c r="J139" t="str">
        <f t="shared" si="10"/>
        <v>Near</v>
      </c>
      <c r="K139">
        <v>4</v>
      </c>
      <c r="L139" t="s">
        <v>41</v>
      </c>
      <c r="M139">
        <v>4</v>
      </c>
      <c r="N139">
        <v>2</v>
      </c>
      <c r="O139">
        <v>2</v>
      </c>
      <c r="P139" t="s">
        <v>42</v>
      </c>
      <c r="Q139">
        <v>3</v>
      </c>
      <c r="R139" s="11">
        <v>1329</v>
      </c>
      <c r="S139" s="14">
        <v>47</v>
      </c>
      <c r="T139" s="13">
        <v>5902</v>
      </c>
      <c r="U139" s="13">
        <f t="shared" si="11"/>
        <v>70824</v>
      </c>
      <c r="V139" s="14">
        <v>14590</v>
      </c>
      <c r="W139">
        <v>4</v>
      </c>
      <c r="X139" s="8" t="s">
        <v>46</v>
      </c>
      <c r="Y139" s="15">
        <v>0.14000000000000001</v>
      </c>
      <c r="Z139">
        <v>3</v>
      </c>
      <c r="AA139">
        <v>3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 t="str">
        <f t="shared" si="12"/>
        <v>8-11</v>
      </c>
      <c r="AI139">
        <v>5</v>
      </c>
      <c r="AJ139" t="str">
        <f t="shared" si="13"/>
        <v>3-5</v>
      </c>
      <c r="AK139">
        <v>9</v>
      </c>
    </row>
    <row r="140" spans="1:37" x14ac:dyDescent="0.25">
      <c r="A140" s="8">
        <v>139</v>
      </c>
      <c r="B140" t="s">
        <v>44</v>
      </c>
      <c r="C140" t="s">
        <v>45</v>
      </c>
      <c r="D140" s="8">
        <v>25</v>
      </c>
      <c r="E140" t="str">
        <f t="shared" si="14"/>
        <v>26-35</v>
      </c>
      <c r="F140" t="s">
        <v>46</v>
      </c>
      <c r="G140" t="s">
        <v>39</v>
      </c>
      <c r="H140" s="8" t="s">
        <v>40</v>
      </c>
      <c r="I140" s="10">
        <v>28</v>
      </c>
      <c r="J140" t="str">
        <f t="shared" si="10"/>
        <v>Far</v>
      </c>
      <c r="K140">
        <v>3</v>
      </c>
      <c r="L140" t="s">
        <v>41</v>
      </c>
      <c r="M140">
        <v>1</v>
      </c>
      <c r="N140">
        <v>2</v>
      </c>
      <c r="O140">
        <v>2</v>
      </c>
      <c r="P140" t="s">
        <v>42</v>
      </c>
      <c r="Q140">
        <v>3</v>
      </c>
      <c r="R140" s="11">
        <v>959</v>
      </c>
      <c r="S140" s="14">
        <v>41</v>
      </c>
      <c r="T140" s="13">
        <v>8639</v>
      </c>
      <c r="U140" s="13">
        <f t="shared" si="11"/>
        <v>103668</v>
      </c>
      <c r="V140" s="14">
        <v>24835</v>
      </c>
      <c r="W140">
        <v>2</v>
      </c>
      <c r="X140" s="8" t="s">
        <v>46</v>
      </c>
      <c r="Y140" s="15">
        <v>0.18</v>
      </c>
      <c r="Z140">
        <v>3</v>
      </c>
      <c r="AA140">
        <v>4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 t="str">
        <f t="shared" si="12"/>
        <v>0-3</v>
      </c>
      <c r="AI140">
        <v>2</v>
      </c>
      <c r="AJ140" t="str">
        <f t="shared" si="13"/>
        <v>0-2</v>
      </c>
      <c r="AK140">
        <v>2</v>
      </c>
    </row>
    <row r="141" spans="1:37" x14ac:dyDescent="0.25">
      <c r="A141" s="8">
        <v>140</v>
      </c>
      <c r="B141" t="s">
        <v>44</v>
      </c>
      <c r="C141" t="s">
        <v>45</v>
      </c>
      <c r="D141" s="8">
        <v>30</v>
      </c>
      <c r="E141" t="str">
        <f t="shared" si="14"/>
        <v>26-35</v>
      </c>
      <c r="F141" t="s">
        <v>46</v>
      </c>
      <c r="G141" t="s">
        <v>39</v>
      </c>
      <c r="H141" s="8" t="s">
        <v>64</v>
      </c>
      <c r="I141" s="10">
        <v>9</v>
      </c>
      <c r="J141" t="str">
        <f t="shared" si="10"/>
        <v>Moderate</v>
      </c>
      <c r="K141">
        <v>3</v>
      </c>
      <c r="L141" t="s">
        <v>64</v>
      </c>
      <c r="M141">
        <v>3</v>
      </c>
      <c r="N141">
        <v>3</v>
      </c>
      <c r="O141">
        <v>2</v>
      </c>
      <c r="P141" t="s">
        <v>64</v>
      </c>
      <c r="Q141">
        <v>4</v>
      </c>
      <c r="R141" s="11">
        <v>1240</v>
      </c>
      <c r="S141" s="14">
        <v>48</v>
      </c>
      <c r="T141" s="13">
        <v>6347</v>
      </c>
      <c r="U141" s="13">
        <f t="shared" si="11"/>
        <v>76164</v>
      </c>
      <c r="V141" s="14">
        <v>13982</v>
      </c>
      <c r="W141">
        <v>0</v>
      </c>
      <c r="X141" s="8" t="s">
        <v>38</v>
      </c>
      <c r="Y141" s="15">
        <v>0.19</v>
      </c>
      <c r="Z141">
        <v>3</v>
      </c>
      <c r="AA141">
        <v>4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 t="str">
        <f t="shared" si="12"/>
        <v>8-11</v>
      </c>
      <c r="AI141">
        <v>4</v>
      </c>
      <c r="AJ141" t="str">
        <f t="shared" si="13"/>
        <v>3-5</v>
      </c>
      <c r="AK141">
        <v>7</v>
      </c>
    </row>
    <row r="142" spans="1:37" x14ac:dyDescent="0.25">
      <c r="A142" s="8">
        <v>141</v>
      </c>
      <c r="B142" t="s">
        <v>52</v>
      </c>
      <c r="C142" t="s">
        <v>37</v>
      </c>
      <c r="D142" s="8">
        <v>32</v>
      </c>
      <c r="E142" t="str">
        <f t="shared" si="14"/>
        <v>26-35</v>
      </c>
      <c r="F142" t="s">
        <v>38</v>
      </c>
      <c r="G142" t="s">
        <v>39</v>
      </c>
      <c r="H142" s="8" t="s">
        <v>48</v>
      </c>
      <c r="I142" s="10">
        <v>9</v>
      </c>
      <c r="J142" t="str">
        <f t="shared" si="10"/>
        <v>Moderate</v>
      </c>
      <c r="K142">
        <v>3</v>
      </c>
      <c r="L142" t="s">
        <v>53</v>
      </c>
      <c r="M142">
        <v>1</v>
      </c>
      <c r="N142">
        <v>3</v>
      </c>
      <c r="O142">
        <v>1</v>
      </c>
      <c r="P142" t="s">
        <v>51</v>
      </c>
      <c r="Q142">
        <v>1</v>
      </c>
      <c r="R142" s="11">
        <v>1033</v>
      </c>
      <c r="S142" s="14">
        <v>41</v>
      </c>
      <c r="T142" s="13">
        <v>4200</v>
      </c>
      <c r="U142" s="13">
        <f t="shared" si="11"/>
        <v>50400</v>
      </c>
      <c r="V142" s="14">
        <v>10224</v>
      </c>
      <c r="W142">
        <v>7</v>
      </c>
      <c r="X142" s="8" t="s">
        <v>46</v>
      </c>
      <c r="Y142" s="15">
        <v>0.22</v>
      </c>
      <c r="Z142">
        <v>4</v>
      </c>
      <c r="AA142">
        <v>1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 t="str">
        <f t="shared" si="12"/>
        <v>4-7</v>
      </c>
      <c r="AI142">
        <v>0</v>
      </c>
      <c r="AJ142" t="str">
        <f t="shared" si="13"/>
        <v>0-2</v>
      </c>
      <c r="AK142">
        <v>4</v>
      </c>
    </row>
    <row r="143" spans="1:37" x14ac:dyDescent="0.25">
      <c r="A143" s="8">
        <v>142</v>
      </c>
      <c r="B143" t="s">
        <v>44</v>
      </c>
      <c r="C143" t="s">
        <v>37</v>
      </c>
      <c r="D143" s="8">
        <v>45</v>
      </c>
      <c r="E143" t="str">
        <f t="shared" si="14"/>
        <v>36-45</v>
      </c>
      <c r="F143" t="s">
        <v>46</v>
      </c>
      <c r="G143" t="s">
        <v>39</v>
      </c>
      <c r="H143" s="8" t="s">
        <v>48</v>
      </c>
      <c r="I143" s="10">
        <v>29</v>
      </c>
      <c r="J143" t="str">
        <f t="shared" si="10"/>
        <v>Far</v>
      </c>
      <c r="K143">
        <v>3</v>
      </c>
      <c r="L143" t="s">
        <v>53</v>
      </c>
      <c r="M143">
        <v>3</v>
      </c>
      <c r="N143">
        <v>3</v>
      </c>
      <c r="O143">
        <v>1</v>
      </c>
      <c r="P143" t="s">
        <v>49</v>
      </c>
      <c r="Q143">
        <v>4</v>
      </c>
      <c r="R143" s="11">
        <v>1316</v>
      </c>
      <c r="S143" s="14">
        <v>83</v>
      </c>
      <c r="T143" s="13">
        <v>3452</v>
      </c>
      <c r="U143" s="13">
        <f t="shared" si="11"/>
        <v>41424</v>
      </c>
      <c r="V143" s="14">
        <v>9752</v>
      </c>
      <c r="W143">
        <v>5</v>
      </c>
      <c r="X143" s="8" t="s">
        <v>46</v>
      </c>
      <c r="Y143" s="15">
        <v>0.13</v>
      </c>
      <c r="Z143">
        <v>3</v>
      </c>
      <c r="AA143">
        <v>2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 t="str">
        <f t="shared" si="12"/>
        <v>4-7</v>
      </c>
      <c r="AI143">
        <v>0</v>
      </c>
      <c r="AJ143" t="str">
        <f t="shared" si="13"/>
        <v>0-2</v>
      </c>
      <c r="AK143">
        <v>3</v>
      </c>
    </row>
    <row r="144" spans="1:37" x14ac:dyDescent="0.25">
      <c r="A144" s="8">
        <v>143</v>
      </c>
      <c r="B144" t="s">
        <v>52</v>
      </c>
      <c r="C144" t="s">
        <v>37</v>
      </c>
      <c r="D144" s="8">
        <v>38</v>
      </c>
      <c r="E144" t="str">
        <f t="shared" si="14"/>
        <v>36-45</v>
      </c>
      <c r="F144" t="s">
        <v>46</v>
      </c>
      <c r="G144" t="s">
        <v>39</v>
      </c>
      <c r="H144" s="8" t="s">
        <v>48</v>
      </c>
      <c r="I144" s="10">
        <v>3</v>
      </c>
      <c r="J144" t="str">
        <f t="shared" si="10"/>
        <v>Near</v>
      </c>
      <c r="K144">
        <v>5</v>
      </c>
      <c r="L144" t="s">
        <v>63</v>
      </c>
      <c r="M144">
        <v>4</v>
      </c>
      <c r="N144">
        <v>3</v>
      </c>
      <c r="O144">
        <v>2</v>
      </c>
      <c r="P144" t="s">
        <v>49</v>
      </c>
      <c r="Q144">
        <v>3</v>
      </c>
      <c r="R144" s="11">
        <v>364</v>
      </c>
      <c r="S144" s="14">
        <v>32</v>
      </c>
      <c r="T144" s="13">
        <v>4317</v>
      </c>
      <c r="U144" s="13">
        <f t="shared" si="11"/>
        <v>51804</v>
      </c>
      <c r="V144" s="14">
        <v>2302</v>
      </c>
      <c r="W144">
        <v>3</v>
      </c>
      <c r="X144" s="8" t="s">
        <v>38</v>
      </c>
      <c r="Y144" s="15">
        <v>0.2</v>
      </c>
      <c r="Z144">
        <v>4</v>
      </c>
      <c r="AA144">
        <v>2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 t="str">
        <f t="shared" si="12"/>
        <v>0-3</v>
      </c>
      <c r="AI144">
        <v>2</v>
      </c>
      <c r="AJ144" t="str">
        <f t="shared" si="13"/>
        <v>0-2</v>
      </c>
      <c r="AK144">
        <v>2</v>
      </c>
    </row>
    <row r="145" spans="1:37" x14ac:dyDescent="0.25">
      <c r="A145" s="8">
        <v>144</v>
      </c>
      <c r="B145" t="s">
        <v>52</v>
      </c>
      <c r="C145" t="s">
        <v>37</v>
      </c>
      <c r="D145" s="8">
        <v>30</v>
      </c>
      <c r="E145" t="str">
        <f t="shared" si="14"/>
        <v>26-35</v>
      </c>
      <c r="F145" t="s">
        <v>46</v>
      </c>
      <c r="G145" t="s">
        <v>39</v>
      </c>
      <c r="H145" s="8" t="s">
        <v>48</v>
      </c>
      <c r="I145" s="10">
        <v>18</v>
      </c>
      <c r="J145" t="str">
        <f t="shared" si="10"/>
        <v>Far</v>
      </c>
      <c r="K145">
        <v>3</v>
      </c>
      <c r="L145" t="s">
        <v>41</v>
      </c>
      <c r="M145">
        <v>1</v>
      </c>
      <c r="N145">
        <v>3</v>
      </c>
      <c r="O145">
        <v>1</v>
      </c>
      <c r="P145" t="s">
        <v>49</v>
      </c>
      <c r="Q145">
        <v>3</v>
      </c>
      <c r="R145" s="11">
        <v>438</v>
      </c>
      <c r="S145" s="14">
        <v>75</v>
      </c>
      <c r="T145" s="13">
        <v>2632</v>
      </c>
      <c r="U145" s="13">
        <f t="shared" si="11"/>
        <v>31584</v>
      </c>
      <c r="V145" s="14">
        <v>23910</v>
      </c>
      <c r="W145">
        <v>1</v>
      </c>
      <c r="X145" s="8" t="s">
        <v>46</v>
      </c>
      <c r="Y145" s="15">
        <v>0.14000000000000001</v>
      </c>
      <c r="Z145">
        <v>3</v>
      </c>
      <c r="AA145">
        <v>3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 t="str">
        <f t="shared" si="12"/>
        <v>4-7</v>
      </c>
      <c r="AI145">
        <v>0</v>
      </c>
      <c r="AJ145" t="str">
        <f t="shared" si="13"/>
        <v>0-2</v>
      </c>
      <c r="AK145">
        <v>4</v>
      </c>
    </row>
    <row r="146" spans="1:37" x14ac:dyDescent="0.25">
      <c r="A146" s="8">
        <v>145</v>
      </c>
      <c r="B146" t="s">
        <v>44</v>
      </c>
      <c r="C146" t="s">
        <v>54</v>
      </c>
      <c r="D146" s="8">
        <v>32</v>
      </c>
      <c r="E146" t="str">
        <f t="shared" si="14"/>
        <v>26-35</v>
      </c>
      <c r="F146" t="s">
        <v>46</v>
      </c>
      <c r="G146" t="s">
        <v>47</v>
      </c>
      <c r="H146" s="8" t="s">
        <v>40</v>
      </c>
      <c r="I146" s="10">
        <v>9</v>
      </c>
      <c r="J146" t="str">
        <f t="shared" si="10"/>
        <v>Moderate</v>
      </c>
      <c r="K146">
        <v>2</v>
      </c>
      <c r="L146" t="s">
        <v>53</v>
      </c>
      <c r="M146">
        <v>4</v>
      </c>
      <c r="N146">
        <v>1</v>
      </c>
      <c r="O146">
        <v>2</v>
      </c>
      <c r="P146" t="s">
        <v>42</v>
      </c>
      <c r="Q146">
        <v>4</v>
      </c>
      <c r="R146" s="11">
        <v>689</v>
      </c>
      <c r="S146" s="14">
        <v>35</v>
      </c>
      <c r="T146" s="13">
        <v>4668</v>
      </c>
      <c r="U146" s="13">
        <f t="shared" si="11"/>
        <v>56016</v>
      </c>
      <c r="V146" s="14">
        <v>22812</v>
      </c>
      <c r="W146">
        <v>0</v>
      </c>
      <c r="X146" s="8" t="s">
        <v>46</v>
      </c>
      <c r="Y146" s="15">
        <v>0.17</v>
      </c>
      <c r="Z146">
        <v>3</v>
      </c>
      <c r="AA146">
        <v>4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 t="str">
        <f t="shared" si="12"/>
        <v>4-7</v>
      </c>
      <c r="AI146">
        <v>0</v>
      </c>
      <c r="AJ146" t="str">
        <f t="shared" si="13"/>
        <v>0-2</v>
      </c>
      <c r="AK146">
        <v>7</v>
      </c>
    </row>
    <row r="147" spans="1:37" x14ac:dyDescent="0.25">
      <c r="A147" s="8">
        <v>146</v>
      </c>
      <c r="B147" t="s">
        <v>52</v>
      </c>
      <c r="C147" t="s">
        <v>54</v>
      </c>
      <c r="D147" s="8">
        <v>30</v>
      </c>
      <c r="E147" t="str">
        <f t="shared" si="14"/>
        <v>26-35</v>
      </c>
      <c r="F147" t="s">
        <v>46</v>
      </c>
      <c r="G147" t="s">
        <v>39</v>
      </c>
      <c r="H147" s="8" t="s">
        <v>48</v>
      </c>
      <c r="I147" s="10">
        <v>5</v>
      </c>
      <c r="J147" t="str">
        <f t="shared" si="10"/>
        <v>Near</v>
      </c>
      <c r="K147">
        <v>3</v>
      </c>
      <c r="L147" t="s">
        <v>63</v>
      </c>
      <c r="M147">
        <v>4</v>
      </c>
      <c r="N147">
        <v>3</v>
      </c>
      <c r="O147">
        <v>1</v>
      </c>
      <c r="P147" t="s">
        <v>49</v>
      </c>
      <c r="Q147">
        <v>1</v>
      </c>
      <c r="R147" s="11">
        <v>201</v>
      </c>
      <c r="S147" s="14">
        <v>84</v>
      </c>
      <c r="T147" s="13">
        <v>3204</v>
      </c>
      <c r="U147" s="13">
        <f t="shared" si="11"/>
        <v>38448</v>
      </c>
      <c r="V147" s="14">
        <v>10415</v>
      </c>
      <c r="W147">
        <v>5</v>
      </c>
      <c r="X147" s="8" t="s">
        <v>46</v>
      </c>
      <c r="Y147" s="15">
        <v>0.14000000000000001</v>
      </c>
      <c r="Z147">
        <v>3</v>
      </c>
      <c r="AA147">
        <v>4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 t="str">
        <f t="shared" si="12"/>
        <v>0-3</v>
      </c>
      <c r="AI147">
        <v>2</v>
      </c>
      <c r="AJ147" t="str">
        <f t="shared" si="13"/>
        <v>0-2</v>
      </c>
      <c r="AK147">
        <v>2</v>
      </c>
    </row>
    <row r="148" spans="1:37" x14ac:dyDescent="0.25">
      <c r="A148" s="8">
        <v>147</v>
      </c>
      <c r="B148" t="s">
        <v>44</v>
      </c>
      <c r="C148" t="s">
        <v>37</v>
      </c>
      <c r="D148" s="8">
        <v>30</v>
      </c>
      <c r="E148" t="str">
        <f t="shared" si="14"/>
        <v>26-35</v>
      </c>
      <c r="F148" t="s">
        <v>46</v>
      </c>
      <c r="G148" t="s">
        <v>39</v>
      </c>
      <c r="H148" s="8" t="s">
        <v>48</v>
      </c>
      <c r="I148" s="10">
        <v>2</v>
      </c>
      <c r="J148" t="str">
        <f t="shared" si="10"/>
        <v>Near</v>
      </c>
      <c r="K148">
        <v>1</v>
      </c>
      <c r="L148" t="s">
        <v>53</v>
      </c>
      <c r="M148">
        <v>2</v>
      </c>
      <c r="N148">
        <v>2</v>
      </c>
      <c r="O148">
        <v>1</v>
      </c>
      <c r="P148" t="s">
        <v>51</v>
      </c>
      <c r="Q148">
        <v>4</v>
      </c>
      <c r="R148" s="11">
        <v>1427</v>
      </c>
      <c r="S148" s="14">
        <v>35</v>
      </c>
      <c r="T148" s="13">
        <v>2720</v>
      </c>
      <c r="U148" s="13">
        <f t="shared" si="11"/>
        <v>32640</v>
      </c>
      <c r="V148" s="14">
        <v>11162</v>
      </c>
      <c r="W148">
        <v>0</v>
      </c>
      <c r="X148" s="8" t="s">
        <v>46</v>
      </c>
      <c r="Y148" s="15">
        <v>0.13</v>
      </c>
      <c r="Z148">
        <v>3</v>
      </c>
      <c r="AA148">
        <v>4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 t="str">
        <f t="shared" si="12"/>
        <v>0-3</v>
      </c>
      <c r="AI148">
        <v>1</v>
      </c>
      <c r="AJ148" t="str">
        <f t="shared" si="13"/>
        <v>0-2</v>
      </c>
      <c r="AK148">
        <v>2</v>
      </c>
    </row>
    <row r="149" spans="1:37" x14ac:dyDescent="0.25">
      <c r="A149" s="8">
        <v>148</v>
      </c>
      <c r="B149" t="s">
        <v>44</v>
      </c>
      <c r="C149" t="s">
        <v>54</v>
      </c>
      <c r="D149" s="8">
        <v>41</v>
      </c>
      <c r="E149" t="str">
        <f t="shared" si="14"/>
        <v>36-45</v>
      </c>
      <c r="F149" t="s">
        <v>46</v>
      </c>
      <c r="G149" t="s">
        <v>47</v>
      </c>
      <c r="H149" s="8" t="s">
        <v>48</v>
      </c>
      <c r="I149" s="10">
        <v>10</v>
      </c>
      <c r="J149" t="str">
        <f t="shared" si="10"/>
        <v>Moderate</v>
      </c>
      <c r="K149">
        <v>3</v>
      </c>
      <c r="L149" t="s">
        <v>41</v>
      </c>
      <c r="M149">
        <v>4</v>
      </c>
      <c r="N149">
        <v>2</v>
      </c>
      <c r="O149">
        <v>4</v>
      </c>
      <c r="P149" t="s">
        <v>59</v>
      </c>
      <c r="Q149">
        <v>1</v>
      </c>
      <c r="R149" s="11">
        <v>857</v>
      </c>
      <c r="S149" s="14">
        <v>91</v>
      </c>
      <c r="T149" s="13">
        <v>17181</v>
      </c>
      <c r="U149" s="13">
        <f t="shared" si="11"/>
        <v>206172</v>
      </c>
      <c r="V149" s="14">
        <v>12888</v>
      </c>
      <c r="W149">
        <v>4</v>
      </c>
      <c r="X149" s="8" t="s">
        <v>46</v>
      </c>
      <c r="Y149" s="15">
        <v>0.13</v>
      </c>
      <c r="Z149">
        <v>3</v>
      </c>
      <c r="AA149">
        <v>2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 t="str">
        <f t="shared" si="12"/>
        <v>4-7</v>
      </c>
      <c r="AI149">
        <v>7</v>
      </c>
      <c r="AJ149" t="str">
        <f t="shared" si="13"/>
        <v>6-8</v>
      </c>
      <c r="AK149">
        <v>7</v>
      </c>
    </row>
    <row r="150" spans="1:37" x14ac:dyDescent="0.25">
      <c r="A150" s="8">
        <v>149</v>
      </c>
      <c r="B150" t="s">
        <v>44</v>
      </c>
      <c r="C150" t="s">
        <v>45</v>
      </c>
      <c r="D150" s="8">
        <v>41</v>
      </c>
      <c r="E150" t="str">
        <f t="shared" si="14"/>
        <v>36-45</v>
      </c>
      <c r="F150" t="s">
        <v>46</v>
      </c>
      <c r="G150" t="s">
        <v>39</v>
      </c>
      <c r="H150" s="8" t="s">
        <v>48</v>
      </c>
      <c r="I150" s="10">
        <v>9</v>
      </c>
      <c r="J150" t="str">
        <f t="shared" si="10"/>
        <v>Moderate</v>
      </c>
      <c r="K150">
        <v>4</v>
      </c>
      <c r="L150" t="s">
        <v>41</v>
      </c>
      <c r="M150">
        <v>3</v>
      </c>
      <c r="N150">
        <v>3</v>
      </c>
      <c r="O150">
        <v>1</v>
      </c>
      <c r="P150" t="s">
        <v>51</v>
      </c>
      <c r="Q150">
        <v>1</v>
      </c>
      <c r="R150" s="11">
        <v>933</v>
      </c>
      <c r="S150" s="14">
        <v>94</v>
      </c>
      <c r="T150" s="13">
        <v>2238</v>
      </c>
      <c r="U150" s="13">
        <f t="shared" si="11"/>
        <v>26856</v>
      </c>
      <c r="V150" s="14">
        <v>6961</v>
      </c>
      <c r="W150">
        <v>2</v>
      </c>
      <c r="X150" s="8" t="s">
        <v>46</v>
      </c>
      <c r="Y150" s="15">
        <v>0.21</v>
      </c>
      <c r="Z150">
        <v>4</v>
      </c>
      <c r="AA150">
        <v>4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 t="str">
        <f t="shared" si="12"/>
        <v>0-3</v>
      </c>
      <c r="AI150">
        <v>1</v>
      </c>
      <c r="AJ150" t="str">
        <f t="shared" si="13"/>
        <v>0-2</v>
      </c>
      <c r="AK150">
        <v>4</v>
      </c>
    </row>
    <row r="151" spans="1:37" x14ac:dyDescent="0.25">
      <c r="A151" s="8">
        <v>150</v>
      </c>
      <c r="B151" t="s">
        <v>52</v>
      </c>
      <c r="C151" t="s">
        <v>37</v>
      </c>
      <c r="D151" s="8">
        <v>19</v>
      </c>
      <c r="E151" t="str">
        <f t="shared" si="14"/>
        <v>18-25</v>
      </c>
      <c r="F151" t="s">
        <v>46</v>
      </c>
      <c r="G151" t="s">
        <v>39</v>
      </c>
      <c r="H151" s="8" t="s">
        <v>48</v>
      </c>
      <c r="I151" s="10">
        <v>3</v>
      </c>
      <c r="J151" t="str">
        <f t="shared" si="10"/>
        <v>Near</v>
      </c>
      <c r="K151">
        <v>1</v>
      </c>
      <c r="L151" t="s">
        <v>53</v>
      </c>
      <c r="M151">
        <v>2</v>
      </c>
      <c r="N151">
        <v>3</v>
      </c>
      <c r="O151">
        <v>1</v>
      </c>
      <c r="P151" t="s">
        <v>51</v>
      </c>
      <c r="Q151">
        <v>2</v>
      </c>
      <c r="R151" s="11">
        <v>1181</v>
      </c>
      <c r="S151" s="14">
        <v>79</v>
      </c>
      <c r="T151" s="13">
        <v>1483</v>
      </c>
      <c r="U151" s="13">
        <f t="shared" si="11"/>
        <v>17796</v>
      </c>
      <c r="V151" s="14">
        <v>16102</v>
      </c>
      <c r="W151">
        <v>1</v>
      </c>
      <c r="X151" s="8" t="s">
        <v>46</v>
      </c>
      <c r="Y151" s="15">
        <v>0.14000000000000001</v>
      </c>
      <c r="Z151">
        <v>3</v>
      </c>
      <c r="AA151">
        <v>4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 t="str">
        <f t="shared" si="12"/>
        <v>0-3</v>
      </c>
      <c r="AI151">
        <v>0</v>
      </c>
      <c r="AJ151" t="str">
        <f t="shared" si="13"/>
        <v>0-2</v>
      </c>
      <c r="AK151">
        <v>0</v>
      </c>
    </row>
    <row r="152" spans="1:37" x14ac:dyDescent="0.25">
      <c r="A152" s="8">
        <v>151</v>
      </c>
      <c r="B152" t="s">
        <v>52</v>
      </c>
      <c r="C152" t="s">
        <v>54</v>
      </c>
      <c r="D152" s="8">
        <v>40</v>
      </c>
      <c r="E152" t="str">
        <f t="shared" si="14"/>
        <v>36-45</v>
      </c>
      <c r="F152" t="s">
        <v>46</v>
      </c>
      <c r="G152" t="s">
        <v>47</v>
      </c>
      <c r="H152" s="8" t="s">
        <v>48</v>
      </c>
      <c r="I152" s="10">
        <v>26</v>
      </c>
      <c r="J152" t="str">
        <f t="shared" si="10"/>
        <v>Far</v>
      </c>
      <c r="K152">
        <v>3</v>
      </c>
      <c r="L152" t="s">
        <v>53</v>
      </c>
      <c r="M152">
        <v>2</v>
      </c>
      <c r="N152">
        <v>3</v>
      </c>
      <c r="O152">
        <v>2</v>
      </c>
      <c r="P152" t="s">
        <v>49</v>
      </c>
      <c r="Q152">
        <v>2</v>
      </c>
      <c r="R152" s="11">
        <v>1395</v>
      </c>
      <c r="S152" s="14">
        <v>54</v>
      </c>
      <c r="T152" s="13">
        <v>5605</v>
      </c>
      <c r="U152" s="13">
        <f t="shared" si="11"/>
        <v>67260</v>
      </c>
      <c r="V152" s="14">
        <v>8504</v>
      </c>
      <c r="W152">
        <v>1</v>
      </c>
      <c r="X152" s="8" t="s">
        <v>46</v>
      </c>
      <c r="Y152" s="15">
        <v>0.11</v>
      </c>
      <c r="Z152">
        <v>3</v>
      </c>
      <c r="AA152">
        <v>1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 t="str">
        <f t="shared" si="12"/>
        <v>4-7</v>
      </c>
      <c r="AI152">
        <v>2</v>
      </c>
      <c r="AJ152" t="str">
        <f t="shared" si="13"/>
        <v>0-2</v>
      </c>
      <c r="AK152">
        <v>13</v>
      </c>
    </row>
    <row r="153" spans="1:37" x14ac:dyDescent="0.25">
      <c r="A153" s="8">
        <v>152</v>
      </c>
      <c r="B153" t="s">
        <v>44</v>
      </c>
      <c r="C153" t="s">
        <v>45</v>
      </c>
      <c r="D153" s="8">
        <v>35</v>
      </c>
      <c r="E153" t="str">
        <f t="shared" si="14"/>
        <v>26-35</v>
      </c>
      <c r="F153" t="s">
        <v>46</v>
      </c>
      <c r="G153" t="s">
        <v>39</v>
      </c>
      <c r="H153" s="8" t="s">
        <v>40</v>
      </c>
      <c r="I153" s="10">
        <v>1</v>
      </c>
      <c r="J153" t="str">
        <f t="shared" si="10"/>
        <v>Near</v>
      </c>
      <c r="K153">
        <v>5</v>
      </c>
      <c r="L153" t="s">
        <v>62</v>
      </c>
      <c r="M153">
        <v>3</v>
      </c>
      <c r="N153">
        <v>3</v>
      </c>
      <c r="O153">
        <v>3</v>
      </c>
      <c r="P153" t="s">
        <v>42</v>
      </c>
      <c r="Q153">
        <v>2</v>
      </c>
      <c r="R153" s="11">
        <v>662</v>
      </c>
      <c r="S153" s="14">
        <v>94</v>
      </c>
      <c r="T153" s="13">
        <v>7295</v>
      </c>
      <c r="U153" s="13">
        <f t="shared" si="11"/>
        <v>87540</v>
      </c>
      <c r="V153" s="14">
        <v>11439</v>
      </c>
      <c r="W153">
        <v>1</v>
      </c>
      <c r="X153" s="8" t="s">
        <v>46</v>
      </c>
      <c r="Y153" s="15">
        <v>0.13</v>
      </c>
      <c r="Z153">
        <v>3</v>
      </c>
      <c r="AA153">
        <v>1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 t="str">
        <f t="shared" si="12"/>
        <v>8-11</v>
      </c>
      <c r="AI153">
        <v>0</v>
      </c>
      <c r="AJ153" t="str">
        <f t="shared" si="13"/>
        <v>0-2</v>
      </c>
      <c r="AK153">
        <v>6</v>
      </c>
    </row>
    <row r="154" spans="1:37" x14ac:dyDescent="0.25">
      <c r="A154" s="8">
        <v>153</v>
      </c>
      <c r="B154" t="s">
        <v>44</v>
      </c>
      <c r="C154" t="s">
        <v>45</v>
      </c>
      <c r="D154" s="8">
        <v>53</v>
      </c>
      <c r="E154" t="str">
        <f t="shared" si="14"/>
        <v>46-55</v>
      </c>
      <c r="F154" t="s">
        <v>46</v>
      </c>
      <c r="G154" t="s">
        <v>39</v>
      </c>
      <c r="H154" s="8" t="s">
        <v>40</v>
      </c>
      <c r="I154" s="10">
        <v>6</v>
      </c>
      <c r="J154" t="str">
        <f t="shared" si="10"/>
        <v>Moderate</v>
      </c>
      <c r="K154">
        <v>2</v>
      </c>
      <c r="L154" t="s">
        <v>62</v>
      </c>
      <c r="M154">
        <v>2</v>
      </c>
      <c r="N154">
        <v>3</v>
      </c>
      <c r="O154">
        <v>2</v>
      </c>
      <c r="P154" t="s">
        <v>60</v>
      </c>
      <c r="Q154">
        <v>3</v>
      </c>
      <c r="R154" s="11">
        <v>1436</v>
      </c>
      <c r="S154" s="14">
        <v>34</v>
      </c>
      <c r="T154" s="13">
        <v>2306</v>
      </c>
      <c r="U154" s="13">
        <f t="shared" si="11"/>
        <v>27672</v>
      </c>
      <c r="V154" s="14">
        <v>16047</v>
      </c>
      <c r="W154">
        <v>2</v>
      </c>
      <c r="X154" s="8" t="s">
        <v>38</v>
      </c>
      <c r="Y154" s="15">
        <v>0.2</v>
      </c>
      <c r="Z154">
        <v>4</v>
      </c>
      <c r="AA154">
        <v>4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 t="str">
        <f t="shared" si="12"/>
        <v>4-7</v>
      </c>
      <c r="AI154">
        <v>4</v>
      </c>
      <c r="AJ154" t="str">
        <f t="shared" si="13"/>
        <v>3-5</v>
      </c>
      <c r="AK154">
        <v>5</v>
      </c>
    </row>
    <row r="155" spans="1:37" x14ac:dyDescent="0.25">
      <c r="A155" s="8">
        <v>154</v>
      </c>
      <c r="B155" t="s">
        <v>44</v>
      </c>
      <c r="C155" t="s">
        <v>54</v>
      </c>
      <c r="D155" s="8">
        <v>45</v>
      </c>
      <c r="E155" t="str">
        <f t="shared" si="14"/>
        <v>36-45</v>
      </c>
      <c r="F155" t="s">
        <v>46</v>
      </c>
      <c r="G155" t="s">
        <v>39</v>
      </c>
      <c r="H155" s="8" t="s">
        <v>48</v>
      </c>
      <c r="I155" s="10">
        <v>9</v>
      </c>
      <c r="J155" t="str">
        <f t="shared" si="10"/>
        <v>Moderate</v>
      </c>
      <c r="K155">
        <v>3</v>
      </c>
      <c r="L155" t="s">
        <v>41</v>
      </c>
      <c r="M155">
        <v>2</v>
      </c>
      <c r="N155">
        <v>3</v>
      </c>
      <c r="O155">
        <v>2</v>
      </c>
      <c r="P155" t="s">
        <v>51</v>
      </c>
      <c r="Q155">
        <v>2</v>
      </c>
      <c r="R155" s="11">
        <v>194</v>
      </c>
      <c r="S155" s="14">
        <v>60</v>
      </c>
      <c r="T155" s="13">
        <v>2348</v>
      </c>
      <c r="U155" s="13">
        <f t="shared" si="11"/>
        <v>28176</v>
      </c>
      <c r="V155" s="14">
        <v>10901</v>
      </c>
      <c r="W155">
        <v>8</v>
      </c>
      <c r="X155" s="8" t="s">
        <v>46</v>
      </c>
      <c r="Y155" s="15">
        <v>0.18</v>
      </c>
      <c r="Z155">
        <v>3</v>
      </c>
      <c r="AA155">
        <v>3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 t="str">
        <f t="shared" si="12"/>
        <v>8-11</v>
      </c>
      <c r="AI155">
        <v>0</v>
      </c>
      <c r="AJ155" t="str">
        <f t="shared" si="13"/>
        <v>0-2</v>
      </c>
      <c r="AK155">
        <v>15</v>
      </c>
    </row>
    <row r="156" spans="1:37" x14ac:dyDescent="0.25">
      <c r="A156" s="8">
        <v>155</v>
      </c>
      <c r="B156" t="s">
        <v>52</v>
      </c>
      <c r="C156" t="s">
        <v>37</v>
      </c>
      <c r="D156" s="8">
        <v>32</v>
      </c>
      <c r="E156" t="str">
        <f t="shared" si="14"/>
        <v>26-35</v>
      </c>
      <c r="F156" t="s">
        <v>46</v>
      </c>
      <c r="G156" t="s">
        <v>47</v>
      </c>
      <c r="H156" s="8" t="s">
        <v>40</v>
      </c>
      <c r="I156" s="10">
        <v>8</v>
      </c>
      <c r="J156" t="str">
        <f t="shared" si="10"/>
        <v>Moderate</v>
      </c>
      <c r="K156">
        <v>3</v>
      </c>
      <c r="L156" t="s">
        <v>62</v>
      </c>
      <c r="M156">
        <v>2</v>
      </c>
      <c r="N156">
        <v>3</v>
      </c>
      <c r="O156">
        <v>3</v>
      </c>
      <c r="P156" t="s">
        <v>42</v>
      </c>
      <c r="Q156">
        <v>4</v>
      </c>
      <c r="R156" s="11">
        <v>967</v>
      </c>
      <c r="S156" s="14">
        <v>43</v>
      </c>
      <c r="T156" s="13">
        <v>8998</v>
      </c>
      <c r="U156" s="13">
        <f t="shared" si="11"/>
        <v>107976</v>
      </c>
      <c r="V156" s="14">
        <v>15589</v>
      </c>
      <c r="W156">
        <v>1</v>
      </c>
      <c r="X156" s="8" t="s">
        <v>46</v>
      </c>
      <c r="Y156" s="15">
        <v>0.14000000000000001</v>
      </c>
      <c r="Z156">
        <v>3</v>
      </c>
      <c r="AA156">
        <v>4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 t="str">
        <f t="shared" si="12"/>
        <v>8-11</v>
      </c>
      <c r="AI156">
        <v>3</v>
      </c>
      <c r="AJ156" t="str">
        <f t="shared" si="13"/>
        <v>3-5</v>
      </c>
      <c r="AK156">
        <v>7</v>
      </c>
    </row>
    <row r="157" spans="1:37" x14ac:dyDescent="0.25">
      <c r="A157" s="8">
        <v>156</v>
      </c>
      <c r="B157" t="s">
        <v>44</v>
      </c>
      <c r="C157" t="s">
        <v>45</v>
      </c>
      <c r="D157" s="8">
        <v>29</v>
      </c>
      <c r="E157" t="str">
        <f t="shared" si="14"/>
        <v>26-35</v>
      </c>
      <c r="F157" t="s">
        <v>46</v>
      </c>
      <c r="G157" t="s">
        <v>58</v>
      </c>
      <c r="H157" s="8" t="s">
        <v>48</v>
      </c>
      <c r="I157" s="10">
        <v>1</v>
      </c>
      <c r="J157" t="str">
        <f t="shared" si="10"/>
        <v>Near</v>
      </c>
      <c r="K157">
        <v>1</v>
      </c>
      <c r="L157" t="s">
        <v>63</v>
      </c>
      <c r="M157">
        <v>4</v>
      </c>
      <c r="N157">
        <v>3</v>
      </c>
      <c r="O157">
        <v>2</v>
      </c>
      <c r="P157" t="s">
        <v>55</v>
      </c>
      <c r="Q157">
        <v>3</v>
      </c>
      <c r="R157" s="11">
        <v>1496</v>
      </c>
      <c r="S157" s="14">
        <v>41</v>
      </c>
      <c r="T157" s="13">
        <v>4319</v>
      </c>
      <c r="U157" s="13">
        <f t="shared" si="11"/>
        <v>51828</v>
      </c>
      <c r="V157" s="14">
        <v>26283</v>
      </c>
      <c r="W157">
        <v>1</v>
      </c>
      <c r="X157" s="8" t="s">
        <v>46</v>
      </c>
      <c r="Y157" s="15">
        <v>0.13</v>
      </c>
      <c r="Z157">
        <v>3</v>
      </c>
      <c r="AA157">
        <v>1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 t="str">
        <f t="shared" si="12"/>
        <v>4-7</v>
      </c>
      <c r="AI157">
        <v>0</v>
      </c>
      <c r="AJ157" t="str">
        <f t="shared" si="13"/>
        <v>0-2</v>
      </c>
      <c r="AK157">
        <v>9</v>
      </c>
    </row>
    <row r="158" spans="1:37" x14ac:dyDescent="0.25">
      <c r="A158" s="8">
        <v>157</v>
      </c>
      <c r="B158" t="s">
        <v>44</v>
      </c>
      <c r="C158" t="s">
        <v>45</v>
      </c>
      <c r="D158" s="8">
        <v>51</v>
      </c>
      <c r="E158" t="str">
        <f t="shared" si="14"/>
        <v>46-55</v>
      </c>
      <c r="F158" t="s">
        <v>46</v>
      </c>
      <c r="G158" t="s">
        <v>39</v>
      </c>
      <c r="H158" s="8" t="s">
        <v>48</v>
      </c>
      <c r="I158" s="10">
        <v>7</v>
      </c>
      <c r="J158" t="str">
        <f t="shared" si="10"/>
        <v>Moderate</v>
      </c>
      <c r="K158">
        <v>4</v>
      </c>
      <c r="L158" t="s">
        <v>53</v>
      </c>
      <c r="M158">
        <v>2</v>
      </c>
      <c r="N158">
        <v>2</v>
      </c>
      <c r="O158">
        <v>2</v>
      </c>
      <c r="P158" t="s">
        <v>55</v>
      </c>
      <c r="Q158">
        <v>3</v>
      </c>
      <c r="R158" s="11">
        <v>1169</v>
      </c>
      <c r="S158" s="14">
        <v>34</v>
      </c>
      <c r="T158" s="13">
        <v>6132</v>
      </c>
      <c r="U158" s="13">
        <f t="shared" si="11"/>
        <v>73584</v>
      </c>
      <c r="V158" s="14">
        <v>13983</v>
      </c>
      <c r="W158">
        <v>2</v>
      </c>
      <c r="X158" s="8" t="s">
        <v>46</v>
      </c>
      <c r="Y158" s="15">
        <v>0.17</v>
      </c>
      <c r="Z158">
        <v>3</v>
      </c>
      <c r="AA158">
        <v>3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 t="str">
        <f t="shared" si="12"/>
        <v>0-3</v>
      </c>
      <c r="AI158">
        <v>0</v>
      </c>
      <c r="AJ158" t="str">
        <f t="shared" si="13"/>
        <v>0-2</v>
      </c>
      <c r="AK158">
        <v>0</v>
      </c>
    </row>
    <row r="159" spans="1:37" x14ac:dyDescent="0.25">
      <c r="A159" s="8">
        <v>158</v>
      </c>
      <c r="B159" t="s">
        <v>52</v>
      </c>
      <c r="C159" t="s">
        <v>45</v>
      </c>
      <c r="D159" s="8">
        <v>58</v>
      </c>
      <c r="E159" t="str">
        <f t="shared" si="14"/>
        <v>55+</v>
      </c>
      <c r="F159" t="s">
        <v>46</v>
      </c>
      <c r="G159" t="s">
        <v>39</v>
      </c>
      <c r="H159" s="8" t="s">
        <v>48</v>
      </c>
      <c r="I159" s="10">
        <v>9</v>
      </c>
      <c r="J159" t="str">
        <f t="shared" si="10"/>
        <v>Moderate</v>
      </c>
      <c r="K159">
        <v>3</v>
      </c>
      <c r="L159" t="s">
        <v>53</v>
      </c>
      <c r="M159">
        <v>2</v>
      </c>
      <c r="N159">
        <v>2</v>
      </c>
      <c r="O159">
        <v>1</v>
      </c>
      <c r="P159" t="s">
        <v>49</v>
      </c>
      <c r="Q159">
        <v>2</v>
      </c>
      <c r="R159" s="11">
        <v>1145</v>
      </c>
      <c r="S159" s="14">
        <v>75</v>
      </c>
      <c r="T159" s="13">
        <v>3346</v>
      </c>
      <c r="U159" s="13">
        <f t="shared" si="11"/>
        <v>40152</v>
      </c>
      <c r="V159" s="14">
        <v>11873</v>
      </c>
      <c r="W159">
        <v>4</v>
      </c>
      <c r="X159" s="8" t="s">
        <v>38</v>
      </c>
      <c r="Y159" s="15">
        <v>0.2</v>
      </c>
      <c r="Z159">
        <v>4</v>
      </c>
      <c r="AA159">
        <v>2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 t="str">
        <f t="shared" si="12"/>
        <v>0-3</v>
      </c>
      <c r="AI159">
        <v>0</v>
      </c>
      <c r="AJ159" t="str">
        <f t="shared" si="13"/>
        <v>0-2</v>
      </c>
      <c r="AK159">
        <v>0</v>
      </c>
    </row>
    <row r="160" spans="1:37" x14ac:dyDescent="0.25">
      <c r="A160" s="8">
        <v>159</v>
      </c>
      <c r="B160" t="s">
        <v>44</v>
      </c>
      <c r="C160" t="s">
        <v>45</v>
      </c>
      <c r="D160" s="8">
        <v>40</v>
      </c>
      <c r="E160" t="str">
        <f t="shared" si="14"/>
        <v>36-45</v>
      </c>
      <c r="F160" t="s">
        <v>46</v>
      </c>
      <c r="G160" t="s">
        <v>39</v>
      </c>
      <c r="H160" s="8" t="s">
        <v>40</v>
      </c>
      <c r="I160" s="10">
        <v>4</v>
      </c>
      <c r="J160" t="str">
        <f t="shared" si="10"/>
        <v>Near</v>
      </c>
      <c r="K160">
        <v>4</v>
      </c>
      <c r="L160" t="s">
        <v>62</v>
      </c>
      <c r="M160">
        <v>3</v>
      </c>
      <c r="N160">
        <v>2</v>
      </c>
      <c r="O160">
        <v>3</v>
      </c>
      <c r="P160" t="s">
        <v>42</v>
      </c>
      <c r="Q160">
        <v>4</v>
      </c>
      <c r="R160" s="11">
        <v>630</v>
      </c>
      <c r="S160" s="14">
        <v>67</v>
      </c>
      <c r="T160" s="13">
        <v>10855</v>
      </c>
      <c r="U160" s="13">
        <f t="shared" si="11"/>
        <v>130260</v>
      </c>
      <c r="V160" s="14">
        <v>8552</v>
      </c>
      <c r="W160">
        <v>7</v>
      </c>
      <c r="X160" s="8" t="s">
        <v>46</v>
      </c>
      <c r="Y160" s="15">
        <v>0.11</v>
      </c>
      <c r="Z160">
        <v>3</v>
      </c>
      <c r="AA160">
        <v>1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 t="str">
        <f t="shared" si="12"/>
        <v>8-11</v>
      </c>
      <c r="AI160">
        <v>2</v>
      </c>
      <c r="AJ160" t="str">
        <f t="shared" si="13"/>
        <v>0-2</v>
      </c>
      <c r="AK160">
        <v>11</v>
      </c>
    </row>
    <row r="161" spans="1:37" x14ac:dyDescent="0.25">
      <c r="A161" s="8">
        <v>160</v>
      </c>
      <c r="B161" t="s">
        <v>52</v>
      </c>
      <c r="C161" t="s">
        <v>45</v>
      </c>
      <c r="D161" s="8">
        <v>34</v>
      </c>
      <c r="E161" t="str">
        <f t="shared" si="14"/>
        <v>26-35</v>
      </c>
      <c r="F161" t="s">
        <v>46</v>
      </c>
      <c r="G161" t="s">
        <v>47</v>
      </c>
      <c r="H161" s="8" t="s">
        <v>40</v>
      </c>
      <c r="I161" s="10">
        <v>2</v>
      </c>
      <c r="J161" t="str">
        <f t="shared" si="10"/>
        <v>Near</v>
      </c>
      <c r="K161">
        <v>4</v>
      </c>
      <c r="L161" t="s">
        <v>62</v>
      </c>
      <c r="M161">
        <v>3</v>
      </c>
      <c r="N161">
        <v>3</v>
      </c>
      <c r="O161">
        <v>1</v>
      </c>
      <c r="P161" t="s">
        <v>60</v>
      </c>
      <c r="Q161">
        <v>3</v>
      </c>
      <c r="R161" s="11">
        <v>303</v>
      </c>
      <c r="S161" s="14">
        <v>75</v>
      </c>
      <c r="T161" s="13">
        <v>2231</v>
      </c>
      <c r="U161" s="13">
        <f t="shared" si="11"/>
        <v>26772</v>
      </c>
      <c r="V161" s="14">
        <v>11314</v>
      </c>
      <c r="W161">
        <v>6</v>
      </c>
      <c r="X161" s="8" t="s">
        <v>46</v>
      </c>
      <c r="Y161" s="15">
        <v>0.18</v>
      </c>
      <c r="Z161">
        <v>3</v>
      </c>
      <c r="AA161">
        <v>4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 t="str">
        <f t="shared" si="12"/>
        <v>0-3</v>
      </c>
      <c r="AI161">
        <v>1</v>
      </c>
      <c r="AJ161" t="str">
        <f t="shared" si="13"/>
        <v>0-2</v>
      </c>
      <c r="AK161">
        <v>2</v>
      </c>
    </row>
    <row r="162" spans="1:37" x14ac:dyDescent="0.25">
      <c r="A162" s="8">
        <v>161</v>
      </c>
      <c r="B162" t="s">
        <v>44</v>
      </c>
      <c r="C162" t="s">
        <v>45</v>
      </c>
      <c r="D162" s="8">
        <v>22</v>
      </c>
      <c r="E162" t="str">
        <f t="shared" si="14"/>
        <v>18-25</v>
      </c>
      <c r="F162" t="s">
        <v>46</v>
      </c>
      <c r="G162" t="s">
        <v>39</v>
      </c>
      <c r="H162" s="8" t="s">
        <v>48</v>
      </c>
      <c r="I162" s="10">
        <v>19</v>
      </c>
      <c r="J162" t="str">
        <f t="shared" si="10"/>
        <v>Far</v>
      </c>
      <c r="K162">
        <v>1</v>
      </c>
      <c r="L162" t="s">
        <v>53</v>
      </c>
      <c r="M162">
        <v>3</v>
      </c>
      <c r="N162">
        <v>3</v>
      </c>
      <c r="O162">
        <v>1</v>
      </c>
      <c r="P162" t="s">
        <v>49</v>
      </c>
      <c r="Q162">
        <v>4</v>
      </c>
      <c r="R162" s="11">
        <v>1256</v>
      </c>
      <c r="S162" s="14">
        <v>80</v>
      </c>
      <c r="T162" s="13">
        <v>2323</v>
      </c>
      <c r="U162" s="13">
        <f t="shared" si="11"/>
        <v>27876</v>
      </c>
      <c r="V162" s="14">
        <v>11992</v>
      </c>
      <c r="W162">
        <v>1</v>
      </c>
      <c r="X162" s="8" t="s">
        <v>46</v>
      </c>
      <c r="Y162" s="15">
        <v>0.24</v>
      </c>
      <c r="Z162">
        <v>4</v>
      </c>
      <c r="AA162">
        <v>1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 t="str">
        <f t="shared" si="12"/>
        <v>0-3</v>
      </c>
      <c r="AI162">
        <v>2</v>
      </c>
      <c r="AJ162" t="str">
        <f t="shared" si="13"/>
        <v>0-2</v>
      </c>
      <c r="AK162">
        <v>2</v>
      </c>
    </row>
    <row r="163" spans="1:37" x14ac:dyDescent="0.25">
      <c r="A163" s="8">
        <v>162</v>
      </c>
      <c r="B163" t="s">
        <v>44</v>
      </c>
      <c r="C163" t="s">
        <v>54</v>
      </c>
      <c r="D163" s="8">
        <v>27</v>
      </c>
      <c r="E163" t="str">
        <f t="shared" si="14"/>
        <v>26-35</v>
      </c>
      <c r="F163" t="s">
        <v>46</v>
      </c>
      <c r="G163" t="s">
        <v>58</v>
      </c>
      <c r="H163" s="8" t="s">
        <v>48</v>
      </c>
      <c r="I163" s="10">
        <v>9</v>
      </c>
      <c r="J163" t="str">
        <f t="shared" si="10"/>
        <v>Moderate</v>
      </c>
      <c r="K163">
        <v>3</v>
      </c>
      <c r="L163" t="s">
        <v>53</v>
      </c>
      <c r="M163">
        <v>4</v>
      </c>
      <c r="N163">
        <v>3</v>
      </c>
      <c r="O163">
        <v>1</v>
      </c>
      <c r="P163" t="s">
        <v>49</v>
      </c>
      <c r="Q163">
        <v>2</v>
      </c>
      <c r="R163" s="11">
        <v>691</v>
      </c>
      <c r="S163" s="14">
        <v>57</v>
      </c>
      <c r="T163" s="13">
        <v>2024</v>
      </c>
      <c r="U163" s="13">
        <f t="shared" si="11"/>
        <v>24288</v>
      </c>
      <c r="V163" s="14">
        <v>5970</v>
      </c>
      <c r="W163">
        <v>6</v>
      </c>
      <c r="X163" s="8" t="s">
        <v>46</v>
      </c>
      <c r="Y163" s="15">
        <v>0.18</v>
      </c>
      <c r="Z163">
        <v>3</v>
      </c>
      <c r="AA163">
        <v>4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 t="str">
        <f t="shared" si="12"/>
        <v>0-3</v>
      </c>
      <c r="AI163">
        <v>2</v>
      </c>
      <c r="AJ163" t="str">
        <f t="shared" si="13"/>
        <v>0-2</v>
      </c>
      <c r="AK163">
        <v>2</v>
      </c>
    </row>
    <row r="164" spans="1:37" x14ac:dyDescent="0.25">
      <c r="A164" s="8">
        <v>163</v>
      </c>
      <c r="B164" t="s">
        <v>44</v>
      </c>
      <c r="C164" t="s">
        <v>45</v>
      </c>
      <c r="D164" s="8">
        <v>28</v>
      </c>
      <c r="E164" t="str">
        <f t="shared" si="14"/>
        <v>26-35</v>
      </c>
      <c r="F164" t="s">
        <v>46</v>
      </c>
      <c r="G164" t="s">
        <v>39</v>
      </c>
      <c r="H164" s="8" t="s">
        <v>48</v>
      </c>
      <c r="I164" s="10">
        <v>21</v>
      </c>
      <c r="J164" t="str">
        <f t="shared" si="10"/>
        <v>Far</v>
      </c>
      <c r="K164">
        <v>3</v>
      </c>
      <c r="L164" t="s">
        <v>53</v>
      </c>
      <c r="M164">
        <v>3</v>
      </c>
      <c r="N164">
        <v>3</v>
      </c>
      <c r="O164">
        <v>1</v>
      </c>
      <c r="P164" t="s">
        <v>49</v>
      </c>
      <c r="Q164">
        <v>4</v>
      </c>
      <c r="R164" s="11">
        <v>440</v>
      </c>
      <c r="S164" s="14">
        <v>42</v>
      </c>
      <c r="T164" s="13">
        <v>2713</v>
      </c>
      <c r="U164" s="13">
        <f t="shared" si="11"/>
        <v>32556</v>
      </c>
      <c r="V164" s="14">
        <v>6672</v>
      </c>
      <c r="W164">
        <v>1</v>
      </c>
      <c r="X164" s="8" t="s">
        <v>46</v>
      </c>
      <c r="Y164" s="15">
        <v>0.11</v>
      </c>
      <c r="Z164">
        <v>3</v>
      </c>
      <c r="AA164">
        <v>3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 t="str">
        <f t="shared" si="12"/>
        <v>0-3</v>
      </c>
      <c r="AI164">
        <v>0</v>
      </c>
      <c r="AJ164" t="str">
        <f t="shared" si="13"/>
        <v>0-2</v>
      </c>
      <c r="AK164">
        <v>2</v>
      </c>
    </row>
    <row r="165" spans="1:37" x14ac:dyDescent="0.25">
      <c r="A165" s="8">
        <v>164</v>
      </c>
      <c r="B165" t="s">
        <v>44</v>
      </c>
      <c r="C165" t="s">
        <v>54</v>
      </c>
      <c r="D165" s="8">
        <v>57</v>
      </c>
      <c r="E165" t="str">
        <f t="shared" si="14"/>
        <v>55+</v>
      </c>
      <c r="F165" t="s">
        <v>46</v>
      </c>
      <c r="G165" t="s">
        <v>39</v>
      </c>
      <c r="H165" s="8" t="s">
        <v>48</v>
      </c>
      <c r="I165" s="10">
        <v>24</v>
      </c>
      <c r="J165" t="str">
        <f t="shared" si="10"/>
        <v>Far</v>
      </c>
      <c r="K165">
        <v>2</v>
      </c>
      <c r="L165" t="s">
        <v>41</v>
      </c>
      <c r="M165">
        <v>3</v>
      </c>
      <c r="N165">
        <v>4</v>
      </c>
      <c r="O165">
        <v>3</v>
      </c>
      <c r="P165" t="s">
        <v>56</v>
      </c>
      <c r="Q165">
        <v>4</v>
      </c>
      <c r="R165" s="11">
        <v>334</v>
      </c>
      <c r="S165" s="14">
        <v>83</v>
      </c>
      <c r="T165" s="13">
        <v>9439</v>
      </c>
      <c r="U165" s="13">
        <f t="shared" si="11"/>
        <v>113268</v>
      </c>
      <c r="V165" s="14">
        <v>23402</v>
      </c>
      <c r="W165">
        <v>3</v>
      </c>
      <c r="X165" s="8" t="s">
        <v>38</v>
      </c>
      <c r="Y165" s="15">
        <v>0.16</v>
      </c>
      <c r="Z165">
        <v>3</v>
      </c>
      <c r="AA165">
        <v>2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 t="str">
        <f t="shared" si="12"/>
        <v>0-3</v>
      </c>
      <c r="AI165">
        <v>1</v>
      </c>
      <c r="AJ165" t="str">
        <f t="shared" si="13"/>
        <v>0-2</v>
      </c>
      <c r="AK165">
        <v>4</v>
      </c>
    </row>
    <row r="166" spans="1:37" x14ac:dyDescent="0.25">
      <c r="A166" s="8">
        <v>165</v>
      </c>
      <c r="B166" t="s">
        <v>44</v>
      </c>
      <c r="C166" t="s">
        <v>54</v>
      </c>
      <c r="D166" s="8">
        <v>27</v>
      </c>
      <c r="E166" t="str">
        <f t="shared" si="14"/>
        <v>26-35</v>
      </c>
      <c r="F166" t="s">
        <v>46</v>
      </c>
      <c r="G166" t="s">
        <v>58</v>
      </c>
      <c r="H166" s="8" t="s">
        <v>48</v>
      </c>
      <c r="I166" s="10">
        <v>3</v>
      </c>
      <c r="J166" t="str">
        <f t="shared" si="10"/>
        <v>Near</v>
      </c>
      <c r="K166">
        <v>3</v>
      </c>
      <c r="L166" t="s">
        <v>53</v>
      </c>
      <c r="M166">
        <v>3</v>
      </c>
      <c r="N166">
        <v>2</v>
      </c>
      <c r="O166">
        <v>1</v>
      </c>
      <c r="P166" t="s">
        <v>49</v>
      </c>
      <c r="Q166">
        <v>3</v>
      </c>
      <c r="R166" s="11">
        <v>1450</v>
      </c>
      <c r="S166" s="14">
        <v>79</v>
      </c>
      <c r="T166" s="13">
        <v>2566</v>
      </c>
      <c r="U166" s="13">
        <f t="shared" si="11"/>
        <v>30792</v>
      </c>
      <c r="V166" s="14">
        <v>25326</v>
      </c>
      <c r="W166">
        <v>1</v>
      </c>
      <c r="X166" s="8" t="s">
        <v>38</v>
      </c>
      <c r="Y166" s="15">
        <v>0.15</v>
      </c>
      <c r="Z166">
        <v>3</v>
      </c>
      <c r="AA166">
        <v>4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 t="str">
        <f t="shared" si="12"/>
        <v>0-3</v>
      </c>
      <c r="AI166">
        <v>0</v>
      </c>
      <c r="AJ166" t="str">
        <f t="shared" si="13"/>
        <v>0-2</v>
      </c>
      <c r="AK166">
        <v>1</v>
      </c>
    </row>
    <row r="167" spans="1:37" x14ac:dyDescent="0.25">
      <c r="A167" s="8">
        <v>166</v>
      </c>
      <c r="B167" t="s">
        <v>52</v>
      </c>
      <c r="C167" t="s">
        <v>37</v>
      </c>
      <c r="D167" s="8">
        <v>50</v>
      </c>
      <c r="E167" t="str">
        <f t="shared" si="14"/>
        <v>46-55</v>
      </c>
      <c r="F167" t="s">
        <v>46</v>
      </c>
      <c r="G167" t="s">
        <v>39</v>
      </c>
      <c r="H167" s="8" t="s">
        <v>48</v>
      </c>
      <c r="I167" s="10">
        <v>11</v>
      </c>
      <c r="J167" t="str">
        <f t="shared" si="10"/>
        <v>Moderate</v>
      </c>
      <c r="K167">
        <v>3</v>
      </c>
      <c r="L167" t="s">
        <v>41</v>
      </c>
      <c r="M167">
        <v>3</v>
      </c>
      <c r="N167">
        <v>3</v>
      </c>
      <c r="O167">
        <v>5</v>
      </c>
      <c r="P167" t="s">
        <v>59</v>
      </c>
      <c r="Q167">
        <v>2</v>
      </c>
      <c r="R167" s="11">
        <v>1452</v>
      </c>
      <c r="S167" s="14">
        <v>53</v>
      </c>
      <c r="T167" s="13">
        <v>19926</v>
      </c>
      <c r="U167" s="13">
        <f t="shared" si="11"/>
        <v>239112</v>
      </c>
      <c r="V167" s="14">
        <v>17053</v>
      </c>
      <c r="W167">
        <v>3</v>
      </c>
      <c r="X167" s="8" t="s">
        <v>46</v>
      </c>
      <c r="Y167" s="15">
        <v>0.15</v>
      </c>
      <c r="Z167">
        <v>3</v>
      </c>
      <c r="AA167">
        <v>2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 t="str">
        <f t="shared" si="12"/>
        <v>4-7</v>
      </c>
      <c r="AI167">
        <v>4</v>
      </c>
      <c r="AJ167" t="str">
        <f t="shared" si="13"/>
        <v>3-5</v>
      </c>
      <c r="AK167">
        <v>4</v>
      </c>
    </row>
    <row r="168" spans="1:37" x14ac:dyDescent="0.25">
      <c r="A168" s="8">
        <v>167</v>
      </c>
      <c r="B168" t="s">
        <v>44</v>
      </c>
      <c r="C168" t="s">
        <v>54</v>
      </c>
      <c r="D168" s="8">
        <v>41</v>
      </c>
      <c r="E168" t="str">
        <f t="shared" si="14"/>
        <v>36-45</v>
      </c>
      <c r="F168" t="s">
        <v>46</v>
      </c>
      <c r="G168" t="s">
        <v>39</v>
      </c>
      <c r="H168" s="8" t="s">
        <v>48</v>
      </c>
      <c r="I168" s="10">
        <v>14</v>
      </c>
      <c r="J168" t="str">
        <f t="shared" si="10"/>
        <v>Moderate</v>
      </c>
      <c r="K168">
        <v>3</v>
      </c>
      <c r="L168" t="s">
        <v>41</v>
      </c>
      <c r="M168">
        <v>1</v>
      </c>
      <c r="N168">
        <v>3</v>
      </c>
      <c r="O168">
        <v>1</v>
      </c>
      <c r="P168" t="s">
        <v>49</v>
      </c>
      <c r="Q168">
        <v>3</v>
      </c>
      <c r="R168" s="11">
        <v>465</v>
      </c>
      <c r="S168" s="14">
        <v>56</v>
      </c>
      <c r="T168" s="13">
        <v>2451</v>
      </c>
      <c r="U168" s="13">
        <f t="shared" si="11"/>
        <v>29412</v>
      </c>
      <c r="V168" s="14">
        <v>4609</v>
      </c>
      <c r="W168">
        <v>4</v>
      </c>
      <c r="X168" s="8" t="s">
        <v>46</v>
      </c>
      <c r="Y168" s="15">
        <v>0.12</v>
      </c>
      <c r="Z168">
        <v>3</v>
      </c>
      <c r="AA168">
        <v>1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 t="str">
        <f t="shared" si="12"/>
        <v>8-11</v>
      </c>
      <c r="AI168">
        <v>1</v>
      </c>
      <c r="AJ168" t="str">
        <f t="shared" si="13"/>
        <v>0-2</v>
      </c>
      <c r="AK168">
        <v>8</v>
      </c>
    </row>
    <row r="169" spans="1:37" x14ac:dyDescent="0.25">
      <c r="A169" s="8">
        <v>168</v>
      </c>
      <c r="B169" t="s">
        <v>52</v>
      </c>
      <c r="C169" t="s">
        <v>45</v>
      </c>
      <c r="D169" s="8">
        <v>30</v>
      </c>
      <c r="E169" t="str">
        <f t="shared" si="14"/>
        <v>26-35</v>
      </c>
      <c r="F169" t="s">
        <v>46</v>
      </c>
      <c r="G169" t="s">
        <v>39</v>
      </c>
      <c r="H169" s="8" t="s">
        <v>40</v>
      </c>
      <c r="I169" s="10">
        <v>5</v>
      </c>
      <c r="J169" t="str">
        <f t="shared" si="10"/>
        <v>Near</v>
      </c>
      <c r="K169">
        <v>3</v>
      </c>
      <c r="L169" t="s">
        <v>41</v>
      </c>
      <c r="M169">
        <v>2</v>
      </c>
      <c r="N169">
        <v>3</v>
      </c>
      <c r="O169">
        <v>3</v>
      </c>
      <c r="P169" t="s">
        <v>42</v>
      </c>
      <c r="Q169">
        <v>4</v>
      </c>
      <c r="R169" s="11">
        <v>1339</v>
      </c>
      <c r="S169" s="14">
        <v>41</v>
      </c>
      <c r="T169" s="13">
        <v>9419</v>
      </c>
      <c r="U169" s="13">
        <f t="shared" si="11"/>
        <v>113028</v>
      </c>
      <c r="V169" s="14">
        <v>8053</v>
      </c>
      <c r="W169">
        <v>2</v>
      </c>
      <c r="X169" s="8" t="s">
        <v>46</v>
      </c>
      <c r="Y169" s="15">
        <v>0.12</v>
      </c>
      <c r="Z169">
        <v>3</v>
      </c>
      <c r="AA169">
        <v>3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 t="str">
        <f t="shared" si="12"/>
        <v>8-11</v>
      </c>
      <c r="AI169">
        <v>7</v>
      </c>
      <c r="AJ169" t="str">
        <f t="shared" si="13"/>
        <v>6-8</v>
      </c>
      <c r="AK169">
        <v>4</v>
      </c>
    </row>
    <row r="170" spans="1:37" x14ac:dyDescent="0.25">
      <c r="A170" s="8">
        <v>169</v>
      </c>
      <c r="B170" t="s">
        <v>52</v>
      </c>
      <c r="C170" t="s">
        <v>37</v>
      </c>
      <c r="D170" s="8">
        <v>38</v>
      </c>
      <c r="E170" t="str">
        <f t="shared" si="14"/>
        <v>36-45</v>
      </c>
      <c r="F170" t="s">
        <v>46</v>
      </c>
      <c r="G170" t="s">
        <v>39</v>
      </c>
      <c r="H170" s="8" t="s">
        <v>40</v>
      </c>
      <c r="I170" s="10">
        <v>1</v>
      </c>
      <c r="J170" t="str">
        <f t="shared" si="10"/>
        <v>Near</v>
      </c>
      <c r="K170">
        <v>4</v>
      </c>
      <c r="L170" t="s">
        <v>41</v>
      </c>
      <c r="M170">
        <v>1</v>
      </c>
      <c r="N170">
        <v>2</v>
      </c>
      <c r="O170">
        <v>2</v>
      </c>
      <c r="P170" t="s">
        <v>42</v>
      </c>
      <c r="Q170">
        <v>4</v>
      </c>
      <c r="R170" s="11">
        <v>702</v>
      </c>
      <c r="S170" s="14">
        <v>59</v>
      </c>
      <c r="T170" s="13">
        <v>8686</v>
      </c>
      <c r="U170" s="13">
        <f t="shared" si="11"/>
        <v>104232</v>
      </c>
      <c r="V170" s="14">
        <v>12930</v>
      </c>
      <c r="W170">
        <v>4</v>
      </c>
      <c r="X170" s="8" t="s">
        <v>46</v>
      </c>
      <c r="Y170" s="15">
        <v>0.22</v>
      </c>
      <c r="Z170">
        <v>4</v>
      </c>
      <c r="AA170">
        <v>3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 t="str">
        <f t="shared" si="12"/>
        <v>0-3</v>
      </c>
      <c r="AI170">
        <v>0</v>
      </c>
      <c r="AJ170" t="str">
        <f t="shared" si="13"/>
        <v>0-2</v>
      </c>
      <c r="AK170">
        <v>7</v>
      </c>
    </row>
    <row r="171" spans="1:37" x14ac:dyDescent="0.25">
      <c r="A171" s="8">
        <v>170</v>
      </c>
      <c r="B171" t="s">
        <v>44</v>
      </c>
      <c r="C171" t="s">
        <v>37</v>
      </c>
      <c r="D171" s="8">
        <v>32</v>
      </c>
      <c r="E171" t="str">
        <f t="shared" si="14"/>
        <v>26-35</v>
      </c>
      <c r="F171" t="s">
        <v>46</v>
      </c>
      <c r="G171" t="s">
        <v>39</v>
      </c>
      <c r="H171" s="8" t="s">
        <v>48</v>
      </c>
      <c r="I171" s="10">
        <v>6</v>
      </c>
      <c r="J171" t="str">
        <f t="shared" si="10"/>
        <v>Moderate</v>
      </c>
      <c r="K171">
        <v>5</v>
      </c>
      <c r="L171" t="s">
        <v>41</v>
      </c>
      <c r="M171">
        <v>3</v>
      </c>
      <c r="N171">
        <v>3</v>
      </c>
      <c r="O171">
        <v>1</v>
      </c>
      <c r="P171" t="s">
        <v>49</v>
      </c>
      <c r="Q171">
        <v>3</v>
      </c>
      <c r="R171" s="11">
        <v>120</v>
      </c>
      <c r="S171" s="14">
        <v>43</v>
      </c>
      <c r="T171" s="13">
        <v>3038</v>
      </c>
      <c r="U171" s="13">
        <f t="shared" si="11"/>
        <v>36456</v>
      </c>
      <c r="V171" s="14">
        <v>12430</v>
      </c>
      <c r="W171">
        <v>3</v>
      </c>
      <c r="X171" s="8" t="s">
        <v>46</v>
      </c>
      <c r="Y171" s="15">
        <v>0.2</v>
      </c>
      <c r="Z171">
        <v>4</v>
      </c>
      <c r="AA171">
        <v>1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 t="str">
        <f t="shared" si="12"/>
        <v>4-7</v>
      </c>
      <c r="AI171">
        <v>1</v>
      </c>
      <c r="AJ171" t="str">
        <f t="shared" si="13"/>
        <v>0-2</v>
      </c>
      <c r="AK171">
        <v>4</v>
      </c>
    </row>
    <row r="172" spans="1:37" x14ac:dyDescent="0.25">
      <c r="A172" s="8">
        <v>171</v>
      </c>
      <c r="B172" t="s">
        <v>44</v>
      </c>
      <c r="C172" t="s">
        <v>45</v>
      </c>
      <c r="D172" s="8">
        <v>27</v>
      </c>
      <c r="E172" t="str">
        <f t="shared" si="14"/>
        <v>26-35</v>
      </c>
      <c r="F172" t="s">
        <v>46</v>
      </c>
      <c r="G172" t="s">
        <v>39</v>
      </c>
      <c r="H172" s="8" t="s">
        <v>48</v>
      </c>
      <c r="I172" s="10">
        <v>17</v>
      </c>
      <c r="J172" t="str">
        <f t="shared" si="10"/>
        <v>Far</v>
      </c>
      <c r="K172">
        <v>3</v>
      </c>
      <c r="L172" t="s">
        <v>63</v>
      </c>
      <c r="M172">
        <v>3</v>
      </c>
      <c r="N172">
        <v>3</v>
      </c>
      <c r="O172">
        <v>1</v>
      </c>
      <c r="P172" t="s">
        <v>49</v>
      </c>
      <c r="Q172">
        <v>2</v>
      </c>
      <c r="R172" s="11">
        <v>1157</v>
      </c>
      <c r="S172" s="14">
        <v>51</v>
      </c>
      <c r="T172" s="13">
        <v>3058</v>
      </c>
      <c r="U172" s="13">
        <f t="shared" si="11"/>
        <v>36696</v>
      </c>
      <c r="V172" s="14">
        <v>13364</v>
      </c>
      <c r="W172">
        <v>0</v>
      </c>
      <c r="X172" s="8" t="s">
        <v>38</v>
      </c>
      <c r="Y172" s="15">
        <v>0.16</v>
      </c>
      <c r="Z172">
        <v>3</v>
      </c>
      <c r="AA172">
        <v>4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 t="str">
        <f t="shared" si="12"/>
        <v>0-3</v>
      </c>
      <c r="AI172">
        <v>1</v>
      </c>
      <c r="AJ172" t="str">
        <f t="shared" si="13"/>
        <v>0-2</v>
      </c>
      <c r="AK172">
        <v>1</v>
      </c>
    </row>
    <row r="173" spans="1:37" x14ac:dyDescent="0.25">
      <c r="A173" s="8">
        <v>172</v>
      </c>
      <c r="B173" t="s">
        <v>52</v>
      </c>
      <c r="C173" t="s">
        <v>37</v>
      </c>
      <c r="D173" s="8">
        <v>19</v>
      </c>
      <c r="E173" t="str">
        <f t="shared" si="14"/>
        <v>18-25</v>
      </c>
      <c r="F173" t="s">
        <v>38</v>
      </c>
      <c r="G173" t="s">
        <v>47</v>
      </c>
      <c r="H173" s="8" t="s">
        <v>40</v>
      </c>
      <c r="I173" s="10">
        <v>1</v>
      </c>
      <c r="J173" t="str">
        <f t="shared" si="10"/>
        <v>Near</v>
      </c>
      <c r="K173">
        <v>1</v>
      </c>
      <c r="L173" t="s">
        <v>63</v>
      </c>
      <c r="M173">
        <v>3</v>
      </c>
      <c r="N173">
        <v>1</v>
      </c>
      <c r="O173">
        <v>1</v>
      </c>
      <c r="P173" t="s">
        <v>60</v>
      </c>
      <c r="Q173">
        <v>1</v>
      </c>
      <c r="R173" s="11">
        <v>602</v>
      </c>
      <c r="S173" s="14">
        <v>100</v>
      </c>
      <c r="T173" s="13">
        <v>2325</v>
      </c>
      <c r="U173" s="13">
        <f t="shared" si="11"/>
        <v>27900</v>
      </c>
      <c r="V173" s="14">
        <v>20989</v>
      </c>
      <c r="W173">
        <v>0</v>
      </c>
      <c r="X173" s="8" t="s">
        <v>46</v>
      </c>
      <c r="Y173" s="15">
        <v>0.21</v>
      </c>
      <c r="Z173">
        <v>4</v>
      </c>
      <c r="AA173">
        <v>1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 t="str">
        <f t="shared" si="12"/>
        <v>0-3</v>
      </c>
      <c r="AI173">
        <v>0</v>
      </c>
      <c r="AJ173" t="str">
        <f t="shared" si="13"/>
        <v>0-2</v>
      </c>
      <c r="AK173">
        <v>0</v>
      </c>
    </row>
    <row r="174" spans="1:37" x14ac:dyDescent="0.25">
      <c r="A174" s="8">
        <v>173</v>
      </c>
      <c r="B174" t="s">
        <v>44</v>
      </c>
      <c r="C174" t="s">
        <v>37</v>
      </c>
      <c r="D174" s="8">
        <v>36</v>
      </c>
      <c r="E174" t="str">
        <f t="shared" si="14"/>
        <v>36-45</v>
      </c>
      <c r="F174" t="s">
        <v>46</v>
      </c>
      <c r="G174" t="s">
        <v>47</v>
      </c>
      <c r="H174" s="8" t="s">
        <v>48</v>
      </c>
      <c r="I174" s="10">
        <v>3</v>
      </c>
      <c r="J174" t="str">
        <f t="shared" si="10"/>
        <v>Near</v>
      </c>
      <c r="K174">
        <v>2</v>
      </c>
      <c r="L174" t="s">
        <v>53</v>
      </c>
      <c r="M174">
        <v>4</v>
      </c>
      <c r="N174">
        <v>3</v>
      </c>
      <c r="O174">
        <v>1</v>
      </c>
      <c r="P174" t="s">
        <v>51</v>
      </c>
      <c r="Q174">
        <v>2</v>
      </c>
      <c r="R174" s="11">
        <v>1480</v>
      </c>
      <c r="S174" s="14">
        <v>30</v>
      </c>
      <c r="T174" s="13">
        <v>2088</v>
      </c>
      <c r="U174" s="13">
        <f t="shared" si="11"/>
        <v>25056</v>
      </c>
      <c r="V174" s="14">
        <v>15062</v>
      </c>
      <c r="W174">
        <v>4</v>
      </c>
      <c r="X174" s="8" t="s">
        <v>46</v>
      </c>
      <c r="Y174" s="15">
        <v>0.12</v>
      </c>
      <c r="Z174">
        <v>3</v>
      </c>
      <c r="AA174">
        <v>3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 t="str">
        <f t="shared" si="12"/>
        <v>4-7</v>
      </c>
      <c r="AI174">
        <v>7</v>
      </c>
      <c r="AJ174" t="str">
        <f t="shared" si="13"/>
        <v>6-8</v>
      </c>
      <c r="AK174">
        <v>2</v>
      </c>
    </row>
    <row r="175" spans="1:37" x14ac:dyDescent="0.25">
      <c r="A175" s="8">
        <v>174</v>
      </c>
      <c r="B175" t="s">
        <v>44</v>
      </c>
      <c r="C175" t="s">
        <v>54</v>
      </c>
      <c r="D175" s="8">
        <v>30</v>
      </c>
      <c r="E175" t="str">
        <f t="shared" si="14"/>
        <v>26-35</v>
      </c>
      <c r="F175" t="s">
        <v>46</v>
      </c>
      <c r="G175" t="s">
        <v>58</v>
      </c>
      <c r="H175" s="8" t="s">
        <v>48</v>
      </c>
      <c r="I175" s="10">
        <v>9</v>
      </c>
      <c r="J175" t="str">
        <f t="shared" si="10"/>
        <v>Moderate</v>
      </c>
      <c r="K175">
        <v>3</v>
      </c>
      <c r="L175" t="s">
        <v>53</v>
      </c>
      <c r="M175">
        <v>3</v>
      </c>
      <c r="N175">
        <v>3</v>
      </c>
      <c r="O175">
        <v>2</v>
      </c>
      <c r="P175" t="s">
        <v>51</v>
      </c>
      <c r="Q175">
        <v>1</v>
      </c>
      <c r="R175" s="11">
        <v>111</v>
      </c>
      <c r="S175" s="14">
        <v>66</v>
      </c>
      <c r="T175" s="13">
        <v>3072</v>
      </c>
      <c r="U175" s="13">
        <f t="shared" si="11"/>
        <v>36864</v>
      </c>
      <c r="V175" s="14">
        <v>11012</v>
      </c>
      <c r="W175">
        <v>1</v>
      </c>
      <c r="X175" s="8" t="s">
        <v>46</v>
      </c>
      <c r="Y175" s="15">
        <v>0.11</v>
      </c>
      <c r="Z175">
        <v>3</v>
      </c>
      <c r="AA175">
        <v>3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 t="str">
        <f t="shared" si="12"/>
        <v>8-11</v>
      </c>
      <c r="AI175">
        <v>6</v>
      </c>
      <c r="AJ175" t="str">
        <f t="shared" si="13"/>
        <v>6-8</v>
      </c>
      <c r="AK175">
        <v>10</v>
      </c>
    </row>
    <row r="176" spans="1:37" x14ac:dyDescent="0.25">
      <c r="A176" s="8">
        <v>175</v>
      </c>
      <c r="B176" t="s">
        <v>52</v>
      </c>
      <c r="C176" t="s">
        <v>54</v>
      </c>
      <c r="D176" s="8">
        <v>45</v>
      </c>
      <c r="E176" t="str">
        <f t="shared" si="14"/>
        <v>36-45</v>
      </c>
      <c r="F176" t="s">
        <v>46</v>
      </c>
      <c r="G176" t="s">
        <v>39</v>
      </c>
      <c r="H176" s="8" t="s">
        <v>40</v>
      </c>
      <c r="I176" s="10">
        <v>4</v>
      </c>
      <c r="J176" t="str">
        <f t="shared" si="10"/>
        <v>Near</v>
      </c>
      <c r="K176">
        <v>2</v>
      </c>
      <c r="L176" t="s">
        <v>41</v>
      </c>
      <c r="M176">
        <v>3</v>
      </c>
      <c r="N176">
        <v>3</v>
      </c>
      <c r="O176">
        <v>2</v>
      </c>
      <c r="P176" t="s">
        <v>42</v>
      </c>
      <c r="Q176">
        <v>1</v>
      </c>
      <c r="R176" s="11">
        <v>1268</v>
      </c>
      <c r="S176" s="14">
        <v>30</v>
      </c>
      <c r="T176" s="13">
        <v>5006</v>
      </c>
      <c r="U176" s="13">
        <f t="shared" si="11"/>
        <v>60072</v>
      </c>
      <c r="V176" s="14">
        <v>6319</v>
      </c>
      <c r="W176">
        <v>4</v>
      </c>
      <c r="X176" s="8" t="s">
        <v>38</v>
      </c>
      <c r="Y176" s="15">
        <v>0.11</v>
      </c>
      <c r="Z176">
        <v>3</v>
      </c>
      <c r="AA176">
        <v>1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 t="str">
        <f t="shared" si="12"/>
        <v>4-7</v>
      </c>
      <c r="AI176">
        <v>0</v>
      </c>
      <c r="AJ176" t="str">
        <f t="shared" si="13"/>
        <v>0-2</v>
      </c>
      <c r="AK176">
        <v>3</v>
      </c>
    </row>
    <row r="177" spans="1:37" x14ac:dyDescent="0.25">
      <c r="A177" s="8">
        <v>176</v>
      </c>
      <c r="B177" t="s">
        <v>52</v>
      </c>
      <c r="C177" t="s">
        <v>54</v>
      </c>
      <c r="D177" s="8">
        <v>56</v>
      </c>
      <c r="E177" t="str">
        <f t="shared" si="14"/>
        <v>55+</v>
      </c>
      <c r="F177" t="s">
        <v>46</v>
      </c>
      <c r="G177" t="s">
        <v>39</v>
      </c>
      <c r="H177" s="8" t="s">
        <v>48</v>
      </c>
      <c r="I177" s="10">
        <v>8</v>
      </c>
      <c r="J177" t="str">
        <f t="shared" si="10"/>
        <v>Moderate</v>
      </c>
      <c r="K177">
        <v>3</v>
      </c>
      <c r="L177" t="s">
        <v>41</v>
      </c>
      <c r="M177">
        <v>3</v>
      </c>
      <c r="N177">
        <v>3</v>
      </c>
      <c r="O177">
        <v>1</v>
      </c>
      <c r="P177" t="s">
        <v>49</v>
      </c>
      <c r="Q177">
        <v>1</v>
      </c>
      <c r="R177" s="11">
        <v>713</v>
      </c>
      <c r="S177" s="14">
        <v>67</v>
      </c>
      <c r="T177" s="13">
        <v>4257</v>
      </c>
      <c r="U177" s="13">
        <f t="shared" si="11"/>
        <v>51084</v>
      </c>
      <c r="V177" s="14">
        <v>13939</v>
      </c>
      <c r="W177">
        <v>4</v>
      </c>
      <c r="X177" s="8" t="s">
        <v>38</v>
      </c>
      <c r="Y177" s="15">
        <v>0.18</v>
      </c>
      <c r="Z177">
        <v>3</v>
      </c>
      <c r="AA177">
        <v>3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 t="str">
        <f t="shared" si="12"/>
        <v>0-3</v>
      </c>
      <c r="AI177">
        <v>2</v>
      </c>
      <c r="AJ177" t="str">
        <f t="shared" si="13"/>
        <v>0-2</v>
      </c>
      <c r="AK177">
        <v>2</v>
      </c>
    </row>
    <row r="178" spans="1:37" x14ac:dyDescent="0.25">
      <c r="A178" s="8">
        <v>177</v>
      </c>
      <c r="B178" t="s">
        <v>44</v>
      </c>
      <c r="C178" t="s">
        <v>37</v>
      </c>
      <c r="D178" s="8">
        <v>33</v>
      </c>
      <c r="E178" t="str">
        <f t="shared" si="14"/>
        <v>26-35</v>
      </c>
      <c r="F178" t="s">
        <v>46</v>
      </c>
      <c r="G178" t="s">
        <v>39</v>
      </c>
      <c r="H178" s="8" t="s">
        <v>48</v>
      </c>
      <c r="I178" s="10">
        <v>2</v>
      </c>
      <c r="J178" t="str">
        <f t="shared" si="10"/>
        <v>Near</v>
      </c>
      <c r="K178">
        <v>3</v>
      </c>
      <c r="L178" t="s">
        <v>41</v>
      </c>
      <c r="M178">
        <v>3</v>
      </c>
      <c r="N178">
        <v>3</v>
      </c>
      <c r="O178">
        <v>1</v>
      </c>
      <c r="P178" t="s">
        <v>49</v>
      </c>
      <c r="Q178">
        <v>4</v>
      </c>
      <c r="R178" s="11">
        <v>134</v>
      </c>
      <c r="S178" s="14">
        <v>90</v>
      </c>
      <c r="T178" s="13">
        <v>2500</v>
      </c>
      <c r="U178" s="13">
        <f t="shared" si="11"/>
        <v>30000</v>
      </c>
      <c r="V178" s="14">
        <v>10515</v>
      </c>
      <c r="W178">
        <v>0</v>
      </c>
      <c r="X178" s="8" t="s">
        <v>46</v>
      </c>
      <c r="Y178" s="15">
        <v>0.14000000000000001</v>
      </c>
      <c r="Z178">
        <v>3</v>
      </c>
      <c r="AA178">
        <v>1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 t="str">
        <f t="shared" si="12"/>
        <v>0-3</v>
      </c>
      <c r="AI178">
        <v>0</v>
      </c>
      <c r="AJ178" t="str">
        <f t="shared" si="13"/>
        <v>0-2</v>
      </c>
      <c r="AK178">
        <v>2</v>
      </c>
    </row>
    <row r="179" spans="1:37" x14ac:dyDescent="0.25">
      <c r="A179" s="8">
        <v>178</v>
      </c>
      <c r="B179" t="s">
        <v>44</v>
      </c>
      <c r="C179" t="s">
        <v>37</v>
      </c>
      <c r="D179" s="8">
        <v>19</v>
      </c>
      <c r="E179" t="str">
        <f t="shared" si="14"/>
        <v>18-25</v>
      </c>
      <c r="F179" t="s">
        <v>38</v>
      </c>
      <c r="G179" t="s">
        <v>39</v>
      </c>
      <c r="H179" s="8" t="s">
        <v>48</v>
      </c>
      <c r="I179" s="10">
        <v>2</v>
      </c>
      <c r="J179" t="str">
        <f t="shared" si="10"/>
        <v>Near</v>
      </c>
      <c r="K179">
        <v>3</v>
      </c>
      <c r="L179" t="s">
        <v>41</v>
      </c>
      <c r="M179">
        <v>2</v>
      </c>
      <c r="N179">
        <v>2</v>
      </c>
      <c r="O179">
        <v>1</v>
      </c>
      <c r="P179" t="s">
        <v>51</v>
      </c>
      <c r="Q179">
        <v>4</v>
      </c>
      <c r="R179" s="11">
        <v>303</v>
      </c>
      <c r="S179" s="14">
        <v>47</v>
      </c>
      <c r="T179" s="13">
        <v>1102</v>
      </c>
      <c r="U179" s="13">
        <f t="shared" si="11"/>
        <v>13224</v>
      </c>
      <c r="V179" s="14">
        <v>9241</v>
      </c>
      <c r="W179">
        <v>1</v>
      </c>
      <c r="X179" s="8" t="s">
        <v>46</v>
      </c>
      <c r="Y179" s="15">
        <v>0.22</v>
      </c>
      <c r="Z179">
        <v>4</v>
      </c>
      <c r="AA179">
        <v>3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 t="str">
        <f t="shared" si="12"/>
        <v>0-3</v>
      </c>
      <c r="AI179">
        <v>1</v>
      </c>
      <c r="AJ179" t="str">
        <f t="shared" si="13"/>
        <v>0-2</v>
      </c>
      <c r="AK179">
        <v>0</v>
      </c>
    </row>
    <row r="180" spans="1:37" x14ac:dyDescent="0.25">
      <c r="A180" s="8">
        <v>179</v>
      </c>
      <c r="B180" t="s">
        <v>52</v>
      </c>
      <c r="C180" t="s">
        <v>54</v>
      </c>
      <c r="D180" s="8">
        <v>46</v>
      </c>
      <c r="E180" t="str">
        <f t="shared" si="14"/>
        <v>46-55</v>
      </c>
      <c r="F180" t="s">
        <v>46</v>
      </c>
      <c r="G180" t="s">
        <v>39</v>
      </c>
      <c r="H180" s="8" t="s">
        <v>40</v>
      </c>
      <c r="I180" s="10">
        <v>1</v>
      </c>
      <c r="J180" t="str">
        <f t="shared" si="10"/>
        <v>Near</v>
      </c>
      <c r="K180">
        <v>2</v>
      </c>
      <c r="L180" t="s">
        <v>62</v>
      </c>
      <c r="M180">
        <v>2</v>
      </c>
      <c r="N180">
        <v>3</v>
      </c>
      <c r="O180">
        <v>3</v>
      </c>
      <c r="P180" t="s">
        <v>42</v>
      </c>
      <c r="Q180">
        <v>1</v>
      </c>
      <c r="R180" s="11">
        <v>526</v>
      </c>
      <c r="S180" s="14">
        <v>92</v>
      </c>
      <c r="T180" s="13">
        <v>10453</v>
      </c>
      <c r="U180" s="13">
        <f t="shared" si="11"/>
        <v>125436</v>
      </c>
      <c r="V180" s="14">
        <v>2137</v>
      </c>
      <c r="W180">
        <v>1</v>
      </c>
      <c r="X180" s="8" t="s">
        <v>46</v>
      </c>
      <c r="Y180" s="15">
        <v>0.25</v>
      </c>
      <c r="Z180">
        <v>4</v>
      </c>
      <c r="AA180">
        <v>3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 t="str">
        <f t="shared" si="12"/>
        <v>12-15</v>
      </c>
      <c r="AI180">
        <v>15</v>
      </c>
      <c r="AJ180" t="str">
        <f t="shared" si="13"/>
        <v>12-15</v>
      </c>
      <c r="AK180">
        <v>7</v>
      </c>
    </row>
    <row r="181" spans="1:37" x14ac:dyDescent="0.25">
      <c r="A181" s="8">
        <v>180</v>
      </c>
      <c r="B181" t="s">
        <v>52</v>
      </c>
      <c r="C181" t="s">
        <v>37</v>
      </c>
      <c r="D181" s="8">
        <v>38</v>
      </c>
      <c r="E181" t="str">
        <f t="shared" si="14"/>
        <v>36-45</v>
      </c>
      <c r="F181" t="s">
        <v>46</v>
      </c>
      <c r="G181" t="s">
        <v>39</v>
      </c>
      <c r="H181" s="8" t="s">
        <v>48</v>
      </c>
      <c r="I181" s="10">
        <v>9</v>
      </c>
      <c r="J181" t="str">
        <f t="shared" si="10"/>
        <v>Moderate</v>
      </c>
      <c r="K181">
        <v>2</v>
      </c>
      <c r="L181" t="s">
        <v>41</v>
      </c>
      <c r="M181">
        <v>3</v>
      </c>
      <c r="N181">
        <v>3</v>
      </c>
      <c r="O181">
        <v>1</v>
      </c>
      <c r="P181" t="s">
        <v>51</v>
      </c>
      <c r="Q181">
        <v>4</v>
      </c>
      <c r="R181" s="11">
        <v>1380</v>
      </c>
      <c r="S181" s="14">
        <v>75</v>
      </c>
      <c r="T181" s="13">
        <v>2288</v>
      </c>
      <c r="U181" s="13">
        <f t="shared" si="11"/>
        <v>27456</v>
      </c>
      <c r="V181" s="14">
        <v>6319</v>
      </c>
      <c r="W181">
        <v>1</v>
      </c>
      <c r="X181" s="8" t="s">
        <v>46</v>
      </c>
      <c r="Y181" s="15">
        <v>0.12</v>
      </c>
      <c r="Z181">
        <v>3</v>
      </c>
      <c r="AA181">
        <v>3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 t="str">
        <f t="shared" si="12"/>
        <v>0-3</v>
      </c>
      <c r="AI181">
        <v>2</v>
      </c>
      <c r="AJ181" t="str">
        <f t="shared" si="13"/>
        <v>0-2</v>
      </c>
      <c r="AK181">
        <v>1</v>
      </c>
    </row>
    <row r="182" spans="1:37" x14ac:dyDescent="0.25">
      <c r="A182" s="8">
        <v>181</v>
      </c>
      <c r="B182" t="s">
        <v>52</v>
      </c>
      <c r="C182" t="s">
        <v>45</v>
      </c>
      <c r="D182" s="8">
        <v>31</v>
      </c>
      <c r="E182" t="str">
        <f t="shared" si="14"/>
        <v>26-35</v>
      </c>
      <c r="F182" t="s">
        <v>46</v>
      </c>
      <c r="G182" t="s">
        <v>39</v>
      </c>
      <c r="H182" s="8" t="s">
        <v>48</v>
      </c>
      <c r="I182" s="10">
        <v>12</v>
      </c>
      <c r="J182" t="str">
        <f t="shared" si="10"/>
        <v>Moderate</v>
      </c>
      <c r="K182">
        <v>1</v>
      </c>
      <c r="L182" t="s">
        <v>53</v>
      </c>
      <c r="M182">
        <v>3</v>
      </c>
      <c r="N182">
        <v>3</v>
      </c>
      <c r="O182">
        <v>1</v>
      </c>
      <c r="P182" t="s">
        <v>49</v>
      </c>
      <c r="Q182">
        <v>4</v>
      </c>
      <c r="R182" s="11">
        <v>140</v>
      </c>
      <c r="S182" s="14">
        <v>95</v>
      </c>
      <c r="T182" s="13">
        <v>3929</v>
      </c>
      <c r="U182" s="13">
        <f t="shared" si="11"/>
        <v>47148</v>
      </c>
      <c r="V182" s="14">
        <v>6984</v>
      </c>
      <c r="W182">
        <v>8</v>
      </c>
      <c r="X182" s="8" t="s">
        <v>38</v>
      </c>
      <c r="Y182" s="15">
        <v>0.23</v>
      </c>
      <c r="Z182">
        <v>4</v>
      </c>
      <c r="AA182">
        <v>3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 t="str">
        <f t="shared" si="12"/>
        <v>0-3</v>
      </c>
      <c r="AI182">
        <v>0</v>
      </c>
      <c r="AJ182" t="str">
        <f t="shared" si="13"/>
        <v>0-2</v>
      </c>
      <c r="AK182">
        <v>2</v>
      </c>
    </row>
    <row r="183" spans="1:37" x14ac:dyDescent="0.25">
      <c r="A183" s="8">
        <v>182</v>
      </c>
      <c r="B183" t="s">
        <v>52</v>
      </c>
      <c r="C183" t="s">
        <v>37</v>
      </c>
      <c r="D183" s="8">
        <v>34</v>
      </c>
      <c r="E183" t="str">
        <f t="shared" si="14"/>
        <v>26-35</v>
      </c>
      <c r="F183" t="s">
        <v>46</v>
      </c>
      <c r="G183" t="s">
        <v>39</v>
      </c>
      <c r="H183" s="8" t="s">
        <v>48</v>
      </c>
      <c r="I183" s="10">
        <v>27</v>
      </c>
      <c r="J183" t="str">
        <f t="shared" si="10"/>
        <v>Far</v>
      </c>
      <c r="K183">
        <v>2</v>
      </c>
      <c r="L183" t="s">
        <v>53</v>
      </c>
      <c r="M183">
        <v>4</v>
      </c>
      <c r="N183">
        <v>3</v>
      </c>
      <c r="O183">
        <v>1</v>
      </c>
      <c r="P183" t="s">
        <v>49</v>
      </c>
      <c r="Q183">
        <v>2</v>
      </c>
      <c r="R183" s="11">
        <v>629</v>
      </c>
      <c r="S183" s="14">
        <v>95</v>
      </c>
      <c r="T183" s="13">
        <v>2311</v>
      </c>
      <c r="U183" s="13">
        <f t="shared" si="11"/>
        <v>27732</v>
      </c>
      <c r="V183" s="14">
        <v>5711</v>
      </c>
      <c r="W183">
        <v>2</v>
      </c>
      <c r="X183" s="8" t="s">
        <v>46</v>
      </c>
      <c r="Y183" s="15">
        <v>0.15</v>
      </c>
      <c r="Z183">
        <v>3</v>
      </c>
      <c r="AA183">
        <v>4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 t="str">
        <f t="shared" si="12"/>
        <v>0-3</v>
      </c>
      <c r="AI183">
        <v>1</v>
      </c>
      <c r="AJ183" t="str">
        <f t="shared" si="13"/>
        <v>0-2</v>
      </c>
      <c r="AK183">
        <v>2</v>
      </c>
    </row>
    <row r="184" spans="1:37" x14ac:dyDescent="0.25">
      <c r="A184" s="8">
        <v>183</v>
      </c>
      <c r="B184" t="s">
        <v>52</v>
      </c>
      <c r="C184" t="s">
        <v>37</v>
      </c>
      <c r="D184" s="8">
        <v>41</v>
      </c>
      <c r="E184" t="str">
        <f t="shared" si="14"/>
        <v>36-45</v>
      </c>
      <c r="F184" t="s">
        <v>38</v>
      </c>
      <c r="G184" t="s">
        <v>39</v>
      </c>
      <c r="H184" s="8" t="s">
        <v>40</v>
      </c>
      <c r="I184" s="10">
        <v>20</v>
      </c>
      <c r="J184" t="str">
        <f t="shared" si="10"/>
        <v>Far</v>
      </c>
      <c r="K184">
        <v>2</v>
      </c>
      <c r="L184" t="s">
        <v>62</v>
      </c>
      <c r="M184">
        <v>2</v>
      </c>
      <c r="N184">
        <v>3</v>
      </c>
      <c r="O184">
        <v>1</v>
      </c>
      <c r="P184" t="s">
        <v>60</v>
      </c>
      <c r="Q184">
        <v>2</v>
      </c>
      <c r="R184" s="11">
        <v>1356</v>
      </c>
      <c r="S184" s="14">
        <v>70</v>
      </c>
      <c r="T184" s="13">
        <v>3140</v>
      </c>
      <c r="U184" s="13">
        <f t="shared" si="11"/>
        <v>37680</v>
      </c>
      <c r="V184" s="14">
        <v>21728</v>
      </c>
      <c r="W184">
        <v>1</v>
      </c>
      <c r="X184" s="8" t="s">
        <v>38</v>
      </c>
      <c r="Y184" s="15">
        <v>0.22</v>
      </c>
      <c r="Z184">
        <v>4</v>
      </c>
      <c r="AA184">
        <v>4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 t="str">
        <f t="shared" si="12"/>
        <v>0-3</v>
      </c>
      <c r="AI184">
        <v>0</v>
      </c>
      <c r="AJ184" t="str">
        <f t="shared" si="13"/>
        <v>0-2</v>
      </c>
      <c r="AK184">
        <v>2</v>
      </c>
    </row>
    <row r="185" spans="1:37" x14ac:dyDescent="0.25">
      <c r="A185" s="8">
        <v>184</v>
      </c>
      <c r="B185" t="s">
        <v>44</v>
      </c>
      <c r="C185" t="s">
        <v>45</v>
      </c>
      <c r="D185" s="8">
        <v>50</v>
      </c>
      <c r="E185" t="str">
        <f t="shared" si="14"/>
        <v>46-55</v>
      </c>
      <c r="F185" t="s">
        <v>46</v>
      </c>
      <c r="G185" t="s">
        <v>39</v>
      </c>
      <c r="H185" s="8" t="s">
        <v>48</v>
      </c>
      <c r="I185" s="10">
        <v>1</v>
      </c>
      <c r="J185" t="str">
        <f t="shared" si="10"/>
        <v>Near</v>
      </c>
      <c r="K185">
        <v>3</v>
      </c>
      <c r="L185" t="s">
        <v>53</v>
      </c>
      <c r="M185">
        <v>3</v>
      </c>
      <c r="N185">
        <v>2</v>
      </c>
      <c r="O185">
        <v>1</v>
      </c>
      <c r="P185" t="s">
        <v>51</v>
      </c>
      <c r="Q185">
        <v>3</v>
      </c>
      <c r="R185" s="11">
        <v>328</v>
      </c>
      <c r="S185" s="14">
        <v>86</v>
      </c>
      <c r="T185" s="13">
        <v>3690</v>
      </c>
      <c r="U185" s="13">
        <f t="shared" si="11"/>
        <v>44280</v>
      </c>
      <c r="V185" s="14">
        <v>3425</v>
      </c>
      <c r="W185">
        <v>2</v>
      </c>
      <c r="X185" s="8" t="s">
        <v>46</v>
      </c>
      <c r="Y185" s="15">
        <v>0.15</v>
      </c>
      <c r="Z185">
        <v>3</v>
      </c>
      <c r="AA185">
        <v>4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 t="str">
        <f t="shared" si="12"/>
        <v>0-3</v>
      </c>
      <c r="AI185">
        <v>0</v>
      </c>
      <c r="AJ185" t="str">
        <f t="shared" si="13"/>
        <v>0-2</v>
      </c>
      <c r="AK185">
        <v>2</v>
      </c>
    </row>
    <row r="186" spans="1:37" x14ac:dyDescent="0.25">
      <c r="A186" s="8">
        <v>185</v>
      </c>
      <c r="B186" t="s">
        <v>52</v>
      </c>
      <c r="C186" t="s">
        <v>54</v>
      </c>
      <c r="D186" s="8">
        <v>53</v>
      </c>
      <c r="E186" t="str">
        <f t="shared" si="14"/>
        <v>46-55</v>
      </c>
      <c r="F186" t="s">
        <v>46</v>
      </c>
      <c r="G186" t="s">
        <v>39</v>
      </c>
      <c r="H186" s="8" t="s">
        <v>48</v>
      </c>
      <c r="I186" s="10">
        <v>13</v>
      </c>
      <c r="J186" t="str">
        <f t="shared" si="10"/>
        <v>Moderate</v>
      </c>
      <c r="K186">
        <v>2</v>
      </c>
      <c r="L186" t="s">
        <v>53</v>
      </c>
      <c r="M186">
        <v>4</v>
      </c>
      <c r="N186">
        <v>4</v>
      </c>
      <c r="O186">
        <v>2</v>
      </c>
      <c r="P186" t="s">
        <v>55</v>
      </c>
      <c r="Q186">
        <v>1</v>
      </c>
      <c r="R186" s="11">
        <v>1084</v>
      </c>
      <c r="S186" s="14">
        <v>57</v>
      </c>
      <c r="T186" s="13">
        <v>4450</v>
      </c>
      <c r="U186" s="13">
        <f t="shared" si="11"/>
        <v>53400</v>
      </c>
      <c r="V186" s="14">
        <v>26250</v>
      </c>
      <c r="W186">
        <v>1</v>
      </c>
      <c r="X186" s="8" t="s">
        <v>46</v>
      </c>
      <c r="Y186" s="15">
        <v>0.11</v>
      </c>
      <c r="Z186">
        <v>3</v>
      </c>
      <c r="AA186">
        <v>3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 t="str">
        <f t="shared" si="12"/>
        <v>0-3</v>
      </c>
      <c r="AI186">
        <v>1</v>
      </c>
      <c r="AJ186" t="str">
        <f t="shared" si="13"/>
        <v>0-2</v>
      </c>
      <c r="AK186">
        <v>3</v>
      </c>
    </row>
    <row r="187" spans="1:37" x14ac:dyDescent="0.25">
      <c r="A187" s="8">
        <v>186</v>
      </c>
      <c r="B187" t="s">
        <v>52</v>
      </c>
      <c r="C187" t="s">
        <v>45</v>
      </c>
      <c r="D187" s="8">
        <v>33</v>
      </c>
      <c r="E187" t="str">
        <f t="shared" si="14"/>
        <v>26-35</v>
      </c>
      <c r="F187" t="s">
        <v>46</v>
      </c>
      <c r="G187" t="s">
        <v>39</v>
      </c>
      <c r="H187" s="8" t="s">
        <v>48</v>
      </c>
      <c r="I187" s="10">
        <v>14</v>
      </c>
      <c r="J187" t="str">
        <f t="shared" si="10"/>
        <v>Moderate</v>
      </c>
      <c r="K187">
        <v>3</v>
      </c>
      <c r="L187" t="s">
        <v>53</v>
      </c>
      <c r="M187">
        <v>4</v>
      </c>
      <c r="N187">
        <v>3</v>
      </c>
      <c r="O187">
        <v>1</v>
      </c>
      <c r="P187" t="s">
        <v>49</v>
      </c>
      <c r="Q187">
        <v>2</v>
      </c>
      <c r="R187" s="11">
        <v>931</v>
      </c>
      <c r="S187" s="14">
        <v>72</v>
      </c>
      <c r="T187" s="13">
        <v>2756</v>
      </c>
      <c r="U187" s="13">
        <f t="shared" si="11"/>
        <v>33072</v>
      </c>
      <c r="V187" s="14">
        <v>4673</v>
      </c>
      <c r="W187">
        <v>1</v>
      </c>
      <c r="X187" s="8" t="s">
        <v>46</v>
      </c>
      <c r="Y187" s="15">
        <v>0.13</v>
      </c>
      <c r="Z187">
        <v>3</v>
      </c>
      <c r="AA187">
        <v>4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 t="str">
        <f t="shared" si="12"/>
        <v>4-7</v>
      </c>
      <c r="AI187">
        <v>1</v>
      </c>
      <c r="AJ187" t="str">
        <f t="shared" si="13"/>
        <v>0-2</v>
      </c>
      <c r="AK187">
        <v>6</v>
      </c>
    </row>
    <row r="188" spans="1:37" x14ac:dyDescent="0.25">
      <c r="A188" s="8">
        <v>187</v>
      </c>
      <c r="B188" t="s">
        <v>52</v>
      </c>
      <c r="C188" t="s">
        <v>45</v>
      </c>
      <c r="D188" s="8">
        <v>40</v>
      </c>
      <c r="E188" t="str">
        <f t="shared" si="14"/>
        <v>36-45</v>
      </c>
      <c r="F188" t="s">
        <v>46</v>
      </c>
      <c r="G188" t="s">
        <v>39</v>
      </c>
      <c r="H188" s="8" t="s">
        <v>48</v>
      </c>
      <c r="I188" s="10">
        <v>4</v>
      </c>
      <c r="J188" t="str">
        <f t="shared" si="10"/>
        <v>Near</v>
      </c>
      <c r="K188">
        <v>1</v>
      </c>
      <c r="L188" t="s">
        <v>53</v>
      </c>
      <c r="M188">
        <v>4</v>
      </c>
      <c r="N188">
        <v>3</v>
      </c>
      <c r="O188">
        <v>5</v>
      </c>
      <c r="P188" t="s">
        <v>59</v>
      </c>
      <c r="Q188">
        <v>3</v>
      </c>
      <c r="R188" s="11">
        <v>989</v>
      </c>
      <c r="S188" s="14">
        <v>46</v>
      </c>
      <c r="T188" s="13">
        <v>19033</v>
      </c>
      <c r="U188" s="13">
        <f t="shared" si="11"/>
        <v>228396</v>
      </c>
      <c r="V188" s="14">
        <v>6499</v>
      </c>
      <c r="W188">
        <v>1</v>
      </c>
      <c r="X188" s="8" t="s">
        <v>46</v>
      </c>
      <c r="Y188" s="15">
        <v>0.14000000000000001</v>
      </c>
      <c r="Z188">
        <v>3</v>
      </c>
      <c r="AA188">
        <v>2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 t="str">
        <f t="shared" si="12"/>
        <v>8-11</v>
      </c>
      <c r="AI188">
        <v>9</v>
      </c>
      <c r="AJ188" t="str">
        <f t="shared" si="13"/>
        <v>9-11</v>
      </c>
      <c r="AK188">
        <v>9</v>
      </c>
    </row>
    <row r="189" spans="1:37" x14ac:dyDescent="0.25">
      <c r="A189" s="8">
        <v>188</v>
      </c>
      <c r="B189" t="s">
        <v>44</v>
      </c>
      <c r="C189" t="s">
        <v>37</v>
      </c>
      <c r="D189" s="8">
        <v>55</v>
      </c>
      <c r="E189" t="str">
        <f t="shared" si="14"/>
        <v>46-55</v>
      </c>
      <c r="F189" t="s">
        <v>46</v>
      </c>
      <c r="G189" t="s">
        <v>39</v>
      </c>
      <c r="H189" s="8" t="s">
        <v>48</v>
      </c>
      <c r="I189" s="10">
        <v>14</v>
      </c>
      <c r="J189" t="str">
        <f t="shared" si="10"/>
        <v>Moderate</v>
      </c>
      <c r="K189">
        <v>4</v>
      </c>
      <c r="L189" t="s">
        <v>53</v>
      </c>
      <c r="M189">
        <v>3</v>
      </c>
      <c r="N189">
        <v>4</v>
      </c>
      <c r="O189">
        <v>5</v>
      </c>
      <c r="P189" t="s">
        <v>61</v>
      </c>
      <c r="Q189">
        <v>2</v>
      </c>
      <c r="R189" s="11">
        <v>692</v>
      </c>
      <c r="S189" s="14">
        <v>61</v>
      </c>
      <c r="T189" s="13">
        <v>18722</v>
      </c>
      <c r="U189" s="13">
        <f t="shared" si="11"/>
        <v>224664</v>
      </c>
      <c r="V189" s="14">
        <v>13339</v>
      </c>
      <c r="W189">
        <v>8</v>
      </c>
      <c r="X189" s="8" t="s">
        <v>46</v>
      </c>
      <c r="Y189" s="15">
        <v>0.11</v>
      </c>
      <c r="Z189">
        <v>3</v>
      </c>
      <c r="AA189">
        <v>4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 t="str">
        <f t="shared" si="12"/>
        <v>12-15</v>
      </c>
      <c r="AI189">
        <v>2</v>
      </c>
      <c r="AJ189" t="str">
        <f t="shared" si="13"/>
        <v>0-2</v>
      </c>
      <c r="AK189">
        <v>15</v>
      </c>
    </row>
    <row r="190" spans="1:37" x14ac:dyDescent="0.25">
      <c r="A190" s="8">
        <v>189</v>
      </c>
      <c r="B190" t="s">
        <v>44</v>
      </c>
      <c r="C190" t="s">
        <v>45</v>
      </c>
      <c r="D190" s="8">
        <v>34</v>
      </c>
      <c r="E190" t="str">
        <f t="shared" si="14"/>
        <v>26-35</v>
      </c>
      <c r="F190" t="s">
        <v>46</v>
      </c>
      <c r="G190" t="s">
        <v>47</v>
      </c>
      <c r="H190" s="8" t="s">
        <v>48</v>
      </c>
      <c r="I190" s="10">
        <v>2</v>
      </c>
      <c r="J190" t="str">
        <f t="shared" si="10"/>
        <v>Near</v>
      </c>
      <c r="K190">
        <v>1</v>
      </c>
      <c r="L190" t="s">
        <v>41</v>
      </c>
      <c r="M190">
        <v>4</v>
      </c>
      <c r="N190">
        <v>2</v>
      </c>
      <c r="O190">
        <v>2</v>
      </c>
      <c r="P190" t="s">
        <v>55</v>
      </c>
      <c r="Q190">
        <v>3</v>
      </c>
      <c r="R190" s="11">
        <v>1069</v>
      </c>
      <c r="S190" s="14">
        <v>45</v>
      </c>
      <c r="T190" s="13">
        <v>9547</v>
      </c>
      <c r="U190" s="13">
        <f t="shared" si="11"/>
        <v>114564</v>
      </c>
      <c r="V190" s="14">
        <v>14074</v>
      </c>
      <c r="W190">
        <v>1</v>
      </c>
      <c r="X190" s="8" t="s">
        <v>46</v>
      </c>
      <c r="Y190" s="15">
        <v>0.17</v>
      </c>
      <c r="Z190">
        <v>3</v>
      </c>
      <c r="AA190">
        <v>3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 t="str">
        <f t="shared" si="12"/>
        <v>8-11</v>
      </c>
      <c r="AI190">
        <v>1</v>
      </c>
      <c r="AJ190" t="str">
        <f t="shared" si="13"/>
        <v>0-2</v>
      </c>
      <c r="AK190">
        <v>9</v>
      </c>
    </row>
    <row r="191" spans="1:37" x14ac:dyDescent="0.25">
      <c r="A191" s="8">
        <v>190</v>
      </c>
      <c r="B191" t="s">
        <v>52</v>
      </c>
      <c r="C191" t="s">
        <v>37</v>
      </c>
      <c r="D191" s="8">
        <v>51</v>
      </c>
      <c r="E191" t="str">
        <f t="shared" si="14"/>
        <v>46-55</v>
      </c>
      <c r="F191" t="s">
        <v>46</v>
      </c>
      <c r="G191" t="s">
        <v>39</v>
      </c>
      <c r="H191" s="8" t="s">
        <v>48</v>
      </c>
      <c r="I191" s="10">
        <v>3</v>
      </c>
      <c r="J191" t="str">
        <f t="shared" si="10"/>
        <v>Near</v>
      </c>
      <c r="K191">
        <v>3</v>
      </c>
      <c r="L191" t="s">
        <v>53</v>
      </c>
      <c r="M191">
        <v>4</v>
      </c>
      <c r="N191">
        <v>3</v>
      </c>
      <c r="O191">
        <v>4</v>
      </c>
      <c r="P191" t="s">
        <v>56</v>
      </c>
      <c r="Q191">
        <v>2</v>
      </c>
      <c r="R191" s="11">
        <v>313</v>
      </c>
      <c r="S191" s="14">
        <v>98</v>
      </c>
      <c r="T191" s="13">
        <v>13734</v>
      </c>
      <c r="U191" s="13">
        <f t="shared" si="11"/>
        <v>164808</v>
      </c>
      <c r="V191" s="14">
        <v>7192</v>
      </c>
      <c r="W191">
        <v>3</v>
      </c>
      <c r="X191" s="8" t="s">
        <v>46</v>
      </c>
      <c r="Y191" s="15">
        <v>0.18</v>
      </c>
      <c r="Z191">
        <v>3</v>
      </c>
      <c r="AA191">
        <v>3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 t="str">
        <f t="shared" si="12"/>
        <v>4-7</v>
      </c>
      <c r="AI191">
        <v>1</v>
      </c>
      <c r="AJ191" t="str">
        <f t="shared" si="13"/>
        <v>0-2</v>
      </c>
      <c r="AK191">
        <v>0</v>
      </c>
    </row>
    <row r="192" spans="1:37" x14ac:dyDescent="0.25">
      <c r="A192" s="8">
        <v>191</v>
      </c>
      <c r="B192" t="s">
        <v>44</v>
      </c>
      <c r="C192" t="s">
        <v>45</v>
      </c>
      <c r="D192" s="8">
        <v>52</v>
      </c>
      <c r="E192" t="str">
        <f t="shared" si="14"/>
        <v>46-55</v>
      </c>
      <c r="F192" t="s">
        <v>46</v>
      </c>
      <c r="G192" t="s">
        <v>39</v>
      </c>
      <c r="H192" s="8" t="s">
        <v>48</v>
      </c>
      <c r="I192" s="10">
        <v>1</v>
      </c>
      <c r="J192" t="str">
        <f t="shared" si="10"/>
        <v>Near</v>
      </c>
      <c r="K192">
        <v>4</v>
      </c>
      <c r="L192" t="s">
        <v>41</v>
      </c>
      <c r="M192">
        <v>3</v>
      </c>
      <c r="N192">
        <v>2</v>
      </c>
      <c r="O192">
        <v>5</v>
      </c>
      <c r="P192" t="s">
        <v>59</v>
      </c>
      <c r="Q192">
        <v>3</v>
      </c>
      <c r="R192" s="11">
        <v>699</v>
      </c>
      <c r="S192" s="14">
        <v>65</v>
      </c>
      <c r="T192" s="13">
        <v>19999</v>
      </c>
      <c r="U192" s="13">
        <f t="shared" si="11"/>
        <v>239988</v>
      </c>
      <c r="V192" s="14">
        <v>5678</v>
      </c>
      <c r="W192">
        <v>0</v>
      </c>
      <c r="X192" s="8" t="s">
        <v>46</v>
      </c>
      <c r="Y192" s="15">
        <v>0.14000000000000001</v>
      </c>
      <c r="Z192">
        <v>3</v>
      </c>
      <c r="AA192">
        <v>1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 t="str">
        <f t="shared" si="12"/>
        <v>16-19</v>
      </c>
      <c r="AI192">
        <v>11</v>
      </c>
      <c r="AJ192" t="str">
        <f t="shared" si="13"/>
        <v>9-11</v>
      </c>
      <c r="AK192">
        <v>9</v>
      </c>
    </row>
    <row r="193" spans="1:37" x14ac:dyDescent="0.25">
      <c r="A193" s="8">
        <v>192</v>
      </c>
      <c r="B193" t="s">
        <v>52</v>
      </c>
      <c r="C193" t="s">
        <v>37</v>
      </c>
      <c r="D193" s="8">
        <v>27</v>
      </c>
      <c r="E193" t="str">
        <f t="shared" si="14"/>
        <v>26-35</v>
      </c>
      <c r="F193" t="s">
        <v>46</v>
      </c>
      <c r="G193" t="s">
        <v>39</v>
      </c>
      <c r="H193" s="8" t="s">
        <v>48</v>
      </c>
      <c r="I193" s="10">
        <v>9</v>
      </c>
      <c r="J193" t="str">
        <f t="shared" si="10"/>
        <v>Moderate</v>
      </c>
      <c r="K193">
        <v>3</v>
      </c>
      <c r="L193" t="s">
        <v>53</v>
      </c>
      <c r="M193">
        <v>4</v>
      </c>
      <c r="N193">
        <v>3</v>
      </c>
      <c r="O193">
        <v>1</v>
      </c>
      <c r="P193" t="s">
        <v>49</v>
      </c>
      <c r="Q193">
        <v>2</v>
      </c>
      <c r="R193" s="11">
        <v>894</v>
      </c>
      <c r="S193" s="14">
        <v>99</v>
      </c>
      <c r="T193" s="13">
        <v>2279</v>
      </c>
      <c r="U193" s="13">
        <f t="shared" si="11"/>
        <v>27348</v>
      </c>
      <c r="V193" s="14">
        <v>11781</v>
      </c>
      <c r="W193">
        <v>1</v>
      </c>
      <c r="X193" s="8" t="s">
        <v>46</v>
      </c>
      <c r="Y193" s="15">
        <v>0.16</v>
      </c>
      <c r="Z193">
        <v>3</v>
      </c>
      <c r="AA193">
        <v>4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 t="str">
        <f t="shared" si="12"/>
        <v>4-7</v>
      </c>
      <c r="AI193">
        <v>0</v>
      </c>
      <c r="AJ193" t="str">
        <f t="shared" si="13"/>
        <v>0-2</v>
      </c>
      <c r="AK193">
        <v>3</v>
      </c>
    </row>
    <row r="194" spans="1:37" x14ac:dyDescent="0.25">
      <c r="A194" s="8">
        <v>193</v>
      </c>
      <c r="B194" t="s">
        <v>44</v>
      </c>
      <c r="C194" t="s">
        <v>45</v>
      </c>
      <c r="D194" s="8">
        <v>35</v>
      </c>
      <c r="E194" t="str">
        <f t="shared" si="14"/>
        <v>26-35</v>
      </c>
      <c r="F194" t="s">
        <v>38</v>
      </c>
      <c r="G194" t="s">
        <v>39</v>
      </c>
      <c r="H194" s="8" t="s">
        <v>48</v>
      </c>
      <c r="I194" s="10">
        <v>23</v>
      </c>
      <c r="J194" t="str">
        <f t="shared" si="10"/>
        <v>Far</v>
      </c>
      <c r="K194">
        <v>2</v>
      </c>
      <c r="L194" t="s">
        <v>41</v>
      </c>
      <c r="M194">
        <v>2</v>
      </c>
      <c r="N194">
        <v>2</v>
      </c>
      <c r="O194">
        <v>2</v>
      </c>
      <c r="P194" t="s">
        <v>55</v>
      </c>
      <c r="Q194">
        <v>3</v>
      </c>
      <c r="R194" s="11">
        <v>556</v>
      </c>
      <c r="S194" s="14">
        <v>50</v>
      </c>
      <c r="T194" s="13">
        <v>5916</v>
      </c>
      <c r="U194" s="13">
        <f t="shared" si="11"/>
        <v>70992</v>
      </c>
      <c r="V194" s="14">
        <v>15497</v>
      </c>
      <c r="W194">
        <v>3</v>
      </c>
      <c r="X194" s="8" t="s">
        <v>38</v>
      </c>
      <c r="Y194" s="15">
        <v>0.13</v>
      </c>
      <c r="Z194">
        <v>3</v>
      </c>
      <c r="AA194">
        <v>1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 t="str">
        <f t="shared" si="12"/>
        <v>0-3</v>
      </c>
      <c r="AI194">
        <v>0</v>
      </c>
      <c r="AJ194" t="str">
        <f t="shared" si="13"/>
        <v>0-2</v>
      </c>
      <c r="AK194">
        <v>1</v>
      </c>
    </row>
    <row r="195" spans="1:37" x14ac:dyDescent="0.25">
      <c r="A195" s="8">
        <v>194</v>
      </c>
      <c r="B195" t="s">
        <v>44</v>
      </c>
      <c r="C195" t="s">
        <v>54</v>
      </c>
      <c r="D195" s="8">
        <v>43</v>
      </c>
      <c r="E195" t="str">
        <f t="shared" si="14"/>
        <v>36-45</v>
      </c>
      <c r="F195" t="s">
        <v>46</v>
      </c>
      <c r="G195" t="s">
        <v>58</v>
      </c>
      <c r="H195" s="8" t="s">
        <v>48</v>
      </c>
      <c r="I195" s="10">
        <v>7</v>
      </c>
      <c r="J195" t="str">
        <f t="shared" ref="J195:J258" si="15">IF(I195&lt;=5,"Near",IF(I195&lt;=15,"Moderate",IF(I195&gt;15,"Far")))</f>
        <v>Moderate</v>
      </c>
      <c r="K195">
        <v>3</v>
      </c>
      <c r="L195" t="s">
        <v>53</v>
      </c>
      <c r="M195">
        <v>4</v>
      </c>
      <c r="N195">
        <v>4</v>
      </c>
      <c r="O195">
        <v>1</v>
      </c>
      <c r="P195" t="s">
        <v>49</v>
      </c>
      <c r="Q195">
        <v>4</v>
      </c>
      <c r="R195" s="11">
        <v>1344</v>
      </c>
      <c r="S195" s="14">
        <v>37</v>
      </c>
      <c r="T195" s="13">
        <v>2089</v>
      </c>
      <c r="U195" s="13">
        <f t="shared" ref="U195:U258" si="16">T195*12</f>
        <v>25068</v>
      </c>
      <c r="V195" s="14">
        <v>5228</v>
      </c>
      <c r="W195">
        <v>4</v>
      </c>
      <c r="X195" s="8" t="s">
        <v>46</v>
      </c>
      <c r="Y195" s="15">
        <v>0.14000000000000001</v>
      </c>
      <c r="Z195">
        <v>3</v>
      </c>
      <c r="AA195">
        <v>4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 t="str">
        <f t="shared" ref="AH195:AH258" si="17">IF(AG:AG&lt;=3,"0-3", IF(AG:AG&lt;=7,"4-7", IF(AG:AG&lt;=11,"8-11", IF(AG:AG&lt;=15,"12-15","16-19"))))</f>
        <v>4-7</v>
      </c>
      <c r="AI195">
        <v>2</v>
      </c>
      <c r="AJ195" t="str">
        <f t="shared" ref="AJ195:AJ258" si="18">IF(AI:AI&lt;=2,"0-2",IF(AI:AI&lt;=5,"3-5", IF(AI:AI&lt;=8,"6-8", IF(AI:AI&lt;=11,"9-11","12-15"))))</f>
        <v>0-2</v>
      </c>
      <c r="AK195">
        <v>2</v>
      </c>
    </row>
    <row r="196" spans="1:37" x14ac:dyDescent="0.25">
      <c r="A196" s="8">
        <v>195</v>
      </c>
      <c r="B196" t="s">
        <v>44</v>
      </c>
      <c r="C196" t="s">
        <v>45</v>
      </c>
      <c r="D196" s="8">
        <v>45</v>
      </c>
      <c r="E196" t="str">
        <f t="shared" ref="E196:E259" si="19">IF(D196&lt;25,"18-25",IF(D196&lt;=35,"26-35",IF(D196&lt;=45,"36-45",IF(D196&lt;=55,"46-55",IF(D196&gt;55,"55+")))))</f>
        <v>36-45</v>
      </c>
      <c r="F196" t="s">
        <v>46</v>
      </c>
      <c r="G196" t="s">
        <v>58</v>
      </c>
      <c r="H196" s="8" t="s">
        <v>48</v>
      </c>
      <c r="I196" s="10">
        <v>2</v>
      </c>
      <c r="J196" t="str">
        <f t="shared" si="15"/>
        <v>Near</v>
      </c>
      <c r="K196">
        <v>2</v>
      </c>
      <c r="L196" t="s">
        <v>53</v>
      </c>
      <c r="M196">
        <v>1</v>
      </c>
      <c r="N196">
        <v>2</v>
      </c>
      <c r="O196">
        <v>4</v>
      </c>
      <c r="P196" t="s">
        <v>59</v>
      </c>
      <c r="Q196">
        <v>4</v>
      </c>
      <c r="R196" s="11">
        <v>1195</v>
      </c>
      <c r="S196" s="14">
        <v>65</v>
      </c>
      <c r="T196" s="13">
        <v>16792</v>
      </c>
      <c r="U196" s="13">
        <f t="shared" si="16"/>
        <v>201504</v>
      </c>
      <c r="V196" s="14">
        <v>20462</v>
      </c>
      <c r="W196">
        <v>9</v>
      </c>
      <c r="X196" s="8" t="s">
        <v>46</v>
      </c>
      <c r="Y196" s="15">
        <v>0.23</v>
      </c>
      <c r="Z196">
        <v>4</v>
      </c>
      <c r="AA196">
        <v>4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 t="str">
        <f t="shared" si="17"/>
        <v>8-11</v>
      </c>
      <c r="AI196">
        <v>11</v>
      </c>
      <c r="AJ196" t="str">
        <f t="shared" si="18"/>
        <v>9-11</v>
      </c>
      <c r="AK196">
        <v>8</v>
      </c>
    </row>
    <row r="197" spans="1:37" x14ac:dyDescent="0.25">
      <c r="A197" s="8">
        <v>196</v>
      </c>
      <c r="B197" t="s">
        <v>44</v>
      </c>
      <c r="C197" t="s">
        <v>45</v>
      </c>
      <c r="D197" s="8">
        <v>37</v>
      </c>
      <c r="E197" t="str">
        <f t="shared" si="19"/>
        <v>36-45</v>
      </c>
      <c r="F197" t="s">
        <v>46</v>
      </c>
      <c r="G197" t="s">
        <v>39</v>
      </c>
      <c r="H197" s="8" t="s">
        <v>48</v>
      </c>
      <c r="I197" s="10">
        <v>21</v>
      </c>
      <c r="J197" t="str">
        <f t="shared" si="15"/>
        <v>Far</v>
      </c>
      <c r="K197">
        <v>3</v>
      </c>
      <c r="L197" t="s">
        <v>41</v>
      </c>
      <c r="M197">
        <v>2</v>
      </c>
      <c r="N197">
        <v>4</v>
      </c>
      <c r="O197">
        <v>1</v>
      </c>
      <c r="P197" t="s">
        <v>49</v>
      </c>
      <c r="Q197">
        <v>1</v>
      </c>
      <c r="R197" s="11">
        <v>290</v>
      </c>
      <c r="S197" s="14">
        <v>65</v>
      </c>
      <c r="T197" s="13">
        <v>3564</v>
      </c>
      <c r="U197" s="13">
        <f t="shared" si="16"/>
        <v>42768</v>
      </c>
      <c r="V197" s="14">
        <v>22977</v>
      </c>
      <c r="W197">
        <v>1</v>
      </c>
      <c r="X197" s="8" t="s">
        <v>38</v>
      </c>
      <c r="Y197" s="15">
        <v>0.12</v>
      </c>
      <c r="Z197">
        <v>3</v>
      </c>
      <c r="AA197">
        <v>1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 t="str">
        <f t="shared" si="17"/>
        <v>4-7</v>
      </c>
      <c r="AI197">
        <v>1</v>
      </c>
      <c r="AJ197" t="str">
        <f t="shared" si="18"/>
        <v>0-2</v>
      </c>
      <c r="AK197">
        <v>7</v>
      </c>
    </row>
    <row r="198" spans="1:37" x14ac:dyDescent="0.25">
      <c r="A198" s="8">
        <v>197</v>
      </c>
      <c r="B198" t="s">
        <v>52</v>
      </c>
      <c r="C198" t="s">
        <v>37</v>
      </c>
      <c r="D198" s="8">
        <v>35</v>
      </c>
      <c r="E198" t="str">
        <f t="shared" si="19"/>
        <v>26-35</v>
      </c>
      <c r="F198" t="s">
        <v>46</v>
      </c>
      <c r="G198" t="s">
        <v>47</v>
      </c>
      <c r="H198" s="8" t="s">
        <v>48</v>
      </c>
      <c r="I198" s="10">
        <v>2</v>
      </c>
      <c r="J198" t="str">
        <f t="shared" si="15"/>
        <v>Near</v>
      </c>
      <c r="K198">
        <v>3</v>
      </c>
      <c r="L198" t="s">
        <v>53</v>
      </c>
      <c r="M198">
        <v>2</v>
      </c>
      <c r="N198">
        <v>3</v>
      </c>
      <c r="O198">
        <v>2</v>
      </c>
      <c r="P198" t="s">
        <v>51</v>
      </c>
      <c r="Q198">
        <v>2</v>
      </c>
      <c r="R198" s="11">
        <v>138</v>
      </c>
      <c r="S198" s="14">
        <v>37</v>
      </c>
      <c r="T198" s="13">
        <v>4425</v>
      </c>
      <c r="U198" s="13">
        <f t="shared" si="16"/>
        <v>53100</v>
      </c>
      <c r="V198" s="14">
        <v>15986</v>
      </c>
      <c r="W198">
        <v>5</v>
      </c>
      <c r="X198" s="8" t="s">
        <v>46</v>
      </c>
      <c r="Y198" s="15">
        <v>0.11</v>
      </c>
      <c r="Z198">
        <v>3</v>
      </c>
      <c r="AA198">
        <v>4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 t="str">
        <f t="shared" si="17"/>
        <v>0-3</v>
      </c>
      <c r="AI198">
        <v>1</v>
      </c>
      <c r="AJ198" t="str">
        <f t="shared" si="18"/>
        <v>0-2</v>
      </c>
      <c r="AK198">
        <v>2</v>
      </c>
    </row>
    <row r="199" spans="1:37" x14ac:dyDescent="0.25">
      <c r="A199" s="8">
        <v>198</v>
      </c>
      <c r="B199" t="s">
        <v>52</v>
      </c>
      <c r="C199" t="s">
        <v>54</v>
      </c>
      <c r="D199" s="8">
        <v>42</v>
      </c>
      <c r="E199" t="str">
        <f t="shared" si="19"/>
        <v>36-45</v>
      </c>
      <c r="F199" t="s">
        <v>46</v>
      </c>
      <c r="G199" t="s">
        <v>58</v>
      </c>
      <c r="H199" s="8" t="s">
        <v>48</v>
      </c>
      <c r="I199" s="10">
        <v>21</v>
      </c>
      <c r="J199" t="str">
        <f t="shared" si="15"/>
        <v>Far</v>
      </c>
      <c r="K199">
        <v>2</v>
      </c>
      <c r="L199" t="s">
        <v>53</v>
      </c>
      <c r="M199">
        <v>3</v>
      </c>
      <c r="N199">
        <v>3</v>
      </c>
      <c r="O199">
        <v>2</v>
      </c>
      <c r="P199" t="s">
        <v>55</v>
      </c>
      <c r="Q199">
        <v>3</v>
      </c>
      <c r="R199" s="11">
        <v>926</v>
      </c>
      <c r="S199" s="14">
        <v>36</v>
      </c>
      <c r="T199" s="13">
        <v>5265</v>
      </c>
      <c r="U199" s="13">
        <f t="shared" si="16"/>
        <v>63180</v>
      </c>
      <c r="V199" s="14">
        <v>16439</v>
      </c>
      <c r="W199">
        <v>2</v>
      </c>
      <c r="X199" s="8" t="s">
        <v>46</v>
      </c>
      <c r="Y199" s="15">
        <v>0.16</v>
      </c>
      <c r="Z199">
        <v>3</v>
      </c>
      <c r="AA199">
        <v>2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 t="str">
        <f t="shared" si="17"/>
        <v>0-3</v>
      </c>
      <c r="AI199">
        <v>0</v>
      </c>
      <c r="AJ199" t="str">
        <f t="shared" si="18"/>
        <v>0-2</v>
      </c>
      <c r="AK199">
        <v>2</v>
      </c>
    </row>
    <row r="200" spans="1:37" x14ac:dyDescent="0.25">
      <c r="A200" s="8">
        <v>199</v>
      </c>
      <c r="B200" t="s">
        <v>44</v>
      </c>
      <c r="C200" t="s">
        <v>45</v>
      </c>
      <c r="D200" s="8">
        <v>38</v>
      </c>
      <c r="E200" t="str">
        <f t="shared" si="19"/>
        <v>36-45</v>
      </c>
      <c r="F200" t="s">
        <v>46</v>
      </c>
      <c r="G200" t="s">
        <v>39</v>
      </c>
      <c r="H200" s="8" t="s">
        <v>48</v>
      </c>
      <c r="I200" s="10">
        <v>2</v>
      </c>
      <c r="J200" t="str">
        <f t="shared" si="15"/>
        <v>Near</v>
      </c>
      <c r="K200">
        <v>4</v>
      </c>
      <c r="L200" t="s">
        <v>41</v>
      </c>
      <c r="M200">
        <v>4</v>
      </c>
      <c r="N200">
        <v>3</v>
      </c>
      <c r="O200">
        <v>2</v>
      </c>
      <c r="P200" t="s">
        <v>55</v>
      </c>
      <c r="Q200">
        <v>3</v>
      </c>
      <c r="R200" s="11">
        <v>1261</v>
      </c>
      <c r="S200" s="14">
        <v>88</v>
      </c>
      <c r="T200" s="13">
        <v>6553</v>
      </c>
      <c r="U200" s="13">
        <f t="shared" si="16"/>
        <v>78636</v>
      </c>
      <c r="V200" s="14">
        <v>7259</v>
      </c>
      <c r="W200">
        <v>9</v>
      </c>
      <c r="X200" s="8" t="s">
        <v>46</v>
      </c>
      <c r="Y200" s="15">
        <v>0.14000000000000001</v>
      </c>
      <c r="Z200">
        <v>3</v>
      </c>
      <c r="AA200">
        <v>2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 t="str">
        <f t="shared" si="17"/>
        <v>0-3</v>
      </c>
      <c r="AI200">
        <v>0</v>
      </c>
      <c r="AJ200" t="str">
        <f t="shared" si="18"/>
        <v>0-2</v>
      </c>
      <c r="AK200">
        <v>0</v>
      </c>
    </row>
    <row r="201" spans="1:37" x14ac:dyDescent="0.25">
      <c r="A201" s="8">
        <v>200</v>
      </c>
      <c r="B201" t="s">
        <v>44</v>
      </c>
      <c r="C201" t="s">
        <v>45</v>
      </c>
      <c r="D201" s="8">
        <v>38</v>
      </c>
      <c r="E201" t="str">
        <f t="shared" si="19"/>
        <v>36-45</v>
      </c>
      <c r="F201" t="s">
        <v>46</v>
      </c>
      <c r="G201" t="s">
        <v>39</v>
      </c>
      <c r="H201" s="8" t="s">
        <v>48</v>
      </c>
      <c r="I201" s="10">
        <v>29</v>
      </c>
      <c r="J201" t="str">
        <f t="shared" si="15"/>
        <v>Far</v>
      </c>
      <c r="K201">
        <v>3</v>
      </c>
      <c r="L201" t="s">
        <v>63</v>
      </c>
      <c r="M201">
        <v>4</v>
      </c>
      <c r="N201">
        <v>3</v>
      </c>
      <c r="O201">
        <v>2</v>
      </c>
      <c r="P201" t="s">
        <v>55</v>
      </c>
      <c r="Q201">
        <v>4</v>
      </c>
      <c r="R201" s="11">
        <v>1084</v>
      </c>
      <c r="S201" s="14">
        <v>54</v>
      </c>
      <c r="T201" s="13">
        <v>6261</v>
      </c>
      <c r="U201" s="13">
        <f t="shared" si="16"/>
        <v>75132</v>
      </c>
      <c r="V201" s="14">
        <v>4185</v>
      </c>
      <c r="W201">
        <v>3</v>
      </c>
      <c r="X201" s="8" t="s">
        <v>46</v>
      </c>
      <c r="Y201" s="15">
        <v>0.18</v>
      </c>
      <c r="Z201">
        <v>3</v>
      </c>
      <c r="AA201">
        <v>1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 t="str">
        <f t="shared" si="17"/>
        <v>4-7</v>
      </c>
      <c r="AI201">
        <v>1</v>
      </c>
      <c r="AJ201" t="str">
        <f t="shared" si="18"/>
        <v>0-2</v>
      </c>
      <c r="AK201">
        <v>7</v>
      </c>
    </row>
    <row r="202" spans="1:37" x14ac:dyDescent="0.25">
      <c r="A202" s="8">
        <v>201</v>
      </c>
      <c r="B202" t="s">
        <v>44</v>
      </c>
      <c r="C202" t="s">
        <v>45</v>
      </c>
      <c r="D202" s="8">
        <v>27</v>
      </c>
      <c r="E202" t="str">
        <f t="shared" si="19"/>
        <v>26-35</v>
      </c>
      <c r="F202" t="s">
        <v>46</v>
      </c>
      <c r="G202" t="s">
        <v>47</v>
      </c>
      <c r="H202" s="8" t="s">
        <v>48</v>
      </c>
      <c r="I202" s="10">
        <v>1</v>
      </c>
      <c r="J202" t="str">
        <f t="shared" si="15"/>
        <v>Near</v>
      </c>
      <c r="K202">
        <v>1</v>
      </c>
      <c r="L202" t="s">
        <v>63</v>
      </c>
      <c r="M202">
        <v>3</v>
      </c>
      <c r="N202">
        <v>2</v>
      </c>
      <c r="O202">
        <v>2</v>
      </c>
      <c r="P202" t="s">
        <v>55</v>
      </c>
      <c r="Q202">
        <v>1</v>
      </c>
      <c r="R202" s="11">
        <v>472</v>
      </c>
      <c r="S202" s="14">
        <v>60</v>
      </c>
      <c r="T202" s="13">
        <v>4298</v>
      </c>
      <c r="U202" s="13">
        <f t="shared" si="16"/>
        <v>51576</v>
      </c>
      <c r="V202" s="14">
        <v>9679</v>
      </c>
      <c r="W202">
        <v>5</v>
      </c>
      <c r="X202" s="8" t="s">
        <v>46</v>
      </c>
      <c r="Y202" s="15">
        <v>0.19</v>
      </c>
      <c r="Z202">
        <v>3</v>
      </c>
      <c r="AA202">
        <v>3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 t="str">
        <f t="shared" si="17"/>
        <v>0-3</v>
      </c>
      <c r="AI202">
        <v>2</v>
      </c>
      <c r="AJ202" t="str">
        <f t="shared" si="18"/>
        <v>0-2</v>
      </c>
      <c r="AK202">
        <v>0</v>
      </c>
    </row>
    <row r="203" spans="1:37" x14ac:dyDescent="0.25">
      <c r="A203" s="8">
        <v>202</v>
      </c>
      <c r="B203" t="s">
        <v>44</v>
      </c>
      <c r="C203" t="s">
        <v>54</v>
      </c>
      <c r="D203" s="8">
        <v>49</v>
      </c>
      <c r="E203" t="str">
        <f t="shared" si="19"/>
        <v>46-55</v>
      </c>
      <c r="F203" t="s">
        <v>46</v>
      </c>
      <c r="G203" t="s">
        <v>58</v>
      </c>
      <c r="H203" s="8" t="s">
        <v>48</v>
      </c>
      <c r="I203" s="10">
        <v>18</v>
      </c>
      <c r="J203" t="str">
        <f t="shared" si="15"/>
        <v>Far</v>
      </c>
      <c r="K203">
        <v>4</v>
      </c>
      <c r="L203" t="s">
        <v>41</v>
      </c>
      <c r="M203">
        <v>4</v>
      </c>
      <c r="N203">
        <v>3</v>
      </c>
      <c r="O203">
        <v>2</v>
      </c>
      <c r="P203" t="s">
        <v>55</v>
      </c>
      <c r="Q203">
        <v>4</v>
      </c>
      <c r="R203" s="11">
        <v>1002</v>
      </c>
      <c r="S203" s="14">
        <v>92</v>
      </c>
      <c r="T203" s="13">
        <v>6804</v>
      </c>
      <c r="U203" s="13">
        <f t="shared" si="16"/>
        <v>81648</v>
      </c>
      <c r="V203" s="14">
        <v>23793</v>
      </c>
      <c r="W203">
        <v>1</v>
      </c>
      <c r="X203" s="8" t="s">
        <v>38</v>
      </c>
      <c r="Y203" s="15">
        <v>0.15</v>
      </c>
      <c r="Z203">
        <v>3</v>
      </c>
      <c r="AA203">
        <v>1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 t="str">
        <f t="shared" si="17"/>
        <v>4-7</v>
      </c>
      <c r="AI203">
        <v>1</v>
      </c>
      <c r="AJ203" t="str">
        <f t="shared" si="18"/>
        <v>0-2</v>
      </c>
      <c r="AK203">
        <v>7</v>
      </c>
    </row>
    <row r="204" spans="1:37" x14ac:dyDescent="0.25">
      <c r="A204" s="8">
        <v>203</v>
      </c>
      <c r="B204" t="s">
        <v>44</v>
      </c>
      <c r="C204" t="s">
        <v>54</v>
      </c>
      <c r="D204" s="8">
        <v>34</v>
      </c>
      <c r="E204" t="str">
        <f t="shared" si="19"/>
        <v>26-35</v>
      </c>
      <c r="F204" t="s">
        <v>46</v>
      </c>
      <c r="G204" t="s">
        <v>47</v>
      </c>
      <c r="H204" s="8" t="s">
        <v>48</v>
      </c>
      <c r="I204" s="10">
        <v>10</v>
      </c>
      <c r="J204" t="str">
        <f t="shared" si="15"/>
        <v>Moderate</v>
      </c>
      <c r="K204">
        <v>4</v>
      </c>
      <c r="L204" t="s">
        <v>53</v>
      </c>
      <c r="M204">
        <v>4</v>
      </c>
      <c r="N204">
        <v>3</v>
      </c>
      <c r="O204">
        <v>1</v>
      </c>
      <c r="P204" t="s">
        <v>49</v>
      </c>
      <c r="Q204">
        <v>3</v>
      </c>
      <c r="R204" s="11">
        <v>878</v>
      </c>
      <c r="S204" s="14">
        <v>43</v>
      </c>
      <c r="T204" s="13">
        <v>3815</v>
      </c>
      <c r="U204" s="13">
        <f t="shared" si="16"/>
        <v>45780</v>
      </c>
      <c r="V204" s="14">
        <v>5972</v>
      </c>
      <c r="W204">
        <v>1</v>
      </c>
      <c r="X204" s="8" t="s">
        <v>38</v>
      </c>
      <c r="Y204" s="15">
        <v>0.17</v>
      </c>
      <c r="Z204">
        <v>3</v>
      </c>
      <c r="AA204">
        <v>4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 t="str">
        <f t="shared" si="17"/>
        <v>0-3</v>
      </c>
      <c r="AI204">
        <v>2</v>
      </c>
      <c r="AJ204" t="str">
        <f t="shared" si="18"/>
        <v>0-2</v>
      </c>
      <c r="AK204">
        <v>0</v>
      </c>
    </row>
    <row r="205" spans="1:37" x14ac:dyDescent="0.25">
      <c r="A205" s="8">
        <v>204</v>
      </c>
      <c r="B205" t="s">
        <v>44</v>
      </c>
      <c r="C205" t="s">
        <v>45</v>
      </c>
      <c r="D205" s="8">
        <v>40</v>
      </c>
      <c r="E205" t="str">
        <f t="shared" si="19"/>
        <v>36-45</v>
      </c>
      <c r="F205" t="s">
        <v>46</v>
      </c>
      <c r="G205" t="s">
        <v>39</v>
      </c>
      <c r="H205" s="8" t="s">
        <v>48</v>
      </c>
      <c r="I205" s="10">
        <v>19</v>
      </c>
      <c r="J205" t="str">
        <f t="shared" si="15"/>
        <v>Far</v>
      </c>
      <c r="K205">
        <v>2</v>
      </c>
      <c r="L205" t="s">
        <v>53</v>
      </c>
      <c r="M205">
        <v>3</v>
      </c>
      <c r="N205">
        <v>3</v>
      </c>
      <c r="O205">
        <v>2</v>
      </c>
      <c r="P205" t="s">
        <v>51</v>
      </c>
      <c r="Q205">
        <v>4</v>
      </c>
      <c r="R205" s="11">
        <v>905</v>
      </c>
      <c r="S205" s="14">
        <v>99</v>
      </c>
      <c r="T205" s="13">
        <v>2741</v>
      </c>
      <c r="U205" s="13">
        <f t="shared" si="16"/>
        <v>32892</v>
      </c>
      <c r="V205" s="14">
        <v>16523</v>
      </c>
      <c r="W205">
        <v>8</v>
      </c>
      <c r="X205" s="8" t="s">
        <v>38</v>
      </c>
      <c r="Y205" s="15">
        <v>0.15</v>
      </c>
      <c r="Z205">
        <v>3</v>
      </c>
      <c r="AA205">
        <v>3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 t="str">
        <f t="shared" si="17"/>
        <v>0-3</v>
      </c>
      <c r="AI205">
        <v>3</v>
      </c>
      <c r="AJ205" t="str">
        <f t="shared" si="18"/>
        <v>3-5</v>
      </c>
      <c r="AK205">
        <v>7</v>
      </c>
    </row>
    <row r="206" spans="1:37" x14ac:dyDescent="0.25">
      <c r="A206" s="8">
        <v>205</v>
      </c>
      <c r="B206" t="s">
        <v>44</v>
      </c>
      <c r="C206" t="s">
        <v>45</v>
      </c>
      <c r="D206" s="8">
        <v>38</v>
      </c>
      <c r="E206" t="str">
        <f t="shared" si="19"/>
        <v>36-45</v>
      </c>
      <c r="F206" t="s">
        <v>38</v>
      </c>
      <c r="G206" t="s">
        <v>39</v>
      </c>
      <c r="H206" s="8" t="s">
        <v>48</v>
      </c>
      <c r="I206" s="10">
        <v>29</v>
      </c>
      <c r="J206" t="str">
        <f t="shared" si="15"/>
        <v>Far</v>
      </c>
      <c r="K206">
        <v>1</v>
      </c>
      <c r="L206" t="s">
        <v>53</v>
      </c>
      <c r="M206">
        <v>2</v>
      </c>
      <c r="N206">
        <v>3</v>
      </c>
      <c r="O206">
        <v>2</v>
      </c>
      <c r="P206" t="s">
        <v>56</v>
      </c>
      <c r="Q206">
        <v>1</v>
      </c>
      <c r="R206" s="11">
        <v>1180</v>
      </c>
      <c r="S206" s="14">
        <v>70</v>
      </c>
      <c r="T206" s="13">
        <v>6673</v>
      </c>
      <c r="U206" s="13">
        <f t="shared" si="16"/>
        <v>80076</v>
      </c>
      <c r="V206" s="14">
        <v>11354</v>
      </c>
      <c r="W206">
        <v>7</v>
      </c>
      <c r="X206" s="8" t="s">
        <v>38</v>
      </c>
      <c r="Y206" s="15">
        <v>0.19</v>
      </c>
      <c r="Z206">
        <v>3</v>
      </c>
      <c r="AA206">
        <v>2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 t="str">
        <f t="shared" si="17"/>
        <v>0-3</v>
      </c>
      <c r="AI206">
        <v>0</v>
      </c>
      <c r="AJ206" t="str">
        <f t="shared" si="18"/>
        <v>0-2</v>
      </c>
      <c r="AK206">
        <v>0</v>
      </c>
    </row>
    <row r="207" spans="1:37" x14ac:dyDescent="0.25">
      <c r="A207" s="8">
        <v>206</v>
      </c>
      <c r="B207" t="s">
        <v>52</v>
      </c>
      <c r="C207" t="s">
        <v>45</v>
      </c>
      <c r="D207" s="8">
        <v>29</v>
      </c>
      <c r="E207" t="str">
        <f t="shared" si="19"/>
        <v>26-35</v>
      </c>
      <c r="F207" t="s">
        <v>38</v>
      </c>
      <c r="G207" t="s">
        <v>39</v>
      </c>
      <c r="H207" s="8" t="s">
        <v>40</v>
      </c>
      <c r="I207" s="10">
        <v>27</v>
      </c>
      <c r="J207" t="str">
        <f t="shared" si="15"/>
        <v>Far</v>
      </c>
      <c r="K207">
        <v>3</v>
      </c>
      <c r="L207" t="s">
        <v>62</v>
      </c>
      <c r="M207">
        <v>2</v>
      </c>
      <c r="N207">
        <v>3</v>
      </c>
      <c r="O207">
        <v>3</v>
      </c>
      <c r="P207" t="s">
        <v>42</v>
      </c>
      <c r="Q207">
        <v>4</v>
      </c>
      <c r="R207" s="11">
        <v>121</v>
      </c>
      <c r="S207" s="14">
        <v>35</v>
      </c>
      <c r="T207" s="13">
        <v>7639</v>
      </c>
      <c r="U207" s="13">
        <f t="shared" si="16"/>
        <v>91668</v>
      </c>
      <c r="V207" s="14">
        <v>24525</v>
      </c>
      <c r="W207">
        <v>1</v>
      </c>
      <c r="X207" s="8" t="s">
        <v>46</v>
      </c>
      <c r="Y207" s="15">
        <v>0.22</v>
      </c>
      <c r="Z207">
        <v>4</v>
      </c>
      <c r="AA207">
        <v>4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 t="str">
        <f t="shared" si="17"/>
        <v>4-7</v>
      </c>
      <c r="AI207">
        <v>1</v>
      </c>
      <c r="AJ207" t="str">
        <f t="shared" si="18"/>
        <v>0-2</v>
      </c>
      <c r="AK207">
        <v>9</v>
      </c>
    </row>
    <row r="208" spans="1:37" x14ac:dyDescent="0.25">
      <c r="A208" s="8">
        <v>207</v>
      </c>
      <c r="B208" t="s">
        <v>44</v>
      </c>
      <c r="C208" t="s">
        <v>54</v>
      </c>
      <c r="D208" s="8">
        <v>22</v>
      </c>
      <c r="E208" t="str">
        <f t="shared" si="19"/>
        <v>18-25</v>
      </c>
      <c r="F208" t="s">
        <v>46</v>
      </c>
      <c r="G208" t="s">
        <v>39</v>
      </c>
      <c r="H208" s="8" t="s">
        <v>48</v>
      </c>
      <c r="I208" s="10">
        <v>5</v>
      </c>
      <c r="J208" t="str">
        <f t="shared" si="15"/>
        <v>Near</v>
      </c>
      <c r="K208">
        <v>3</v>
      </c>
      <c r="L208" t="s">
        <v>41</v>
      </c>
      <c r="M208">
        <v>4</v>
      </c>
      <c r="N208">
        <v>4</v>
      </c>
      <c r="O208">
        <v>1</v>
      </c>
      <c r="P208" t="s">
        <v>49</v>
      </c>
      <c r="Q208">
        <v>2</v>
      </c>
      <c r="R208" s="11">
        <v>1136</v>
      </c>
      <c r="S208" s="14">
        <v>60</v>
      </c>
      <c r="T208" s="13">
        <v>2328</v>
      </c>
      <c r="U208" s="13">
        <f t="shared" si="16"/>
        <v>27936</v>
      </c>
      <c r="V208" s="14">
        <v>12392</v>
      </c>
      <c r="W208">
        <v>1</v>
      </c>
      <c r="X208" s="8" t="s">
        <v>38</v>
      </c>
      <c r="Y208" s="15">
        <v>0.16</v>
      </c>
      <c r="Z208">
        <v>3</v>
      </c>
      <c r="AA208">
        <v>1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 t="str">
        <f t="shared" si="17"/>
        <v>0-3</v>
      </c>
      <c r="AI208">
        <v>2</v>
      </c>
      <c r="AJ208" t="str">
        <f t="shared" si="18"/>
        <v>0-2</v>
      </c>
      <c r="AK208">
        <v>2</v>
      </c>
    </row>
    <row r="209" spans="1:37" x14ac:dyDescent="0.25">
      <c r="A209" s="8">
        <v>208</v>
      </c>
      <c r="B209" t="s">
        <v>52</v>
      </c>
      <c r="C209" t="s">
        <v>37</v>
      </c>
      <c r="D209" s="8">
        <v>36</v>
      </c>
      <c r="E209" t="str">
        <f t="shared" si="19"/>
        <v>36-45</v>
      </c>
      <c r="F209" t="s">
        <v>46</v>
      </c>
      <c r="G209" t="s">
        <v>47</v>
      </c>
      <c r="H209" s="8" t="s">
        <v>48</v>
      </c>
      <c r="I209" s="10">
        <v>18</v>
      </c>
      <c r="J209" t="str">
        <f t="shared" si="15"/>
        <v>Far</v>
      </c>
      <c r="K209">
        <v>1</v>
      </c>
      <c r="L209" t="s">
        <v>53</v>
      </c>
      <c r="M209">
        <v>2</v>
      </c>
      <c r="N209">
        <v>3</v>
      </c>
      <c r="O209">
        <v>1</v>
      </c>
      <c r="P209" t="s">
        <v>51</v>
      </c>
      <c r="Q209">
        <v>4</v>
      </c>
      <c r="R209" s="11">
        <v>635</v>
      </c>
      <c r="S209" s="14">
        <v>73</v>
      </c>
      <c r="T209" s="13">
        <v>2153</v>
      </c>
      <c r="U209" s="13">
        <f t="shared" si="16"/>
        <v>25836</v>
      </c>
      <c r="V209" s="14">
        <v>7703</v>
      </c>
      <c r="W209">
        <v>1</v>
      </c>
      <c r="X209" s="8" t="s">
        <v>46</v>
      </c>
      <c r="Y209" s="15">
        <v>0.13</v>
      </c>
      <c r="Z209">
        <v>3</v>
      </c>
      <c r="AA209">
        <v>1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 t="str">
        <f t="shared" si="17"/>
        <v>0-3</v>
      </c>
      <c r="AI209">
        <v>1</v>
      </c>
      <c r="AJ209" t="str">
        <f t="shared" si="18"/>
        <v>0-2</v>
      </c>
      <c r="AK209">
        <v>7</v>
      </c>
    </row>
    <row r="210" spans="1:37" x14ac:dyDescent="0.25">
      <c r="A210" s="8">
        <v>209</v>
      </c>
      <c r="B210" t="s">
        <v>44</v>
      </c>
      <c r="C210" t="s">
        <v>45</v>
      </c>
      <c r="D210" s="8">
        <v>40</v>
      </c>
      <c r="E210" t="str">
        <f t="shared" si="19"/>
        <v>36-45</v>
      </c>
      <c r="F210" t="s">
        <v>46</v>
      </c>
      <c r="G210" t="s">
        <v>58</v>
      </c>
      <c r="H210" s="8" t="s">
        <v>48</v>
      </c>
      <c r="I210" s="10">
        <v>9</v>
      </c>
      <c r="J210" t="str">
        <f t="shared" si="15"/>
        <v>Moderate</v>
      </c>
      <c r="K210">
        <v>5</v>
      </c>
      <c r="L210" t="s">
        <v>41</v>
      </c>
      <c r="M210">
        <v>4</v>
      </c>
      <c r="N210">
        <v>2</v>
      </c>
      <c r="O210">
        <v>2</v>
      </c>
      <c r="P210" t="s">
        <v>56</v>
      </c>
      <c r="Q210">
        <v>4</v>
      </c>
      <c r="R210" s="11">
        <v>1151</v>
      </c>
      <c r="S210" s="14">
        <v>63</v>
      </c>
      <c r="T210" s="13">
        <v>4876</v>
      </c>
      <c r="U210" s="13">
        <f t="shared" si="16"/>
        <v>58512</v>
      </c>
      <c r="V210" s="14">
        <v>14242</v>
      </c>
      <c r="W210">
        <v>9</v>
      </c>
      <c r="X210" s="8" t="s">
        <v>46</v>
      </c>
      <c r="Y210" s="15">
        <v>0.14000000000000001</v>
      </c>
      <c r="Z210">
        <v>3</v>
      </c>
      <c r="AA210">
        <v>4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 t="str">
        <f t="shared" si="17"/>
        <v>0-3</v>
      </c>
      <c r="AI210">
        <v>0</v>
      </c>
      <c r="AJ210" t="str">
        <f t="shared" si="18"/>
        <v>0-2</v>
      </c>
      <c r="AK210">
        <v>2</v>
      </c>
    </row>
    <row r="211" spans="1:37" x14ac:dyDescent="0.25">
      <c r="A211" s="8">
        <v>210</v>
      </c>
      <c r="B211" t="s">
        <v>44</v>
      </c>
      <c r="C211" t="s">
        <v>54</v>
      </c>
      <c r="D211" s="8">
        <v>46</v>
      </c>
      <c r="E211" t="str">
        <f t="shared" si="19"/>
        <v>46-55</v>
      </c>
      <c r="F211" t="s">
        <v>46</v>
      </c>
      <c r="G211" t="s">
        <v>39</v>
      </c>
      <c r="H211" s="8" t="s">
        <v>48</v>
      </c>
      <c r="I211" s="10">
        <v>1</v>
      </c>
      <c r="J211" t="str">
        <f t="shared" si="15"/>
        <v>Near</v>
      </c>
      <c r="K211">
        <v>4</v>
      </c>
      <c r="L211" t="s">
        <v>53</v>
      </c>
      <c r="M211">
        <v>4</v>
      </c>
      <c r="N211">
        <v>3</v>
      </c>
      <c r="O211">
        <v>3</v>
      </c>
      <c r="P211" t="s">
        <v>56</v>
      </c>
      <c r="Q211">
        <v>1</v>
      </c>
      <c r="R211" s="11">
        <v>644</v>
      </c>
      <c r="S211" s="14">
        <v>97</v>
      </c>
      <c r="T211" s="13">
        <v>9396</v>
      </c>
      <c r="U211" s="13">
        <f t="shared" si="16"/>
        <v>112752</v>
      </c>
      <c r="V211" s="14">
        <v>12368</v>
      </c>
      <c r="W211">
        <v>7</v>
      </c>
      <c r="X211" s="8" t="s">
        <v>46</v>
      </c>
      <c r="Y211" s="15">
        <v>0.16</v>
      </c>
      <c r="Z211">
        <v>3</v>
      </c>
      <c r="AA211">
        <v>3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 t="str">
        <f t="shared" si="17"/>
        <v>0-3</v>
      </c>
      <c r="AI211">
        <v>0</v>
      </c>
      <c r="AJ211" t="str">
        <f t="shared" si="18"/>
        <v>0-2</v>
      </c>
      <c r="AK211">
        <v>3</v>
      </c>
    </row>
    <row r="212" spans="1:37" x14ac:dyDescent="0.25">
      <c r="A212" s="8">
        <v>211</v>
      </c>
      <c r="B212" t="s">
        <v>44</v>
      </c>
      <c r="C212" t="s">
        <v>45</v>
      </c>
      <c r="D212" s="8">
        <v>32</v>
      </c>
      <c r="E212" t="str">
        <f t="shared" si="19"/>
        <v>26-35</v>
      </c>
      <c r="F212" t="s">
        <v>38</v>
      </c>
      <c r="G212" t="s">
        <v>39</v>
      </c>
      <c r="H212" s="8" t="s">
        <v>40</v>
      </c>
      <c r="I212" s="10">
        <v>4</v>
      </c>
      <c r="J212" t="str">
        <f t="shared" si="15"/>
        <v>Near</v>
      </c>
      <c r="K212">
        <v>4</v>
      </c>
      <c r="L212" t="s">
        <v>53</v>
      </c>
      <c r="M212">
        <v>4</v>
      </c>
      <c r="N212">
        <v>1</v>
      </c>
      <c r="O212">
        <v>3</v>
      </c>
      <c r="P212" t="s">
        <v>42</v>
      </c>
      <c r="Q212">
        <v>4</v>
      </c>
      <c r="R212" s="11">
        <v>1045</v>
      </c>
      <c r="S212" s="14">
        <v>32</v>
      </c>
      <c r="T212" s="13">
        <v>10400</v>
      </c>
      <c r="U212" s="13">
        <f t="shared" si="16"/>
        <v>124800</v>
      </c>
      <c r="V212" s="14">
        <v>25812</v>
      </c>
      <c r="W212">
        <v>1</v>
      </c>
      <c r="X212" s="8" t="s">
        <v>46</v>
      </c>
      <c r="Y212" s="15">
        <v>0.11</v>
      </c>
      <c r="Z212">
        <v>3</v>
      </c>
      <c r="AA212">
        <v>3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 t="str">
        <f t="shared" si="17"/>
        <v>8-11</v>
      </c>
      <c r="AI212">
        <v>9</v>
      </c>
      <c r="AJ212" t="str">
        <f t="shared" si="18"/>
        <v>9-11</v>
      </c>
      <c r="AK212">
        <v>8</v>
      </c>
    </row>
    <row r="213" spans="1:37" x14ac:dyDescent="0.25">
      <c r="A213" s="8">
        <v>212</v>
      </c>
      <c r="B213" t="s">
        <v>44</v>
      </c>
      <c r="C213" t="s">
        <v>37</v>
      </c>
      <c r="D213" s="8">
        <v>30</v>
      </c>
      <c r="E213" t="str">
        <f t="shared" si="19"/>
        <v>26-35</v>
      </c>
      <c r="F213" t="s">
        <v>46</v>
      </c>
      <c r="G213" t="s">
        <v>58</v>
      </c>
      <c r="H213" s="8" t="s">
        <v>48</v>
      </c>
      <c r="I213" s="10">
        <v>1</v>
      </c>
      <c r="J213" t="str">
        <f t="shared" si="15"/>
        <v>Near</v>
      </c>
      <c r="K213">
        <v>1</v>
      </c>
      <c r="L213" t="s">
        <v>41</v>
      </c>
      <c r="M213">
        <v>3</v>
      </c>
      <c r="N213">
        <v>2</v>
      </c>
      <c r="O213">
        <v>3</v>
      </c>
      <c r="P213" t="s">
        <v>55</v>
      </c>
      <c r="Q213">
        <v>3</v>
      </c>
      <c r="R213" s="11">
        <v>829</v>
      </c>
      <c r="S213" s="14">
        <v>88</v>
      </c>
      <c r="T213" s="13">
        <v>8474</v>
      </c>
      <c r="U213" s="13">
        <f t="shared" si="16"/>
        <v>101688</v>
      </c>
      <c r="V213" s="14">
        <v>20925</v>
      </c>
      <c r="W213">
        <v>1</v>
      </c>
      <c r="X213" s="8" t="s">
        <v>46</v>
      </c>
      <c r="Y213" s="15">
        <v>0.22</v>
      </c>
      <c r="Z213">
        <v>4</v>
      </c>
      <c r="AA213">
        <v>3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 t="str">
        <f t="shared" si="17"/>
        <v>8-11</v>
      </c>
      <c r="AI213">
        <v>5</v>
      </c>
      <c r="AJ213" t="str">
        <f t="shared" si="18"/>
        <v>3-5</v>
      </c>
      <c r="AK213">
        <v>8</v>
      </c>
    </row>
    <row r="214" spans="1:37" x14ac:dyDescent="0.25">
      <c r="A214" s="8">
        <v>213</v>
      </c>
      <c r="B214" t="s">
        <v>52</v>
      </c>
      <c r="C214" t="s">
        <v>37</v>
      </c>
      <c r="D214" s="8">
        <v>27</v>
      </c>
      <c r="E214" t="str">
        <f t="shared" si="19"/>
        <v>26-35</v>
      </c>
      <c r="F214" t="s">
        <v>46</v>
      </c>
      <c r="G214" t="s">
        <v>47</v>
      </c>
      <c r="H214" s="8" t="s">
        <v>40</v>
      </c>
      <c r="I214" s="10">
        <v>20</v>
      </c>
      <c r="J214" t="str">
        <f t="shared" si="15"/>
        <v>Far</v>
      </c>
      <c r="K214">
        <v>3</v>
      </c>
      <c r="L214" t="s">
        <v>41</v>
      </c>
      <c r="M214">
        <v>4</v>
      </c>
      <c r="N214">
        <v>3</v>
      </c>
      <c r="O214">
        <v>2</v>
      </c>
      <c r="P214" t="s">
        <v>42</v>
      </c>
      <c r="Q214">
        <v>3</v>
      </c>
      <c r="R214" s="11">
        <v>1242</v>
      </c>
      <c r="S214" s="14">
        <v>90</v>
      </c>
      <c r="T214" s="13">
        <v>9981</v>
      </c>
      <c r="U214" s="13">
        <f t="shared" si="16"/>
        <v>119772</v>
      </c>
      <c r="V214" s="14">
        <v>12916</v>
      </c>
      <c r="W214">
        <v>1</v>
      </c>
      <c r="X214" s="8" t="s">
        <v>46</v>
      </c>
      <c r="Y214" s="15">
        <v>0.14000000000000001</v>
      </c>
      <c r="Z214">
        <v>3</v>
      </c>
      <c r="AA214">
        <v>4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 t="str">
        <f t="shared" si="17"/>
        <v>4-7</v>
      </c>
      <c r="AI214">
        <v>0</v>
      </c>
      <c r="AJ214" t="str">
        <f t="shared" si="18"/>
        <v>0-2</v>
      </c>
      <c r="AK214">
        <v>7</v>
      </c>
    </row>
    <row r="215" spans="1:37" x14ac:dyDescent="0.25">
      <c r="A215" s="8">
        <v>214</v>
      </c>
      <c r="B215" t="s">
        <v>44</v>
      </c>
      <c r="C215" t="s">
        <v>45</v>
      </c>
      <c r="D215" s="8">
        <v>51</v>
      </c>
      <c r="E215" t="str">
        <f t="shared" si="19"/>
        <v>46-55</v>
      </c>
      <c r="F215" t="s">
        <v>46</v>
      </c>
      <c r="G215" t="s">
        <v>39</v>
      </c>
      <c r="H215" s="8" t="s">
        <v>48</v>
      </c>
      <c r="I215" s="10">
        <v>8</v>
      </c>
      <c r="J215" t="str">
        <f t="shared" si="15"/>
        <v>Moderate</v>
      </c>
      <c r="K215">
        <v>4</v>
      </c>
      <c r="L215" t="s">
        <v>41</v>
      </c>
      <c r="M215">
        <v>2</v>
      </c>
      <c r="N215">
        <v>2</v>
      </c>
      <c r="O215">
        <v>3</v>
      </c>
      <c r="P215" t="s">
        <v>61</v>
      </c>
      <c r="Q215">
        <v>2</v>
      </c>
      <c r="R215" s="11">
        <v>1469</v>
      </c>
      <c r="S215" s="14">
        <v>81</v>
      </c>
      <c r="T215" s="13">
        <v>12490</v>
      </c>
      <c r="U215" s="13">
        <f t="shared" si="16"/>
        <v>149880</v>
      </c>
      <c r="V215" s="14">
        <v>15736</v>
      </c>
      <c r="W215">
        <v>5</v>
      </c>
      <c r="X215" s="8" t="s">
        <v>46</v>
      </c>
      <c r="Y215" s="15">
        <v>0.16</v>
      </c>
      <c r="Z215">
        <v>3</v>
      </c>
      <c r="AA215">
        <v>4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 t="str">
        <f t="shared" si="17"/>
        <v>8-11</v>
      </c>
      <c r="AI215">
        <v>4</v>
      </c>
      <c r="AJ215" t="str">
        <f t="shared" si="18"/>
        <v>3-5</v>
      </c>
      <c r="AK215">
        <v>7</v>
      </c>
    </row>
    <row r="216" spans="1:37" x14ac:dyDescent="0.25">
      <c r="A216" s="8">
        <v>215</v>
      </c>
      <c r="B216" t="s">
        <v>52</v>
      </c>
      <c r="C216" t="s">
        <v>37</v>
      </c>
      <c r="D216" s="8">
        <v>30</v>
      </c>
      <c r="E216" t="str">
        <f t="shared" si="19"/>
        <v>26-35</v>
      </c>
      <c r="F216" t="s">
        <v>38</v>
      </c>
      <c r="G216" t="s">
        <v>39</v>
      </c>
      <c r="H216" s="8" t="s">
        <v>48</v>
      </c>
      <c r="I216" s="10">
        <v>3</v>
      </c>
      <c r="J216" t="str">
        <f t="shared" si="15"/>
        <v>Near</v>
      </c>
      <c r="K216">
        <v>3</v>
      </c>
      <c r="L216" t="s">
        <v>63</v>
      </c>
      <c r="M216">
        <v>4</v>
      </c>
      <c r="N216">
        <v>3</v>
      </c>
      <c r="O216">
        <v>1</v>
      </c>
      <c r="P216" t="s">
        <v>49</v>
      </c>
      <c r="Q216">
        <v>1</v>
      </c>
      <c r="R216" s="11">
        <v>1005</v>
      </c>
      <c r="S216" s="14">
        <v>88</v>
      </c>
      <c r="T216" s="13">
        <v>2657</v>
      </c>
      <c r="U216" s="13">
        <f t="shared" si="16"/>
        <v>31884</v>
      </c>
      <c r="V216" s="14">
        <v>8556</v>
      </c>
      <c r="W216">
        <v>5</v>
      </c>
      <c r="X216" s="8" t="s">
        <v>38</v>
      </c>
      <c r="Y216" s="15">
        <v>0.11</v>
      </c>
      <c r="Z216">
        <v>3</v>
      </c>
      <c r="AA216">
        <v>3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 t="str">
        <f t="shared" si="17"/>
        <v>0-3</v>
      </c>
      <c r="AI216">
        <v>0</v>
      </c>
      <c r="AJ216" t="str">
        <f t="shared" si="18"/>
        <v>0-2</v>
      </c>
      <c r="AK216">
        <v>4</v>
      </c>
    </row>
    <row r="217" spans="1:37" x14ac:dyDescent="0.25">
      <c r="A217" s="8">
        <v>216</v>
      </c>
      <c r="B217" t="s">
        <v>52</v>
      </c>
      <c r="C217" t="s">
        <v>37</v>
      </c>
      <c r="D217" s="8">
        <v>41</v>
      </c>
      <c r="E217" t="str">
        <f t="shared" si="19"/>
        <v>36-45</v>
      </c>
      <c r="F217" t="s">
        <v>46</v>
      </c>
      <c r="G217" t="s">
        <v>39</v>
      </c>
      <c r="H217" s="8" t="s">
        <v>40</v>
      </c>
      <c r="I217" s="10">
        <v>6</v>
      </c>
      <c r="J217" t="str">
        <f t="shared" si="15"/>
        <v>Moderate</v>
      </c>
      <c r="K217">
        <v>3</v>
      </c>
      <c r="L217" t="s">
        <v>41</v>
      </c>
      <c r="M217">
        <v>4</v>
      </c>
      <c r="N217">
        <v>3</v>
      </c>
      <c r="O217">
        <v>3</v>
      </c>
      <c r="P217" t="s">
        <v>59</v>
      </c>
      <c r="Q217">
        <v>4</v>
      </c>
      <c r="R217" s="11">
        <v>896</v>
      </c>
      <c r="S217" s="14">
        <v>75</v>
      </c>
      <c r="T217" s="13">
        <v>13591</v>
      </c>
      <c r="U217" s="13">
        <f t="shared" si="16"/>
        <v>163092</v>
      </c>
      <c r="V217" s="14">
        <v>14674</v>
      </c>
      <c r="W217">
        <v>3</v>
      </c>
      <c r="X217" s="8" t="s">
        <v>38</v>
      </c>
      <c r="Y217" s="15">
        <v>0.18</v>
      </c>
      <c r="Z217">
        <v>3</v>
      </c>
      <c r="AA217">
        <v>3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 t="str">
        <f t="shared" si="17"/>
        <v>0-3</v>
      </c>
      <c r="AI217">
        <v>0</v>
      </c>
      <c r="AJ217" t="str">
        <f t="shared" si="18"/>
        <v>0-2</v>
      </c>
      <c r="AK217">
        <v>0</v>
      </c>
    </row>
    <row r="218" spans="1:37" x14ac:dyDescent="0.25">
      <c r="A218" s="8">
        <v>217</v>
      </c>
      <c r="B218" t="s">
        <v>52</v>
      </c>
      <c r="C218" t="s">
        <v>37</v>
      </c>
      <c r="D218" s="8">
        <v>30</v>
      </c>
      <c r="E218" t="str">
        <f t="shared" si="19"/>
        <v>26-35</v>
      </c>
      <c r="F218" t="s">
        <v>38</v>
      </c>
      <c r="G218" t="s">
        <v>47</v>
      </c>
      <c r="H218" s="8" t="s">
        <v>40</v>
      </c>
      <c r="I218" s="10">
        <v>26</v>
      </c>
      <c r="J218" t="str">
        <f t="shared" si="15"/>
        <v>Far</v>
      </c>
      <c r="K218">
        <v>4</v>
      </c>
      <c r="L218" t="s">
        <v>62</v>
      </c>
      <c r="M218">
        <v>3</v>
      </c>
      <c r="N218">
        <v>2</v>
      </c>
      <c r="O218">
        <v>2</v>
      </c>
      <c r="P218" t="s">
        <v>42</v>
      </c>
      <c r="Q218">
        <v>1</v>
      </c>
      <c r="R218" s="11">
        <v>334</v>
      </c>
      <c r="S218" s="14">
        <v>52</v>
      </c>
      <c r="T218" s="13">
        <v>6696</v>
      </c>
      <c r="U218" s="13">
        <f t="shared" si="16"/>
        <v>80352</v>
      </c>
      <c r="V218" s="14">
        <v>22967</v>
      </c>
      <c r="W218">
        <v>5</v>
      </c>
      <c r="X218" s="8" t="s">
        <v>46</v>
      </c>
      <c r="Y218" s="15">
        <v>0.15</v>
      </c>
      <c r="Z218">
        <v>3</v>
      </c>
      <c r="AA218">
        <v>3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 t="str">
        <f t="shared" si="17"/>
        <v>0-3</v>
      </c>
      <c r="AI218">
        <v>0</v>
      </c>
      <c r="AJ218" t="str">
        <f t="shared" si="18"/>
        <v>0-2</v>
      </c>
      <c r="AK218">
        <v>1</v>
      </c>
    </row>
    <row r="219" spans="1:37" x14ac:dyDescent="0.25">
      <c r="A219" s="8">
        <v>218</v>
      </c>
      <c r="B219" t="s">
        <v>44</v>
      </c>
      <c r="C219" t="s">
        <v>37</v>
      </c>
      <c r="D219" s="8">
        <v>29</v>
      </c>
      <c r="E219" t="str">
        <f t="shared" si="19"/>
        <v>26-35</v>
      </c>
      <c r="F219" t="s">
        <v>38</v>
      </c>
      <c r="G219" t="s">
        <v>39</v>
      </c>
      <c r="H219" s="8" t="s">
        <v>48</v>
      </c>
      <c r="I219" s="10">
        <v>1</v>
      </c>
      <c r="J219" t="str">
        <f t="shared" si="15"/>
        <v>Near</v>
      </c>
      <c r="K219">
        <v>3</v>
      </c>
      <c r="L219" t="s">
        <v>63</v>
      </c>
      <c r="M219">
        <v>3</v>
      </c>
      <c r="N219">
        <v>3</v>
      </c>
      <c r="O219">
        <v>1</v>
      </c>
      <c r="P219" t="s">
        <v>49</v>
      </c>
      <c r="Q219">
        <v>3</v>
      </c>
      <c r="R219" s="11">
        <v>992</v>
      </c>
      <c r="S219" s="14">
        <v>85</v>
      </c>
      <c r="T219" s="13">
        <v>2058</v>
      </c>
      <c r="U219" s="13">
        <f t="shared" si="16"/>
        <v>24696</v>
      </c>
      <c r="V219" s="14">
        <v>19757</v>
      </c>
      <c r="W219">
        <v>0</v>
      </c>
      <c r="X219" s="8" t="s">
        <v>46</v>
      </c>
      <c r="Y219" s="15">
        <v>0.14000000000000001</v>
      </c>
      <c r="Z219">
        <v>3</v>
      </c>
      <c r="AA219">
        <v>4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 t="str">
        <f t="shared" si="17"/>
        <v>0-3</v>
      </c>
      <c r="AI219">
        <v>1</v>
      </c>
      <c r="AJ219" t="str">
        <f t="shared" si="18"/>
        <v>0-2</v>
      </c>
      <c r="AK219">
        <v>5</v>
      </c>
    </row>
    <row r="220" spans="1:37" x14ac:dyDescent="0.25">
      <c r="A220" s="8">
        <v>219</v>
      </c>
      <c r="B220" t="s">
        <v>52</v>
      </c>
      <c r="C220" t="s">
        <v>37</v>
      </c>
      <c r="D220" s="8">
        <v>45</v>
      </c>
      <c r="E220" t="str">
        <f t="shared" si="19"/>
        <v>36-45</v>
      </c>
      <c r="F220" t="s">
        <v>46</v>
      </c>
      <c r="G220" t="s">
        <v>58</v>
      </c>
      <c r="H220" s="8" t="s">
        <v>40</v>
      </c>
      <c r="I220" s="10">
        <v>6</v>
      </c>
      <c r="J220" t="str">
        <f t="shared" si="15"/>
        <v>Moderate</v>
      </c>
      <c r="K220">
        <v>3</v>
      </c>
      <c r="L220" t="s">
        <v>53</v>
      </c>
      <c r="M220">
        <v>4</v>
      </c>
      <c r="N220">
        <v>2</v>
      </c>
      <c r="O220">
        <v>3</v>
      </c>
      <c r="P220" t="s">
        <v>42</v>
      </c>
      <c r="Q220">
        <v>4</v>
      </c>
      <c r="R220" s="11">
        <v>1052</v>
      </c>
      <c r="S220" s="14">
        <v>57</v>
      </c>
      <c r="T220" s="13">
        <v>8865</v>
      </c>
      <c r="U220" s="13">
        <f t="shared" si="16"/>
        <v>106380</v>
      </c>
      <c r="V220" s="14">
        <v>16840</v>
      </c>
      <c r="W220">
        <v>6</v>
      </c>
      <c r="X220" s="8" t="s">
        <v>46</v>
      </c>
      <c r="Y220" s="15">
        <v>0.12</v>
      </c>
      <c r="Z220">
        <v>3</v>
      </c>
      <c r="AA220">
        <v>4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 t="str">
        <f t="shared" si="17"/>
        <v>4-7</v>
      </c>
      <c r="AI220">
        <v>12</v>
      </c>
      <c r="AJ220" t="str">
        <f t="shared" si="18"/>
        <v>12-15</v>
      </c>
      <c r="AK220">
        <v>8</v>
      </c>
    </row>
    <row r="221" spans="1:37" x14ac:dyDescent="0.25">
      <c r="A221" s="8">
        <v>220</v>
      </c>
      <c r="B221" t="s">
        <v>52</v>
      </c>
      <c r="C221" t="s">
        <v>45</v>
      </c>
      <c r="D221" s="8">
        <v>54</v>
      </c>
      <c r="E221" t="str">
        <f t="shared" si="19"/>
        <v>46-55</v>
      </c>
      <c r="F221" t="s">
        <v>46</v>
      </c>
      <c r="G221" t="s">
        <v>39</v>
      </c>
      <c r="H221" s="8" t="s">
        <v>40</v>
      </c>
      <c r="I221" s="10">
        <v>3</v>
      </c>
      <c r="J221" t="str">
        <f t="shared" si="15"/>
        <v>Near</v>
      </c>
      <c r="K221">
        <v>3</v>
      </c>
      <c r="L221" t="s">
        <v>62</v>
      </c>
      <c r="M221">
        <v>4</v>
      </c>
      <c r="N221">
        <v>3</v>
      </c>
      <c r="O221">
        <v>2</v>
      </c>
      <c r="P221" t="s">
        <v>42</v>
      </c>
      <c r="Q221">
        <v>1</v>
      </c>
      <c r="R221" s="11">
        <v>1147</v>
      </c>
      <c r="S221" s="14">
        <v>52</v>
      </c>
      <c r="T221" s="13">
        <v>5940</v>
      </c>
      <c r="U221" s="13">
        <f t="shared" si="16"/>
        <v>71280</v>
      </c>
      <c r="V221" s="14">
        <v>17011</v>
      </c>
      <c r="W221">
        <v>2</v>
      </c>
      <c r="X221" s="8" t="s">
        <v>46</v>
      </c>
      <c r="Y221" s="15">
        <v>0.14000000000000001</v>
      </c>
      <c r="Z221">
        <v>3</v>
      </c>
      <c r="AA221">
        <v>4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 t="str">
        <f t="shared" si="17"/>
        <v>0-3</v>
      </c>
      <c r="AI221">
        <v>0</v>
      </c>
      <c r="AJ221" t="str">
        <f t="shared" si="18"/>
        <v>0-2</v>
      </c>
      <c r="AK221">
        <v>5</v>
      </c>
    </row>
    <row r="222" spans="1:37" x14ac:dyDescent="0.25">
      <c r="A222" s="8">
        <v>221</v>
      </c>
      <c r="B222" t="s">
        <v>44</v>
      </c>
      <c r="C222" t="s">
        <v>37</v>
      </c>
      <c r="D222" s="8">
        <v>36</v>
      </c>
      <c r="E222" t="str">
        <f t="shared" si="19"/>
        <v>36-45</v>
      </c>
      <c r="F222" t="s">
        <v>46</v>
      </c>
      <c r="G222" t="s">
        <v>39</v>
      </c>
      <c r="H222" s="8" t="s">
        <v>48</v>
      </c>
      <c r="I222" s="10">
        <v>5</v>
      </c>
      <c r="J222" t="str">
        <f t="shared" si="15"/>
        <v>Near</v>
      </c>
      <c r="K222">
        <v>2</v>
      </c>
      <c r="L222" t="s">
        <v>41</v>
      </c>
      <c r="M222">
        <v>4</v>
      </c>
      <c r="N222">
        <v>3</v>
      </c>
      <c r="O222">
        <v>2</v>
      </c>
      <c r="P222" t="s">
        <v>51</v>
      </c>
      <c r="Q222">
        <v>2</v>
      </c>
      <c r="R222" s="11">
        <v>1396</v>
      </c>
      <c r="S222" s="14">
        <v>62</v>
      </c>
      <c r="T222" s="13">
        <v>5914</v>
      </c>
      <c r="U222" s="13">
        <f t="shared" si="16"/>
        <v>70968</v>
      </c>
      <c r="V222" s="14">
        <v>9945</v>
      </c>
      <c r="W222">
        <v>8</v>
      </c>
      <c r="X222" s="8" t="s">
        <v>46</v>
      </c>
      <c r="Y222" s="15">
        <v>0.16</v>
      </c>
      <c r="Z222">
        <v>3</v>
      </c>
      <c r="AA222">
        <v>4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 t="str">
        <f t="shared" si="17"/>
        <v>8-11</v>
      </c>
      <c r="AI222">
        <v>3</v>
      </c>
      <c r="AJ222" t="str">
        <f t="shared" si="18"/>
        <v>3-5</v>
      </c>
      <c r="AK222">
        <v>7</v>
      </c>
    </row>
    <row r="223" spans="1:37" x14ac:dyDescent="0.25">
      <c r="A223" s="8">
        <v>222</v>
      </c>
      <c r="B223" t="s">
        <v>52</v>
      </c>
      <c r="C223" t="s">
        <v>45</v>
      </c>
      <c r="D223" s="8">
        <v>33</v>
      </c>
      <c r="E223" t="str">
        <f t="shared" si="19"/>
        <v>26-35</v>
      </c>
      <c r="F223" t="s">
        <v>46</v>
      </c>
      <c r="G223" t="s">
        <v>39</v>
      </c>
      <c r="H223" s="8" t="s">
        <v>48</v>
      </c>
      <c r="I223" s="10">
        <v>4</v>
      </c>
      <c r="J223" t="str">
        <f t="shared" si="15"/>
        <v>Near</v>
      </c>
      <c r="K223">
        <v>4</v>
      </c>
      <c r="L223" t="s">
        <v>53</v>
      </c>
      <c r="M223">
        <v>3</v>
      </c>
      <c r="N223">
        <v>2</v>
      </c>
      <c r="O223">
        <v>1</v>
      </c>
      <c r="P223" t="s">
        <v>49</v>
      </c>
      <c r="Q223">
        <v>2</v>
      </c>
      <c r="R223" s="11">
        <v>147</v>
      </c>
      <c r="S223" s="14">
        <v>47</v>
      </c>
      <c r="T223" s="13">
        <v>2622</v>
      </c>
      <c r="U223" s="13">
        <f t="shared" si="16"/>
        <v>31464</v>
      </c>
      <c r="V223" s="14">
        <v>13248</v>
      </c>
      <c r="W223">
        <v>6</v>
      </c>
      <c r="X223" s="8" t="s">
        <v>46</v>
      </c>
      <c r="Y223" s="15">
        <v>0.21</v>
      </c>
      <c r="Z223">
        <v>4</v>
      </c>
      <c r="AA223">
        <v>4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 t="str">
        <f t="shared" si="17"/>
        <v>0-3</v>
      </c>
      <c r="AI223">
        <v>1</v>
      </c>
      <c r="AJ223" t="str">
        <f t="shared" si="18"/>
        <v>0-2</v>
      </c>
      <c r="AK223">
        <v>1</v>
      </c>
    </row>
    <row r="224" spans="1:37" x14ac:dyDescent="0.25">
      <c r="A224" s="8">
        <v>223</v>
      </c>
      <c r="B224" t="s">
        <v>44</v>
      </c>
      <c r="C224" t="s">
        <v>54</v>
      </c>
      <c r="D224" s="8">
        <v>37</v>
      </c>
      <c r="E224" t="str">
        <f t="shared" si="19"/>
        <v>36-45</v>
      </c>
      <c r="F224" t="s">
        <v>46</v>
      </c>
      <c r="G224" t="s">
        <v>47</v>
      </c>
      <c r="H224" s="8" t="s">
        <v>48</v>
      </c>
      <c r="I224" s="10">
        <v>11</v>
      </c>
      <c r="J224" t="str">
        <f t="shared" si="15"/>
        <v>Moderate</v>
      </c>
      <c r="K224">
        <v>3</v>
      </c>
      <c r="L224" t="s">
        <v>50</v>
      </c>
      <c r="M224">
        <v>2</v>
      </c>
      <c r="N224">
        <v>3</v>
      </c>
      <c r="O224">
        <v>3</v>
      </c>
      <c r="P224" t="s">
        <v>61</v>
      </c>
      <c r="Q224">
        <v>4</v>
      </c>
      <c r="R224" s="11">
        <v>663</v>
      </c>
      <c r="S224" s="14">
        <v>47</v>
      </c>
      <c r="T224" s="13">
        <v>12185</v>
      </c>
      <c r="U224" s="13">
        <f t="shared" si="16"/>
        <v>146220</v>
      </c>
      <c r="V224" s="14">
        <v>10056</v>
      </c>
      <c r="W224">
        <v>1</v>
      </c>
      <c r="X224" s="8" t="s">
        <v>38</v>
      </c>
      <c r="Y224" s="15">
        <v>0.14000000000000001</v>
      </c>
      <c r="Z224">
        <v>3</v>
      </c>
      <c r="AA224">
        <v>3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 t="str">
        <f t="shared" si="17"/>
        <v>8-11</v>
      </c>
      <c r="AI224">
        <v>0</v>
      </c>
      <c r="AJ224" t="str">
        <f t="shared" si="18"/>
        <v>0-2</v>
      </c>
      <c r="AK224">
        <v>7</v>
      </c>
    </row>
    <row r="225" spans="1:37" x14ac:dyDescent="0.25">
      <c r="A225" s="8">
        <v>224</v>
      </c>
      <c r="B225" t="s">
        <v>44</v>
      </c>
      <c r="C225" t="s">
        <v>54</v>
      </c>
      <c r="D225" s="8">
        <v>38</v>
      </c>
      <c r="E225" t="str">
        <f t="shared" si="19"/>
        <v>36-45</v>
      </c>
      <c r="F225" t="s">
        <v>46</v>
      </c>
      <c r="G225" t="s">
        <v>39</v>
      </c>
      <c r="H225" s="8" t="s">
        <v>40</v>
      </c>
      <c r="I225" s="10">
        <v>3</v>
      </c>
      <c r="J225" t="str">
        <f t="shared" si="15"/>
        <v>Near</v>
      </c>
      <c r="K225">
        <v>3</v>
      </c>
      <c r="L225" t="s">
        <v>41</v>
      </c>
      <c r="M225">
        <v>1</v>
      </c>
      <c r="N225">
        <v>3</v>
      </c>
      <c r="O225">
        <v>3</v>
      </c>
      <c r="P225" t="s">
        <v>42</v>
      </c>
      <c r="Q225">
        <v>3</v>
      </c>
      <c r="R225" s="11">
        <v>119</v>
      </c>
      <c r="S225" s="14">
        <v>76</v>
      </c>
      <c r="T225" s="13">
        <v>10609</v>
      </c>
      <c r="U225" s="13">
        <f t="shared" si="16"/>
        <v>127308</v>
      </c>
      <c r="V225" s="14">
        <v>9647</v>
      </c>
      <c r="W225">
        <v>0</v>
      </c>
      <c r="X225" s="8" t="s">
        <v>46</v>
      </c>
      <c r="Y225" s="15">
        <v>0.12</v>
      </c>
      <c r="Z225">
        <v>3</v>
      </c>
      <c r="AA225">
        <v>3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 t="str">
        <f t="shared" si="17"/>
        <v>8-11</v>
      </c>
      <c r="AI225">
        <v>5</v>
      </c>
      <c r="AJ225" t="str">
        <f t="shared" si="18"/>
        <v>3-5</v>
      </c>
      <c r="AK225">
        <v>13</v>
      </c>
    </row>
    <row r="226" spans="1:37" x14ac:dyDescent="0.25">
      <c r="A226" s="8">
        <v>225</v>
      </c>
      <c r="B226" t="s">
        <v>44</v>
      </c>
      <c r="C226" t="s">
        <v>45</v>
      </c>
      <c r="D226" s="8">
        <v>31</v>
      </c>
      <c r="E226" t="str">
        <f t="shared" si="19"/>
        <v>26-35</v>
      </c>
      <c r="F226" t="s">
        <v>46</v>
      </c>
      <c r="G226" t="s">
        <v>58</v>
      </c>
      <c r="H226" s="8" t="s">
        <v>48</v>
      </c>
      <c r="I226" s="10">
        <v>1</v>
      </c>
      <c r="J226" t="str">
        <f t="shared" si="15"/>
        <v>Near</v>
      </c>
      <c r="K226">
        <v>4</v>
      </c>
      <c r="L226" t="s">
        <v>53</v>
      </c>
      <c r="M226">
        <v>3</v>
      </c>
      <c r="N226">
        <v>1</v>
      </c>
      <c r="O226">
        <v>2</v>
      </c>
      <c r="P226" t="s">
        <v>55</v>
      </c>
      <c r="Q226">
        <v>3</v>
      </c>
      <c r="R226" s="11">
        <v>979</v>
      </c>
      <c r="S226" s="14">
        <v>90</v>
      </c>
      <c r="T226" s="13">
        <v>4345</v>
      </c>
      <c r="U226" s="13">
        <f t="shared" si="16"/>
        <v>52140</v>
      </c>
      <c r="V226" s="14">
        <v>4381</v>
      </c>
      <c r="W226">
        <v>0</v>
      </c>
      <c r="X226" s="8" t="s">
        <v>46</v>
      </c>
      <c r="Y226" s="15">
        <v>0.12</v>
      </c>
      <c r="Z226">
        <v>3</v>
      </c>
      <c r="AA226">
        <v>4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 t="str">
        <f t="shared" si="17"/>
        <v>4-7</v>
      </c>
      <c r="AI226">
        <v>1</v>
      </c>
      <c r="AJ226" t="str">
        <f t="shared" si="18"/>
        <v>0-2</v>
      </c>
      <c r="AK226">
        <v>4</v>
      </c>
    </row>
    <row r="227" spans="1:37" x14ac:dyDescent="0.25">
      <c r="A227" s="8">
        <v>226</v>
      </c>
      <c r="B227" t="s">
        <v>44</v>
      </c>
      <c r="C227" t="s">
        <v>45</v>
      </c>
      <c r="D227" s="8">
        <v>59</v>
      </c>
      <c r="E227" t="str">
        <f t="shared" si="19"/>
        <v>55+</v>
      </c>
      <c r="F227" t="s">
        <v>46</v>
      </c>
      <c r="G227" t="s">
        <v>39</v>
      </c>
      <c r="H227" s="8" t="s">
        <v>48</v>
      </c>
      <c r="I227" s="10">
        <v>3</v>
      </c>
      <c r="J227" t="str">
        <f t="shared" si="15"/>
        <v>Near</v>
      </c>
      <c r="K227">
        <v>3</v>
      </c>
      <c r="L227" t="s">
        <v>41</v>
      </c>
      <c r="M227">
        <v>3</v>
      </c>
      <c r="N227">
        <v>2</v>
      </c>
      <c r="O227">
        <v>1</v>
      </c>
      <c r="P227" t="s">
        <v>49</v>
      </c>
      <c r="Q227">
        <v>4</v>
      </c>
      <c r="R227" s="11">
        <v>142</v>
      </c>
      <c r="S227" s="14">
        <v>70</v>
      </c>
      <c r="T227" s="13">
        <v>2177</v>
      </c>
      <c r="U227" s="13">
        <f t="shared" si="16"/>
        <v>26124</v>
      </c>
      <c r="V227" s="14">
        <v>8456</v>
      </c>
      <c r="W227">
        <v>3</v>
      </c>
      <c r="X227" s="8" t="s">
        <v>46</v>
      </c>
      <c r="Y227" s="15">
        <v>0.17</v>
      </c>
      <c r="Z227">
        <v>3</v>
      </c>
      <c r="AA227">
        <v>1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 t="str">
        <f t="shared" si="17"/>
        <v>0-3</v>
      </c>
      <c r="AI227">
        <v>0</v>
      </c>
      <c r="AJ227" t="str">
        <f t="shared" si="18"/>
        <v>0-2</v>
      </c>
      <c r="AK227">
        <v>0</v>
      </c>
    </row>
    <row r="228" spans="1:37" x14ac:dyDescent="0.25">
      <c r="A228" s="8">
        <v>227</v>
      </c>
      <c r="B228" t="s">
        <v>44</v>
      </c>
      <c r="C228" t="s">
        <v>54</v>
      </c>
      <c r="D228" s="8">
        <v>37</v>
      </c>
      <c r="E228" t="str">
        <f t="shared" si="19"/>
        <v>36-45</v>
      </c>
      <c r="F228" t="s">
        <v>46</v>
      </c>
      <c r="G228" t="s">
        <v>47</v>
      </c>
      <c r="H228" s="8" t="s">
        <v>40</v>
      </c>
      <c r="I228" s="10">
        <v>4</v>
      </c>
      <c r="J228" t="str">
        <f t="shared" si="15"/>
        <v>Near</v>
      </c>
      <c r="K228">
        <v>4</v>
      </c>
      <c r="L228" t="s">
        <v>62</v>
      </c>
      <c r="M228">
        <v>1</v>
      </c>
      <c r="N228">
        <v>3</v>
      </c>
      <c r="O228">
        <v>1</v>
      </c>
      <c r="P228" t="s">
        <v>60</v>
      </c>
      <c r="Q228">
        <v>4</v>
      </c>
      <c r="R228" s="11">
        <v>319</v>
      </c>
      <c r="S228" s="14">
        <v>41</v>
      </c>
      <c r="T228" s="13">
        <v>2793</v>
      </c>
      <c r="U228" s="13">
        <f t="shared" si="16"/>
        <v>33516</v>
      </c>
      <c r="V228" s="14">
        <v>2539</v>
      </c>
      <c r="W228">
        <v>4</v>
      </c>
      <c r="X228" s="8" t="s">
        <v>46</v>
      </c>
      <c r="Y228" s="15">
        <v>0.17</v>
      </c>
      <c r="Z228">
        <v>3</v>
      </c>
      <c r="AA228">
        <v>3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 t="str">
        <f t="shared" si="17"/>
        <v>8-11</v>
      </c>
      <c r="AI228">
        <v>5</v>
      </c>
      <c r="AJ228" t="str">
        <f t="shared" si="18"/>
        <v>3-5</v>
      </c>
      <c r="AK228">
        <v>8</v>
      </c>
    </row>
    <row r="229" spans="1:37" x14ac:dyDescent="0.25">
      <c r="A229" s="8">
        <v>228</v>
      </c>
      <c r="B229" t="s">
        <v>52</v>
      </c>
      <c r="C229" t="s">
        <v>45</v>
      </c>
      <c r="D229" s="8">
        <v>29</v>
      </c>
      <c r="E229" t="str">
        <f t="shared" si="19"/>
        <v>26-35</v>
      </c>
      <c r="F229" t="s">
        <v>46</v>
      </c>
      <c r="G229" t="s">
        <v>47</v>
      </c>
      <c r="H229" s="8" t="s">
        <v>40</v>
      </c>
      <c r="I229" s="10">
        <v>1</v>
      </c>
      <c r="J229" t="str">
        <f t="shared" si="15"/>
        <v>Near</v>
      </c>
      <c r="K229">
        <v>1</v>
      </c>
      <c r="L229" t="s">
        <v>53</v>
      </c>
      <c r="M229">
        <v>2</v>
      </c>
      <c r="N229">
        <v>3</v>
      </c>
      <c r="O229">
        <v>3</v>
      </c>
      <c r="P229" t="s">
        <v>42</v>
      </c>
      <c r="Q229">
        <v>4</v>
      </c>
      <c r="R229" s="11">
        <v>1413</v>
      </c>
      <c r="S229" s="14">
        <v>42</v>
      </c>
      <c r="T229" s="13">
        <v>7918</v>
      </c>
      <c r="U229" s="13">
        <f t="shared" si="16"/>
        <v>95016</v>
      </c>
      <c r="V229" s="14">
        <v>6599</v>
      </c>
      <c r="W229">
        <v>1</v>
      </c>
      <c r="X229" s="8" t="s">
        <v>46</v>
      </c>
      <c r="Y229" s="15">
        <v>0.14000000000000001</v>
      </c>
      <c r="Z229">
        <v>3</v>
      </c>
      <c r="AA229">
        <v>4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 t="str">
        <f t="shared" si="17"/>
        <v>8-11</v>
      </c>
      <c r="AI229">
        <v>4</v>
      </c>
      <c r="AJ229" t="str">
        <f t="shared" si="18"/>
        <v>3-5</v>
      </c>
      <c r="AK229">
        <v>1</v>
      </c>
    </row>
    <row r="230" spans="1:37" x14ac:dyDescent="0.25">
      <c r="A230" s="8">
        <v>229</v>
      </c>
      <c r="B230" t="s">
        <v>52</v>
      </c>
      <c r="C230" t="s">
        <v>37</v>
      </c>
      <c r="D230" s="8">
        <v>35</v>
      </c>
      <c r="E230" t="str">
        <f t="shared" si="19"/>
        <v>26-35</v>
      </c>
      <c r="F230" t="s">
        <v>46</v>
      </c>
      <c r="G230" t="s">
        <v>47</v>
      </c>
      <c r="H230" s="8" t="s">
        <v>40</v>
      </c>
      <c r="I230" s="10">
        <v>1</v>
      </c>
      <c r="J230" t="str">
        <f t="shared" si="15"/>
        <v>Near</v>
      </c>
      <c r="K230">
        <v>3</v>
      </c>
      <c r="L230" t="s">
        <v>62</v>
      </c>
      <c r="M230">
        <v>3</v>
      </c>
      <c r="N230">
        <v>3</v>
      </c>
      <c r="O230">
        <v>3</v>
      </c>
      <c r="P230" t="s">
        <v>42</v>
      </c>
      <c r="Q230">
        <v>3</v>
      </c>
      <c r="R230" s="11">
        <v>944</v>
      </c>
      <c r="S230" s="14">
        <v>92</v>
      </c>
      <c r="T230" s="13">
        <v>8789</v>
      </c>
      <c r="U230" s="13">
        <f t="shared" si="16"/>
        <v>105468</v>
      </c>
      <c r="V230" s="14">
        <v>9096</v>
      </c>
      <c r="W230">
        <v>1</v>
      </c>
      <c r="X230" s="8" t="s">
        <v>46</v>
      </c>
      <c r="Y230" s="15">
        <v>0.14000000000000001</v>
      </c>
      <c r="Z230">
        <v>3</v>
      </c>
      <c r="AA230">
        <v>1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 t="str">
        <f t="shared" si="17"/>
        <v>4-7</v>
      </c>
      <c r="AI230">
        <v>0</v>
      </c>
      <c r="AJ230" t="str">
        <f t="shared" si="18"/>
        <v>0-2</v>
      </c>
      <c r="AK230">
        <v>8</v>
      </c>
    </row>
    <row r="231" spans="1:37" x14ac:dyDescent="0.25">
      <c r="A231" s="8">
        <v>230</v>
      </c>
      <c r="B231" t="s">
        <v>44</v>
      </c>
      <c r="C231" t="s">
        <v>37</v>
      </c>
      <c r="D231" s="8">
        <v>29</v>
      </c>
      <c r="E231" t="str">
        <f t="shared" si="19"/>
        <v>26-35</v>
      </c>
      <c r="F231" t="s">
        <v>38</v>
      </c>
      <c r="G231" t="s">
        <v>39</v>
      </c>
      <c r="H231" s="8" t="s">
        <v>48</v>
      </c>
      <c r="I231" s="10">
        <v>18</v>
      </c>
      <c r="J231" t="str">
        <f t="shared" si="15"/>
        <v>Far</v>
      </c>
      <c r="K231">
        <v>1</v>
      </c>
      <c r="L231" t="s">
        <v>53</v>
      </c>
      <c r="M231">
        <v>3</v>
      </c>
      <c r="N231">
        <v>2</v>
      </c>
      <c r="O231">
        <v>1</v>
      </c>
      <c r="P231" t="s">
        <v>49</v>
      </c>
      <c r="Q231">
        <v>4</v>
      </c>
      <c r="R231" s="11">
        <v>896</v>
      </c>
      <c r="S231" s="14">
        <v>86</v>
      </c>
      <c r="T231" s="13">
        <v>2389</v>
      </c>
      <c r="U231" s="13">
        <f t="shared" si="16"/>
        <v>28668</v>
      </c>
      <c r="V231" s="14">
        <v>14961</v>
      </c>
      <c r="W231">
        <v>1</v>
      </c>
      <c r="X231" s="8" t="s">
        <v>38</v>
      </c>
      <c r="Y231" s="15">
        <v>0.13</v>
      </c>
      <c r="Z231">
        <v>3</v>
      </c>
      <c r="AA231">
        <v>3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 t="str">
        <f t="shared" si="17"/>
        <v>0-3</v>
      </c>
      <c r="AI231">
        <v>0</v>
      </c>
      <c r="AJ231" t="str">
        <f t="shared" si="18"/>
        <v>0-2</v>
      </c>
      <c r="AK231">
        <v>1</v>
      </c>
    </row>
    <row r="232" spans="1:37" x14ac:dyDescent="0.25">
      <c r="A232" s="8">
        <v>231</v>
      </c>
      <c r="B232" t="s">
        <v>52</v>
      </c>
      <c r="C232" t="s">
        <v>37</v>
      </c>
      <c r="D232" s="8">
        <v>52</v>
      </c>
      <c r="E232" t="str">
        <f t="shared" si="19"/>
        <v>46-55</v>
      </c>
      <c r="F232" t="s">
        <v>46</v>
      </c>
      <c r="G232" t="s">
        <v>39</v>
      </c>
      <c r="H232" s="8" t="s">
        <v>48</v>
      </c>
      <c r="I232" s="10">
        <v>2</v>
      </c>
      <c r="J232" t="str">
        <f t="shared" si="15"/>
        <v>Near</v>
      </c>
      <c r="K232">
        <v>3</v>
      </c>
      <c r="L232" t="s">
        <v>41</v>
      </c>
      <c r="M232">
        <v>3</v>
      </c>
      <c r="N232">
        <v>2</v>
      </c>
      <c r="O232">
        <v>1</v>
      </c>
      <c r="P232" t="s">
        <v>51</v>
      </c>
      <c r="Q232">
        <v>4</v>
      </c>
      <c r="R232" s="11">
        <v>1323</v>
      </c>
      <c r="S232" s="14">
        <v>89</v>
      </c>
      <c r="T232" s="13">
        <v>3212</v>
      </c>
      <c r="U232" s="13">
        <f t="shared" si="16"/>
        <v>38544</v>
      </c>
      <c r="V232" s="14">
        <v>3300</v>
      </c>
      <c r="W232">
        <v>7</v>
      </c>
      <c r="X232" s="8" t="s">
        <v>46</v>
      </c>
      <c r="Y232" s="15">
        <v>0.15</v>
      </c>
      <c r="Z232">
        <v>3</v>
      </c>
      <c r="AA232">
        <v>2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 t="str">
        <f t="shared" si="17"/>
        <v>0-3</v>
      </c>
      <c r="AI232">
        <v>2</v>
      </c>
      <c r="AJ232" t="str">
        <f t="shared" si="18"/>
        <v>0-2</v>
      </c>
      <c r="AK232">
        <v>2</v>
      </c>
    </row>
    <row r="233" spans="1:37" x14ac:dyDescent="0.25">
      <c r="A233" s="8">
        <v>232</v>
      </c>
      <c r="B233" t="s">
        <v>44</v>
      </c>
      <c r="C233" t="s">
        <v>45</v>
      </c>
      <c r="D233" s="8">
        <v>42</v>
      </c>
      <c r="E233" t="str">
        <f t="shared" si="19"/>
        <v>36-45</v>
      </c>
      <c r="F233" t="s">
        <v>46</v>
      </c>
      <c r="G233" t="s">
        <v>39</v>
      </c>
      <c r="H233" s="8" t="s">
        <v>48</v>
      </c>
      <c r="I233" s="10">
        <v>4</v>
      </c>
      <c r="J233" t="str">
        <f t="shared" si="15"/>
        <v>Near</v>
      </c>
      <c r="K233">
        <v>2</v>
      </c>
      <c r="L233" t="s">
        <v>63</v>
      </c>
      <c r="M233">
        <v>3</v>
      </c>
      <c r="N233">
        <v>3</v>
      </c>
      <c r="O233">
        <v>5</v>
      </c>
      <c r="P233" t="s">
        <v>59</v>
      </c>
      <c r="Q233">
        <v>4</v>
      </c>
      <c r="R233" s="11">
        <v>532</v>
      </c>
      <c r="S233" s="14">
        <v>58</v>
      </c>
      <c r="T233" s="13">
        <v>19232</v>
      </c>
      <c r="U233" s="13">
        <f t="shared" si="16"/>
        <v>230784</v>
      </c>
      <c r="V233" s="14">
        <v>4933</v>
      </c>
      <c r="W233">
        <v>1</v>
      </c>
      <c r="X233" s="8" t="s">
        <v>46</v>
      </c>
      <c r="Y233" s="15">
        <v>0.11</v>
      </c>
      <c r="Z233">
        <v>3</v>
      </c>
      <c r="AA233">
        <v>4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 t="str">
        <f t="shared" si="17"/>
        <v>16-19</v>
      </c>
      <c r="AI233">
        <v>11</v>
      </c>
      <c r="AJ233" t="str">
        <f t="shared" si="18"/>
        <v>9-11</v>
      </c>
      <c r="AK233">
        <v>15</v>
      </c>
    </row>
    <row r="234" spans="1:37" x14ac:dyDescent="0.25">
      <c r="A234" s="8">
        <v>233</v>
      </c>
      <c r="B234" t="s">
        <v>44</v>
      </c>
      <c r="C234" t="s">
        <v>45</v>
      </c>
      <c r="D234" s="8">
        <v>59</v>
      </c>
      <c r="E234" t="str">
        <f t="shared" si="19"/>
        <v>55+</v>
      </c>
      <c r="F234" t="s">
        <v>46</v>
      </c>
      <c r="G234" t="s">
        <v>39</v>
      </c>
      <c r="H234" s="8" t="s">
        <v>64</v>
      </c>
      <c r="I234" s="10">
        <v>6</v>
      </c>
      <c r="J234" t="str">
        <f t="shared" si="15"/>
        <v>Moderate</v>
      </c>
      <c r="K234">
        <v>2</v>
      </c>
      <c r="L234" t="s">
        <v>53</v>
      </c>
      <c r="M234">
        <v>2</v>
      </c>
      <c r="N234">
        <v>3</v>
      </c>
      <c r="O234">
        <v>1</v>
      </c>
      <c r="P234" t="s">
        <v>64</v>
      </c>
      <c r="Q234">
        <v>3</v>
      </c>
      <c r="R234" s="11">
        <v>818</v>
      </c>
      <c r="S234" s="14">
        <v>52</v>
      </c>
      <c r="T234" s="13">
        <v>2267</v>
      </c>
      <c r="U234" s="13">
        <f t="shared" si="16"/>
        <v>27204</v>
      </c>
      <c r="V234" s="14">
        <v>25657</v>
      </c>
      <c r="W234">
        <v>8</v>
      </c>
      <c r="X234" s="8" t="s">
        <v>46</v>
      </c>
      <c r="Y234" s="15">
        <v>0.17</v>
      </c>
      <c r="Z234">
        <v>3</v>
      </c>
      <c r="AA234">
        <v>4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 t="str">
        <f t="shared" si="17"/>
        <v>0-3</v>
      </c>
      <c r="AI234">
        <v>2</v>
      </c>
      <c r="AJ234" t="str">
        <f t="shared" si="18"/>
        <v>0-2</v>
      </c>
      <c r="AK234">
        <v>2</v>
      </c>
    </row>
    <row r="235" spans="1:37" x14ac:dyDescent="0.25">
      <c r="A235" s="8">
        <v>234</v>
      </c>
      <c r="B235" t="s">
        <v>52</v>
      </c>
      <c r="C235" t="s">
        <v>54</v>
      </c>
      <c r="D235" s="8">
        <v>50</v>
      </c>
      <c r="E235" t="str">
        <f t="shared" si="19"/>
        <v>46-55</v>
      </c>
      <c r="F235" t="s">
        <v>46</v>
      </c>
      <c r="G235" t="s">
        <v>39</v>
      </c>
      <c r="H235" s="8" t="s">
        <v>40</v>
      </c>
      <c r="I235" s="10">
        <v>1</v>
      </c>
      <c r="J235" t="str">
        <f t="shared" si="15"/>
        <v>Near</v>
      </c>
      <c r="K235">
        <v>4</v>
      </c>
      <c r="L235" t="s">
        <v>53</v>
      </c>
      <c r="M235">
        <v>4</v>
      </c>
      <c r="N235">
        <v>3</v>
      </c>
      <c r="O235">
        <v>5</v>
      </c>
      <c r="P235" t="s">
        <v>59</v>
      </c>
      <c r="Q235">
        <v>4</v>
      </c>
      <c r="R235" s="11">
        <v>854</v>
      </c>
      <c r="S235" s="14">
        <v>68</v>
      </c>
      <c r="T235" s="13">
        <v>19517</v>
      </c>
      <c r="U235" s="13">
        <f t="shared" si="16"/>
        <v>234204</v>
      </c>
      <c r="V235" s="14">
        <v>24118</v>
      </c>
      <c r="W235">
        <v>3</v>
      </c>
      <c r="X235" s="8" t="s">
        <v>46</v>
      </c>
      <c r="Y235" s="15">
        <v>0.11</v>
      </c>
      <c r="Z235">
        <v>3</v>
      </c>
      <c r="AA235">
        <v>3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 t="str">
        <f t="shared" si="17"/>
        <v>0-3</v>
      </c>
      <c r="AI235">
        <v>0</v>
      </c>
      <c r="AJ235" t="str">
        <f t="shared" si="18"/>
        <v>0-2</v>
      </c>
      <c r="AK235">
        <v>6</v>
      </c>
    </row>
    <row r="236" spans="1:37" x14ac:dyDescent="0.25">
      <c r="A236" s="8">
        <v>235</v>
      </c>
      <c r="B236" t="s">
        <v>44</v>
      </c>
      <c r="C236" t="s">
        <v>45</v>
      </c>
      <c r="D236" s="8">
        <v>33</v>
      </c>
      <c r="E236" t="str">
        <f t="shared" si="19"/>
        <v>26-35</v>
      </c>
      <c r="F236" t="s">
        <v>38</v>
      </c>
      <c r="G236" t="s">
        <v>39</v>
      </c>
      <c r="H236" s="8" t="s">
        <v>48</v>
      </c>
      <c r="I236" s="10">
        <v>14</v>
      </c>
      <c r="J236" t="str">
        <f t="shared" si="15"/>
        <v>Moderate</v>
      </c>
      <c r="K236">
        <v>3</v>
      </c>
      <c r="L236" t="s">
        <v>53</v>
      </c>
      <c r="M236">
        <v>3</v>
      </c>
      <c r="N236">
        <v>3</v>
      </c>
      <c r="O236">
        <v>1</v>
      </c>
      <c r="P236" t="s">
        <v>51</v>
      </c>
      <c r="Q236">
        <v>4</v>
      </c>
      <c r="R236" s="11">
        <v>813</v>
      </c>
      <c r="S236" s="14">
        <v>58</v>
      </c>
      <c r="T236" s="13">
        <v>2436</v>
      </c>
      <c r="U236" s="13">
        <f t="shared" si="16"/>
        <v>29232</v>
      </c>
      <c r="V236" s="14">
        <v>22149</v>
      </c>
      <c r="W236">
        <v>5</v>
      </c>
      <c r="X236" s="8" t="s">
        <v>38</v>
      </c>
      <c r="Y236" s="15">
        <v>0.13</v>
      </c>
      <c r="Z236">
        <v>3</v>
      </c>
      <c r="AA236">
        <v>3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 t="str">
        <f t="shared" si="17"/>
        <v>4-7</v>
      </c>
      <c r="AI236">
        <v>0</v>
      </c>
      <c r="AJ236" t="str">
        <f t="shared" si="18"/>
        <v>0-2</v>
      </c>
      <c r="AK236">
        <v>4</v>
      </c>
    </row>
    <row r="237" spans="1:37" x14ac:dyDescent="0.25">
      <c r="A237" s="8">
        <v>236</v>
      </c>
      <c r="B237" t="s">
        <v>52</v>
      </c>
      <c r="C237" t="s">
        <v>45</v>
      </c>
      <c r="D237" s="8">
        <v>43</v>
      </c>
      <c r="E237" t="str">
        <f t="shared" si="19"/>
        <v>36-45</v>
      </c>
      <c r="F237" t="s">
        <v>46</v>
      </c>
      <c r="G237" t="s">
        <v>39</v>
      </c>
      <c r="H237" s="8" t="s">
        <v>40</v>
      </c>
      <c r="I237" s="10">
        <v>16</v>
      </c>
      <c r="J237" t="str">
        <f t="shared" si="15"/>
        <v>Far</v>
      </c>
      <c r="K237">
        <v>3</v>
      </c>
      <c r="L237" t="s">
        <v>62</v>
      </c>
      <c r="M237">
        <v>4</v>
      </c>
      <c r="N237">
        <v>3</v>
      </c>
      <c r="O237">
        <v>4</v>
      </c>
      <c r="P237" t="s">
        <v>59</v>
      </c>
      <c r="Q237">
        <v>4</v>
      </c>
      <c r="R237" s="11">
        <v>1034</v>
      </c>
      <c r="S237" s="14">
        <v>80</v>
      </c>
      <c r="T237" s="13">
        <v>16064</v>
      </c>
      <c r="U237" s="13">
        <f t="shared" si="16"/>
        <v>192768</v>
      </c>
      <c r="V237" s="14">
        <v>7744</v>
      </c>
      <c r="W237">
        <v>5</v>
      </c>
      <c r="X237" s="8" t="s">
        <v>38</v>
      </c>
      <c r="Y237" s="15">
        <v>0.22</v>
      </c>
      <c r="Z237">
        <v>4</v>
      </c>
      <c r="AA237">
        <v>3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 t="str">
        <f t="shared" si="17"/>
        <v>12-15</v>
      </c>
      <c r="AI237">
        <v>1</v>
      </c>
      <c r="AJ237" t="str">
        <f t="shared" si="18"/>
        <v>0-2</v>
      </c>
      <c r="AK237">
        <v>9</v>
      </c>
    </row>
    <row r="238" spans="1:37" x14ac:dyDescent="0.25">
      <c r="A238" s="8">
        <v>237</v>
      </c>
      <c r="B238" t="s">
        <v>52</v>
      </c>
      <c r="C238" t="s">
        <v>45</v>
      </c>
      <c r="D238" s="8">
        <v>33</v>
      </c>
      <c r="E238" t="str">
        <f t="shared" si="19"/>
        <v>26-35</v>
      </c>
      <c r="F238" t="s">
        <v>38</v>
      </c>
      <c r="G238" t="s">
        <v>39</v>
      </c>
      <c r="H238" s="8" t="s">
        <v>48</v>
      </c>
      <c r="I238" s="10">
        <v>2</v>
      </c>
      <c r="J238" t="str">
        <f t="shared" si="15"/>
        <v>Near</v>
      </c>
      <c r="K238">
        <v>2</v>
      </c>
      <c r="L238" t="s">
        <v>41</v>
      </c>
      <c r="M238">
        <v>1</v>
      </c>
      <c r="N238">
        <v>3</v>
      </c>
      <c r="O238">
        <v>1</v>
      </c>
      <c r="P238" t="s">
        <v>51</v>
      </c>
      <c r="Q238">
        <v>1</v>
      </c>
      <c r="R238" s="11">
        <v>465</v>
      </c>
      <c r="S238" s="14">
        <v>39</v>
      </c>
      <c r="T238" s="13">
        <v>2707</v>
      </c>
      <c r="U238" s="13">
        <f t="shared" si="16"/>
        <v>32484</v>
      </c>
      <c r="V238" s="14">
        <v>21509</v>
      </c>
      <c r="W238">
        <v>7</v>
      </c>
      <c r="X238" s="8" t="s">
        <v>46</v>
      </c>
      <c r="Y238" s="15">
        <v>0.2</v>
      </c>
      <c r="Z238">
        <v>4</v>
      </c>
      <c r="AA238">
        <v>1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 t="str">
        <f t="shared" si="17"/>
        <v>4-7</v>
      </c>
      <c r="AI238">
        <v>1</v>
      </c>
      <c r="AJ238" t="str">
        <f t="shared" si="18"/>
        <v>0-2</v>
      </c>
      <c r="AK238">
        <v>7</v>
      </c>
    </row>
    <row r="239" spans="1:37" x14ac:dyDescent="0.25">
      <c r="A239" s="8">
        <v>238</v>
      </c>
      <c r="B239" t="s">
        <v>44</v>
      </c>
      <c r="C239" t="s">
        <v>37</v>
      </c>
      <c r="D239" s="8">
        <v>52</v>
      </c>
      <c r="E239" t="str">
        <f t="shared" si="19"/>
        <v>46-55</v>
      </c>
      <c r="F239" t="s">
        <v>46</v>
      </c>
      <c r="G239" t="s">
        <v>58</v>
      </c>
      <c r="H239" s="8" t="s">
        <v>40</v>
      </c>
      <c r="I239" s="10">
        <v>2</v>
      </c>
      <c r="J239" t="str">
        <f t="shared" si="15"/>
        <v>Near</v>
      </c>
      <c r="K239">
        <v>4</v>
      </c>
      <c r="L239" t="s">
        <v>41</v>
      </c>
      <c r="M239">
        <v>1</v>
      </c>
      <c r="N239">
        <v>2</v>
      </c>
      <c r="O239">
        <v>5</v>
      </c>
      <c r="P239" t="s">
        <v>59</v>
      </c>
      <c r="Q239">
        <v>3</v>
      </c>
      <c r="R239" s="11">
        <v>771</v>
      </c>
      <c r="S239" s="14">
        <v>79</v>
      </c>
      <c r="T239" s="13">
        <v>19068</v>
      </c>
      <c r="U239" s="13">
        <f t="shared" si="16"/>
        <v>228816</v>
      </c>
      <c r="V239" s="14">
        <v>21030</v>
      </c>
      <c r="W239">
        <v>1</v>
      </c>
      <c r="X239" s="8" t="s">
        <v>38</v>
      </c>
      <c r="Y239" s="15">
        <v>0.18</v>
      </c>
      <c r="Z239">
        <v>3</v>
      </c>
      <c r="AA239">
        <v>4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 t="str">
        <f t="shared" si="17"/>
        <v>4-7</v>
      </c>
      <c r="AI239">
        <v>15</v>
      </c>
      <c r="AJ239" t="str">
        <f t="shared" si="18"/>
        <v>12-15</v>
      </c>
      <c r="AK239">
        <v>12</v>
      </c>
    </row>
    <row r="240" spans="1:37" x14ac:dyDescent="0.25">
      <c r="A240" s="8">
        <v>239</v>
      </c>
      <c r="B240" t="s">
        <v>52</v>
      </c>
      <c r="C240" t="s">
        <v>45</v>
      </c>
      <c r="D240" s="8">
        <v>32</v>
      </c>
      <c r="E240" t="str">
        <f t="shared" si="19"/>
        <v>26-35</v>
      </c>
      <c r="F240" t="s">
        <v>46</v>
      </c>
      <c r="G240" t="s">
        <v>39</v>
      </c>
      <c r="H240" s="8" t="s">
        <v>40</v>
      </c>
      <c r="I240" s="10">
        <v>4</v>
      </c>
      <c r="J240" t="str">
        <f t="shared" si="15"/>
        <v>Near</v>
      </c>
      <c r="K240">
        <v>2</v>
      </c>
      <c r="L240" t="s">
        <v>41</v>
      </c>
      <c r="M240">
        <v>3</v>
      </c>
      <c r="N240">
        <v>3</v>
      </c>
      <c r="O240">
        <v>1</v>
      </c>
      <c r="P240" t="s">
        <v>60</v>
      </c>
      <c r="Q240">
        <v>2</v>
      </c>
      <c r="R240" s="11">
        <v>1401</v>
      </c>
      <c r="S240" s="14">
        <v>56</v>
      </c>
      <c r="T240" s="13">
        <v>3931</v>
      </c>
      <c r="U240" s="13">
        <f t="shared" si="16"/>
        <v>47172</v>
      </c>
      <c r="V240" s="14">
        <v>20990</v>
      </c>
      <c r="W240">
        <v>2</v>
      </c>
      <c r="X240" s="8" t="s">
        <v>46</v>
      </c>
      <c r="Y240" s="15">
        <v>0.11</v>
      </c>
      <c r="Z240">
        <v>3</v>
      </c>
      <c r="AA240">
        <v>1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 t="str">
        <f t="shared" si="17"/>
        <v>0-3</v>
      </c>
      <c r="AI240">
        <v>1</v>
      </c>
      <c r="AJ240" t="str">
        <f t="shared" si="18"/>
        <v>0-2</v>
      </c>
      <c r="AK240">
        <v>2</v>
      </c>
    </row>
    <row r="241" spans="1:37" x14ac:dyDescent="0.25">
      <c r="A241" s="8">
        <v>240</v>
      </c>
      <c r="B241" t="s">
        <v>44</v>
      </c>
      <c r="C241" t="s">
        <v>37</v>
      </c>
      <c r="D241" s="8">
        <v>32</v>
      </c>
      <c r="E241" t="str">
        <f t="shared" si="19"/>
        <v>26-35</v>
      </c>
      <c r="F241" t="s">
        <v>38</v>
      </c>
      <c r="G241" t="s">
        <v>39</v>
      </c>
      <c r="H241" s="8" t="s">
        <v>48</v>
      </c>
      <c r="I241" s="10">
        <v>1</v>
      </c>
      <c r="J241" t="str">
        <f t="shared" si="15"/>
        <v>Near</v>
      </c>
      <c r="K241">
        <v>3</v>
      </c>
      <c r="L241" t="s">
        <v>41</v>
      </c>
      <c r="M241">
        <v>4</v>
      </c>
      <c r="N241">
        <v>2</v>
      </c>
      <c r="O241">
        <v>1</v>
      </c>
      <c r="P241" t="s">
        <v>51</v>
      </c>
      <c r="Q241">
        <v>3</v>
      </c>
      <c r="R241" s="11">
        <v>515</v>
      </c>
      <c r="S241" s="14">
        <v>62</v>
      </c>
      <c r="T241" s="13">
        <v>3730</v>
      </c>
      <c r="U241" s="13">
        <f t="shared" si="16"/>
        <v>44760</v>
      </c>
      <c r="V241" s="14">
        <v>9571</v>
      </c>
      <c r="W241">
        <v>0</v>
      </c>
      <c r="X241" s="8" t="s">
        <v>38</v>
      </c>
      <c r="Y241" s="15">
        <v>0.14000000000000001</v>
      </c>
      <c r="Z241">
        <v>3</v>
      </c>
      <c r="AA241">
        <v>4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 t="str">
        <f t="shared" si="17"/>
        <v>0-3</v>
      </c>
      <c r="AI241">
        <v>1</v>
      </c>
      <c r="AJ241" t="str">
        <f t="shared" si="18"/>
        <v>0-2</v>
      </c>
      <c r="AK241">
        <v>2</v>
      </c>
    </row>
    <row r="242" spans="1:37" x14ac:dyDescent="0.25">
      <c r="A242" s="8">
        <v>241</v>
      </c>
      <c r="B242" t="s">
        <v>52</v>
      </c>
      <c r="C242" t="s">
        <v>54</v>
      </c>
      <c r="D242" s="8">
        <v>39</v>
      </c>
      <c r="E242" t="str">
        <f t="shared" si="19"/>
        <v>36-45</v>
      </c>
      <c r="F242" t="s">
        <v>46</v>
      </c>
      <c r="G242" t="s">
        <v>39</v>
      </c>
      <c r="H242" s="8" t="s">
        <v>48</v>
      </c>
      <c r="I242" s="10">
        <v>1</v>
      </c>
      <c r="J242" t="str">
        <f t="shared" si="15"/>
        <v>Near</v>
      </c>
      <c r="K242">
        <v>4</v>
      </c>
      <c r="L242" t="s">
        <v>53</v>
      </c>
      <c r="M242">
        <v>3</v>
      </c>
      <c r="N242">
        <v>3</v>
      </c>
      <c r="O242">
        <v>1</v>
      </c>
      <c r="P242" t="s">
        <v>51</v>
      </c>
      <c r="Q242">
        <v>3</v>
      </c>
      <c r="R242" s="11">
        <v>1431</v>
      </c>
      <c r="S242" s="14">
        <v>96</v>
      </c>
      <c r="T242" s="13">
        <v>2232</v>
      </c>
      <c r="U242" s="13">
        <f t="shared" si="16"/>
        <v>26784</v>
      </c>
      <c r="V242" s="14">
        <v>15417</v>
      </c>
      <c r="W242">
        <v>7</v>
      </c>
      <c r="X242" s="8" t="s">
        <v>46</v>
      </c>
      <c r="Y242" s="15">
        <v>0.14000000000000001</v>
      </c>
      <c r="Z242">
        <v>3</v>
      </c>
      <c r="AA242">
        <v>3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 t="str">
        <f t="shared" si="17"/>
        <v>0-3</v>
      </c>
      <c r="AI242">
        <v>1</v>
      </c>
      <c r="AJ242" t="str">
        <f t="shared" si="18"/>
        <v>0-2</v>
      </c>
      <c r="AK242">
        <v>2</v>
      </c>
    </row>
    <row r="243" spans="1:37" x14ac:dyDescent="0.25">
      <c r="A243" s="8">
        <v>242</v>
      </c>
      <c r="B243" t="s">
        <v>44</v>
      </c>
      <c r="C243" t="s">
        <v>45</v>
      </c>
      <c r="D243" s="8">
        <v>32</v>
      </c>
      <c r="E243" t="str">
        <f t="shared" si="19"/>
        <v>26-35</v>
      </c>
      <c r="F243" t="s">
        <v>46</v>
      </c>
      <c r="G243" t="s">
        <v>58</v>
      </c>
      <c r="H243" s="8" t="s">
        <v>40</v>
      </c>
      <c r="I243" s="10">
        <v>26</v>
      </c>
      <c r="J243" t="str">
        <f t="shared" si="15"/>
        <v>Far</v>
      </c>
      <c r="K243">
        <v>4</v>
      </c>
      <c r="L243" t="s">
        <v>62</v>
      </c>
      <c r="M243">
        <v>3</v>
      </c>
      <c r="N243">
        <v>3</v>
      </c>
      <c r="O243">
        <v>2</v>
      </c>
      <c r="P243" t="s">
        <v>42</v>
      </c>
      <c r="Q243">
        <v>4</v>
      </c>
      <c r="R243" s="11">
        <v>976</v>
      </c>
      <c r="S243" s="14">
        <v>100</v>
      </c>
      <c r="T243" s="13">
        <v>4465</v>
      </c>
      <c r="U243" s="13">
        <f t="shared" si="16"/>
        <v>53580</v>
      </c>
      <c r="V243" s="14">
        <v>12069</v>
      </c>
      <c r="W243">
        <v>0</v>
      </c>
      <c r="X243" s="8" t="s">
        <v>46</v>
      </c>
      <c r="Y243" s="15">
        <v>0.18</v>
      </c>
      <c r="Z243">
        <v>3</v>
      </c>
      <c r="AA243">
        <v>1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 t="str">
        <f t="shared" si="17"/>
        <v>0-3</v>
      </c>
      <c r="AI243">
        <v>2</v>
      </c>
      <c r="AJ243" t="str">
        <f t="shared" si="18"/>
        <v>0-2</v>
      </c>
      <c r="AK243">
        <v>2</v>
      </c>
    </row>
    <row r="244" spans="1:37" x14ac:dyDescent="0.25">
      <c r="A244" s="8">
        <v>243</v>
      </c>
      <c r="B244" t="s">
        <v>44</v>
      </c>
      <c r="C244" t="s">
        <v>54</v>
      </c>
      <c r="D244" s="8">
        <v>41</v>
      </c>
      <c r="E244" t="str">
        <f t="shared" si="19"/>
        <v>36-45</v>
      </c>
      <c r="F244" t="s">
        <v>46</v>
      </c>
      <c r="G244" t="s">
        <v>39</v>
      </c>
      <c r="H244" s="8" t="s">
        <v>48</v>
      </c>
      <c r="I244" s="10">
        <v>19</v>
      </c>
      <c r="J244" t="str">
        <f t="shared" si="15"/>
        <v>Far</v>
      </c>
      <c r="K244">
        <v>2</v>
      </c>
      <c r="L244" t="s">
        <v>41</v>
      </c>
      <c r="M244">
        <v>3</v>
      </c>
      <c r="N244">
        <v>3</v>
      </c>
      <c r="O244">
        <v>2</v>
      </c>
      <c r="P244" t="s">
        <v>49</v>
      </c>
      <c r="Q244">
        <v>1</v>
      </c>
      <c r="R244" s="11">
        <v>1411</v>
      </c>
      <c r="S244" s="14">
        <v>36</v>
      </c>
      <c r="T244" s="13">
        <v>3072</v>
      </c>
      <c r="U244" s="13">
        <f t="shared" si="16"/>
        <v>36864</v>
      </c>
      <c r="V244" s="14">
        <v>19877</v>
      </c>
      <c r="W244">
        <v>2</v>
      </c>
      <c r="X244" s="8" t="s">
        <v>46</v>
      </c>
      <c r="Y244" s="15">
        <v>0.16</v>
      </c>
      <c r="Z244">
        <v>3</v>
      </c>
      <c r="AA244">
        <v>1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 t="str">
        <f t="shared" si="17"/>
        <v>0-3</v>
      </c>
      <c r="AI244">
        <v>0</v>
      </c>
      <c r="AJ244" t="str">
        <f t="shared" si="18"/>
        <v>0-2</v>
      </c>
      <c r="AK244">
        <v>0</v>
      </c>
    </row>
    <row r="245" spans="1:37" x14ac:dyDescent="0.25">
      <c r="A245" s="8">
        <v>244</v>
      </c>
      <c r="B245" t="s">
        <v>44</v>
      </c>
      <c r="C245" t="s">
        <v>54</v>
      </c>
      <c r="D245" s="8">
        <v>40</v>
      </c>
      <c r="E245" t="str">
        <f t="shared" si="19"/>
        <v>36-45</v>
      </c>
      <c r="F245" t="s">
        <v>46</v>
      </c>
      <c r="G245" t="s">
        <v>39</v>
      </c>
      <c r="H245" s="8" t="s">
        <v>48</v>
      </c>
      <c r="I245" s="10">
        <v>24</v>
      </c>
      <c r="J245" t="str">
        <f t="shared" si="15"/>
        <v>Far</v>
      </c>
      <c r="K245">
        <v>2</v>
      </c>
      <c r="L245" t="s">
        <v>63</v>
      </c>
      <c r="M245">
        <v>1</v>
      </c>
      <c r="N245">
        <v>3</v>
      </c>
      <c r="O245">
        <v>2</v>
      </c>
      <c r="P245" t="s">
        <v>49</v>
      </c>
      <c r="Q245">
        <v>4</v>
      </c>
      <c r="R245" s="11">
        <v>1300</v>
      </c>
      <c r="S245" s="14">
        <v>62</v>
      </c>
      <c r="T245" s="13">
        <v>3319</v>
      </c>
      <c r="U245" s="13">
        <f t="shared" si="16"/>
        <v>39828</v>
      </c>
      <c r="V245" s="14">
        <v>24447</v>
      </c>
      <c r="W245">
        <v>1</v>
      </c>
      <c r="X245" s="8" t="s">
        <v>46</v>
      </c>
      <c r="Y245" s="15">
        <v>0.17</v>
      </c>
      <c r="Z245">
        <v>3</v>
      </c>
      <c r="AA245">
        <v>1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 t="str">
        <f t="shared" si="17"/>
        <v>8-11</v>
      </c>
      <c r="AI245">
        <v>4</v>
      </c>
      <c r="AJ245" t="str">
        <f t="shared" si="18"/>
        <v>3-5</v>
      </c>
      <c r="AK245">
        <v>7</v>
      </c>
    </row>
    <row r="246" spans="1:37" x14ac:dyDescent="0.25">
      <c r="A246" s="8">
        <v>245</v>
      </c>
      <c r="B246" t="s">
        <v>44</v>
      </c>
      <c r="C246" t="s">
        <v>45</v>
      </c>
      <c r="D246" s="8">
        <v>45</v>
      </c>
      <c r="E246" t="str">
        <f t="shared" si="19"/>
        <v>36-45</v>
      </c>
      <c r="F246" t="s">
        <v>46</v>
      </c>
      <c r="G246" t="s">
        <v>39</v>
      </c>
      <c r="H246" s="8" t="s">
        <v>48</v>
      </c>
      <c r="I246" s="10">
        <v>1</v>
      </c>
      <c r="J246" t="str">
        <f t="shared" si="15"/>
        <v>Near</v>
      </c>
      <c r="K246">
        <v>3</v>
      </c>
      <c r="L246" t="s">
        <v>50</v>
      </c>
      <c r="M246">
        <v>3</v>
      </c>
      <c r="N246">
        <v>4</v>
      </c>
      <c r="O246">
        <v>5</v>
      </c>
      <c r="P246" t="s">
        <v>59</v>
      </c>
      <c r="Q246">
        <v>4</v>
      </c>
      <c r="R246" s="11">
        <v>252</v>
      </c>
      <c r="S246" s="14">
        <v>70</v>
      </c>
      <c r="T246" s="13">
        <v>19202</v>
      </c>
      <c r="U246" s="13">
        <f t="shared" si="16"/>
        <v>230424</v>
      </c>
      <c r="V246" s="14">
        <v>15970</v>
      </c>
      <c r="W246">
        <v>0</v>
      </c>
      <c r="X246" s="8" t="s">
        <v>46</v>
      </c>
      <c r="Y246" s="15">
        <v>0.11</v>
      </c>
      <c r="Z246">
        <v>3</v>
      </c>
      <c r="AA246">
        <v>3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 t="str">
        <f t="shared" si="17"/>
        <v>0-3</v>
      </c>
      <c r="AI246">
        <v>1</v>
      </c>
      <c r="AJ246" t="str">
        <f t="shared" si="18"/>
        <v>0-2</v>
      </c>
      <c r="AK246">
        <v>7</v>
      </c>
    </row>
    <row r="247" spans="1:37" x14ac:dyDescent="0.25">
      <c r="A247" s="8">
        <v>246</v>
      </c>
      <c r="B247" t="s">
        <v>44</v>
      </c>
      <c r="C247" t="s">
        <v>54</v>
      </c>
      <c r="D247" s="8">
        <v>31</v>
      </c>
      <c r="E247" t="str">
        <f t="shared" si="19"/>
        <v>26-35</v>
      </c>
      <c r="F247" t="s">
        <v>46</v>
      </c>
      <c r="G247" t="s">
        <v>47</v>
      </c>
      <c r="H247" s="8" t="s">
        <v>48</v>
      </c>
      <c r="I247" s="10">
        <v>3</v>
      </c>
      <c r="J247" t="str">
        <f t="shared" si="15"/>
        <v>Near</v>
      </c>
      <c r="K247">
        <v>4</v>
      </c>
      <c r="L247" t="s">
        <v>53</v>
      </c>
      <c r="M247">
        <v>2</v>
      </c>
      <c r="N247">
        <v>3</v>
      </c>
      <c r="O247">
        <v>3</v>
      </c>
      <c r="P247" t="s">
        <v>61</v>
      </c>
      <c r="Q247">
        <v>3</v>
      </c>
      <c r="R247" s="11">
        <v>1327</v>
      </c>
      <c r="S247" s="14">
        <v>73</v>
      </c>
      <c r="T247" s="13">
        <v>13675</v>
      </c>
      <c r="U247" s="13">
        <f t="shared" si="16"/>
        <v>164100</v>
      </c>
      <c r="V247" s="14">
        <v>13523</v>
      </c>
      <c r="W247">
        <v>9</v>
      </c>
      <c r="X247" s="8" t="s">
        <v>46</v>
      </c>
      <c r="Y247" s="15">
        <v>0.12</v>
      </c>
      <c r="Z247">
        <v>3</v>
      </c>
      <c r="AA247">
        <v>1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 t="str">
        <f t="shared" si="17"/>
        <v>0-3</v>
      </c>
      <c r="AI247">
        <v>2</v>
      </c>
      <c r="AJ247" t="str">
        <f t="shared" si="18"/>
        <v>0-2</v>
      </c>
      <c r="AK247">
        <v>2</v>
      </c>
    </row>
    <row r="248" spans="1:37" x14ac:dyDescent="0.25">
      <c r="A248" s="8">
        <v>247</v>
      </c>
      <c r="B248" t="s">
        <v>52</v>
      </c>
      <c r="C248" t="s">
        <v>45</v>
      </c>
      <c r="D248" s="8">
        <v>33</v>
      </c>
      <c r="E248" t="str">
        <f t="shared" si="19"/>
        <v>26-35</v>
      </c>
      <c r="F248" t="s">
        <v>46</v>
      </c>
      <c r="G248" t="s">
        <v>39</v>
      </c>
      <c r="H248" s="8" t="s">
        <v>48</v>
      </c>
      <c r="I248" s="10">
        <v>5</v>
      </c>
      <c r="J248" t="str">
        <f t="shared" si="15"/>
        <v>Near</v>
      </c>
      <c r="K248">
        <v>4</v>
      </c>
      <c r="L248" t="s">
        <v>41</v>
      </c>
      <c r="M248">
        <v>3</v>
      </c>
      <c r="N248">
        <v>2</v>
      </c>
      <c r="O248">
        <v>1</v>
      </c>
      <c r="P248" t="s">
        <v>49</v>
      </c>
      <c r="Q248">
        <v>4</v>
      </c>
      <c r="R248" s="11">
        <v>832</v>
      </c>
      <c r="S248" s="14">
        <v>63</v>
      </c>
      <c r="T248" s="13">
        <v>2911</v>
      </c>
      <c r="U248" s="13">
        <f t="shared" si="16"/>
        <v>34932</v>
      </c>
      <c r="V248" s="14">
        <v>14776</v>
      </c>
      <c r="W248">
        <v>1</v>
      </c>
      <c r="X248" s="8" t="s">
        <v>46</v>
      </c>
      <c r="Y248" s="15">
        <v>0.13</v>
      </c>
      <c r="Z248">
        <v>3</v>
      </c>
      <c r="AA248">
        <v>3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 t="str">
        <f t="shared" si="17"/>
        <v>0-3</v>
      </c>
      <c r="AI248">
        <v>0</v>
      </c>
      <c r="AJ248" t="str">
        <f t="shared" si="18"/>
        <v>0-2</v>
      </c>
      <c r="AK248">
        <v>2</v>
      </c>
    </row>
    <row r="249" spans="1:37" x14ac:dyDescent="0.25">
      <c r="A249" s="8">
        <v>248</v>
      </c>
      <c r="B249" t="s">
        <v>44</v>
      </c>
      <c r="C249" t="s">
        <v>45</v>
      </c>
      <c r="D249" s="8">
        <v>34</v>
      </c>
      <c r="E249" t="str">
        <f t="shared" si="19"/>
        <v>26-35</v>
      </c>
      <c r="F249" t="s">
        <v>46</v>
      </c>
      <c r="G249" t="s">
        <v>39</v>
      </c>
      <c r="H249" s="8" t="s">
        <v>48</v>
      </c>
      <c r="I249" s="10">
        <v>2</v>
      </c>
      <c r="J249" t="str">
        <f t="shared" si="15"/>
        <v>Near</v>
      </c>
      <c r="K249">
        <v>4</v>
      </c>
      <c r="L249" t="s">
        <v>41</v>
      </c>
      <c r="M249">
        <v>4</v>
      </c>
      <c r="N249">
        <v>2</v>
      </c>
      <c r="O249">
        <v>2</v>
      </c>
      <c r="P249" t="s">
        <v>55</v>
      </c>
      <c r="Q249">
        <v>1</v>
      </c>
      <c r="R249" s="11">
        <v>470</v>
      </c>
      <c r="S249" s="14">
        <v>84</v>
      </c>
      <c r="T249" s="13">
        <v>5957</v>
      </c>
      <c r="U249" s="13">
        <f t="shared" si="16"/>
        <v>71484</v>
      </c>
      <c r="V249" s="14">
        <v>23687</v>
      </c>
      <c r="W249">
        <v>6</v>
      </c>
      <c r="X249" s="8" t="s">
        <v>46</v>
      </c>
      <c r="Y249" s="15">
        <v>0.13</v>
      </c>
      <c r="Z249">
        <v>3</v>
      </c>
      <c r="AA249">
        <v>2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 t="str">
        <f t="shared" si="17"/>
        <v>8-11</v>
      </c>
      <c r="AI249">
        <v>5</v>
      </c>
      <c r="AJ249" t="str">
        <f t="shared" si="18"/>
        <v>3-5</v>
      </c>
      <c r="AK249">
        <v>9</v>
      </c>
    </row>
    <row r="250" spans="1:37" x14ac:dyDescent="0.25">
      <c r="A250" s="8">
        <v>249</v>
      </c>
      <c r="B250" t="s">
        <v>52</v>
      </c>
      <c r="C250" t="s">
        <v>45</v>
      </c>
      <c r="D250" s="8">
        <v>37</v>
      </c>
      <c r="E250" t="str">
        <f t="shared" si="19"/>
        <v>36-45</v>
      </c>
      <c r="F250" t="s">
        <v>46</v>
      </c>
      <c r="G250" t="s">
        <v>39</v>
      </c>
      <c r="H250" s="8" t="s">
        <v>48</v>
      </c>
      <c r="I250" s="10">
        <v>1</v>
      </c>
      <c r="J250" t="str">
        <f t="shared" si="15"/>
        <v>Near</v>
      </c>
      <c r="K250">
        <v>2</v>
      </c>
      <c r="L250" t="s">
        <v>53</v>
      </c>
      <c r="M250">
        <v>3</v>
      </c>
      <c r="N250">
        <v>2</v>
      </c>
      <c r="O250">
        <v>1</v>
      </c>
      <c r="P250" t="s">
        <v>49</v>
      </c>
      <c r="Q250">
        <v>1</v>
      </c>
      <c r="R250" s="11">
        <v>1017</v>
      </c>
      <c r="S250" s="14">
        <v>83</v>
      </c>
      <c r="T250" s="13">
        <v>3920</v>
      </c>
      <c r="U250" s="13">
        <f t="shared" si="16"/>
        <v>47040</v>
      </c>
      <c r="V250" s="14">
        <v>18697</v>
      </c>
      <c r="W250">
        <v>2</v>
      </c>
      <c r="X250" s="8" t="s">
        <v>46</v>
      </c>
      <c r="Y250" s="15">
        <v>0.14000000000000001</v>
      </c>
      <c r="Z250">
        <v>3</v>
      </c>
      <c r="AA250">
        <v>1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 t="str">
        <f t="shared" si="17"/>
        <v>0-3</v>
      </c>
      <c r="AI250">
        <v>0</v>
      </c>
      <c r="AJ250" t="str">
        <f t="shared" si="18"/>
        <v>0-2</v>
      </c>
      <c r="AK250">
        <v>2</v>
      </c>
    </row>
    <row r="251" spans="1:37" x14ac:dyDescent="0.25">
      <c r="A251" s="8">
        <v>250</v>
      </c>
      <c r="B251" t="s">
        <v>44</v>
      </c>
      <c r="C251" t="s">
        <v>45</v>
      </c>
      <c r="D251" s="8">
        <v>45</v>
      </c>
      <c r="E251" t="str">
        <f t="shared" si="19"/>
        <v>36-45</v>
      </c>
      <c r="F251" t="s">
        <v>46</v>
      </c>
      <c r="G251" t="s">
        <v>47</v>
      </c>
      <c r="H251" s="8" t="s">
        <v>48</v>
      </c>
      <c r="I251" s="10">
        <v>7</v>
      </c>
      <c r="J251" t="str">
        <f t="shared" si="15"/>
        <v>Moderate</v>
      </c>
      <c r="K251">
        <v>4</v>
      </c>
      <c r="L251" t="s">
        <v>41</v>
      </c>
      <c r="M251">
        <v>1</v>
      </c>
      <c r="N251">
        <v>4</v>
      </c>
      <c r="O251">
        <v>2</v>
      </c>
      <c r="P251" t="s">
        <v>55</v>
      </c>
      <c r="Q251">
        <v>3</v>
      </c>
      <c r="R251" s="11">
        <v>1199</v>
      </c>
      <c r="S251" s="14">
        <v>77</v>
      </c>
      <c r="T251" s="13">
        <v>6434</v>
      </c>
      <c r="U251" s="13">
        <f t="shared" si="16"/>
        <v>77208</v>
      </c>
      <c r="V251" s="14">
        <v>5118</v>
      </c>
      <c r="W251">
        <v>4</v>
      </c>
      <c r="X251" s="8" t="s">
        <v>46</v>
      </c>
      <c r="Y251" s="15">
        <v>0.17</v>
      </c>
      <c r="Z251">
        <v>3</v>
      </c>
      <c r="AA251">
        <v>4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 t="str">
        <f t="shared" si="17"/>
        <v>0-3</v>
      </c>
      <c r="AI251">
        <v>0</v>
      </c>
      <c r="AJ251" t="str">
        <f t="shared" si="18"/>
        <v>0-2</v>
      </c>
      <c r="AK251">
        <v>2</v>
      </c>
    </row>
    <row r="252" spans="1:37" x14ac:dyDescent="0.25">
      <c r="A252" s="8">
        <v>251</v>
      </c>
      <c r="B252" t="s">
        <v>44</v>
      </c>
      <c r="C252" t="s">
        <v>54</v>
      </c>
      <c r="D252" s="8">
        <v>37</v>
      </c>
      <c r="E252" t="str">
        <f t="shared" si="19"/>
        <v>36-45</v>
      </c>
      <c r="F252" t="s">
        <v>38</v>
      </c>
      <c r="G252" t="s">
        <v>47</v>
      </c>
      <c r="H252" s="8" t="s">
        <v>48</v>
      </c>
      <c r="I252" s="10">
        <v>10</v>
      </c>
      <c r="J252" t="str">
        <f t="shared" si="15"/>
        <v>Moderate</v>
      </c>
      <c r="K252">
        <v>3</v>
      </c>
      <c r="L252" t="s">
        <v>53</v>
      </c>
      <c r="M252">
        <v>1</v>
      </c>
      <c r="N252">
        <v>3</v>
      </c>
      <c r="O252">
        <v>3</v>
      </c>
      <c r="P252" t="s">
        <v>55</v>
      </c>
      <c r="Q252">
        <v>3</v>
      </c>
      <c r="R252" s="11">
        <v>504</v>
      </c>
      <c r="S252" s="14">
        <v>61</v>
      </c>
      <c r="T252" s="13">
        <v>10048</v>
      </c>
      <c r="U252" s="13">
        <f t="shared" si="16"/>
        <v>120576</v>
      </c>
      <c r="V252" s="14">
        <v>22573</v>
      </c>
      <c r="W252">
        <v>6</v>
      </c>
      <c r="X252" s="8" t="s">
        <v>46</v>
      </c>
      <c r="Y252" s="15">
        <v>0.11</v>
      </c>
      <c r="Z252">
        <v>3</v>
      </c>
      <c r="AA252">
        <v>2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 t="str">
        <f t="shared" si="17"/>
        <v>0-3</v>
      </c>
      <c r="AI252">
        <v>0</v>
      </c>
      <c r="AJ252" t="str">
        <f t="shared" si="18"/>
        <v>0-2</v>
      </c>
      <c r="AK252">
        <v>0</v>
      </c>
    </row>
    <row r="253" spans="1:37" x14ac:dyDescent="0.25">
      <c r="A253" s="8">
        <v>252</v>
      </c>
      <c r="B253" t="s">
        <v>52</v>
      </c>
      <c r="C253" t="s">
        <v>37</v>
      </c>
      <c r="D253" s="8">
        <v>39</v>
      </c>
      <c r="E253" t="str">
        <f t="shared" si="19"/>
        <v>36-45</v>
      </c>
      <c r="F253" t="s">
        <v>46</v>
      </c>
      <c r="G253" t="s">
        <v>47</v>
      </c>
      <c r="H253" s="8" t="s">
        <v>48</v>
      </c>
      <c r="I253" s="10">
        <v>2</v>
      </c>
      <c r="J253" t="str">
        <f t="shared" si="15"/>
        <v>Near</v>
      </c>
      <c r="K253">
        <v>4</v>
      </c>
      <c r="L253" t="s">
        <v>63</v>
      </c>
      <c r="M253">
        <v>3</v>
      </c>
      <c r="N253">
        <v>3</v>
      </c>
      <c r="O253">
        <v>3</v>
      </c>
      <c r="P253" t="s">
        <v>56</v>
      </c>
      <c r="Q253">
        <v>3</v>
      </c>
      <c r="R253" s="11">
        <v>505</v>
      </c>
      <c r="S253" s="14">
        <v>64</v>
      </c>
      <c r="T253" s="13">
        <v>10938</v>
      </c>
      <c r="U253" s="13">
        <f t="shared" si="16"/>
        <v>131256</v>
      </c>
      <c r="V253" s="14">
        <v>6420</v>
      </c>
      <c r="W253">
        <v>0</v>
      </c>
      <c r="X253" s="8" t="s">
        <v>46</v>
      </c>
      <c r="Y253" s="15">
        <v>0.25</v>
      </c>
      <c r="Z253">
        <v>4</v>
      </c>
      <c r="AA253">
        <v>4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 t="str">
        <f t="shared" si="17"/>
        <v>4-7</v>
      </c>
      <c r="AI253">
        <v>11</v>
      </c>
      <c r="AJ253" t="str">
        <f t="shared" si="18"/>
        <v>9-11</v>
      </c>
      <c r="AK253">
        <v>8</v>
      </c>
    </row>
    <row r="254" spans="1:37" x14ac:dyDescent="0.25">
      <c r="A254" s="8">
        <v>253</v>
      </c>
      <c r="B254" t="s">
        <v>44</v>
      </c>
      <c r="C254" t="s">
        <v>37</v>
      </c>
      <c r="D254" s="8">
        <v>29</v>
      </c>
      <c r="E254" t="str">
        <f t="shared" si="19"/>
        <v>26-35</v>
      </c>
      <c r="F254" t="s">
        <v>46</v>
      </c>
      <c r="G254" t="s">
        <v>39</v>
      </c>
      <c r="H254" s="8" t="s">
        <v>48</v>
      </c>
      <c r="I254" s="10">
        <v>15</v>
      </c>
      <c r="J254" t="str">
        <f t="shared" si="15"/>
        <v>Moderate</v>
      </c>
      <c r="K254">
        <v>3</v>
      </c>
      <c r="L254" t="s">
        <v>41</v>
      </c>
      <c r="M254">
        <v>3</v>
      </c>
      <c r="N254">
        <v>3</v>
      </c>
      <c r="O254">
        <v>1</v>
      </c>
      <c r="P254" t="s">
        <v>49</v>
      </c>
      <c r="Q254">
        <v>4</v>
      </c>
      <c r="R254" s="11">
        <v>665</v>
      </c>
      <c r="S254" s="14">
        <v>60</v>
      </c>
      <c r="T254" s="13">
        <v>2340</v>
      </c>
      <c r="U254" s="13">
        <f t="shared" si="16"/>
        <v>28080</v>
      </c>
      <c r="V254" s="14">
        <v>22673</v>
      </c>
      <c r="W254">
        <v>1</v>
      </c>
      <c r="X254" s="8" t="s">
        <v>46</v>
      </c>
      <c r="Y254" s="15">
        <v>0.19</v>
      </c>
      <c r="Z254">
        <v>3</v>
      </c>
      <c r="AA254">
        <v>1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 t="str">
        <f t="shared" si="17"/>
        <v>4-7</v>
      </c>
      <c r="AI254">
        <v>1</v>
      </c>
      <c r="AJ254" t="str">
        <f t="shared" si="18"/>
        <v>0-2</v>
      </c>
      <c r="AK254">
        <v>5</v>
      </c>
    </row>
    <row r="255" spans="1:37" x14ac:dyDescent="0.25">
      <c r="A255" s="8">
        <v>254</v>
      </c>
      <c r="B255" t="s">
        <v>52</v>
      </c>
      <c r="C255" t="s">
        <v>37</v>
      </c>
      <c r="D255" s="8">
        <v>42</v>
      </c>
      <c r="E255" t="str">
        <f t="shared" si="19"/>
        <v>36-45</v>
      </c>
      <c r="F255" t="s">
        <v>46</v>
      </c>
      <c r="G255" t="s">
        <v>39</v>
      </c>
      <c r="H255" s="8" t="s">
        <v>48</v>
      </c>
      <c r="I255" s="10">
        <v>17</v>
      </c>
      <c r="J255" t="str">
        <f t="shared" si="15"/>
        <v>Far</v>
      </c>
      <c r="K255">
        <v>2</v>
      </c>
      <c r="L255" t="s">
        <v>41</v>
      </c>
      <c r="M255">
        <v>4</v>
      </c>
      <c r="N255">
        <v>4</v>
      </c>
      <c r="O255">
        <v>2</v>
      </c>
      <c r="P255" t="s">
        <v>49</v>
      </c>
      <c r="Q255">
        <v>1</v>
      </c>
      <c r="R255" s="11">
        <v>916</v>
      </c>
      <c r="S255" s="14">
        <v>82</v>
      </c>
      <c r="T255" s="13">
        <v>6545</v>
      </c>
      <c r="U255" s="13">
        <f t="shared" si="16"/>
        <v>78540</v>
      </c>
      <c r="V255" s="14">
        <v>23016</v>
      </c>
      <c r="W255">
        <v>3</v>
      </c>
      <c r="X255" s="8" t="s">
        <v>38</v>
      </c>
      <c r="Y255" s="15">
        <v>0.13</v>
      </c>
      <c r="Z255">
        <v>3</v>
      </c>
      <c r="AA255">
        <v>3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 t="str">
        <f t="shared" si="17"/>
        <v>0-3</v>
      </c>
      <c r="AI255">
        <v>0</v>
      </c>
      <c r="AJ255" t="str">
        <f t="shared" si="18"/>
        <v>0-2</v>
      </c>
      <c r="AK255">
        <v>2</v>
      </c>
    </row>
    <row r="256" spans="1:37" x14ac:dyDescent="0.25">
      <c r="A256" s="8">
        <v>255</v>
      </c>
      <c r="B256" t="s">
        <v>44</v>
      </c>
      <c r="C256" t="s">
        <v>54</v>
      </c>
      <c r="D256" s="8">
        <v>29</v>
      </c>
      <c r="E256" t="str">
        <f t="shared" si="19"/>
        <v>26-35</v>
      </c>
      <c r="F256" t="s">
        <v>46</v>
      </c>
      <c r="G256" t="s">
        <v>39</v>
      </c>
      <c r="H256" s="8" t="s">
        <v>40</v>
      </c>
      <c r="I256" s="10">
        <v>20</v>
      </c>
      <c r="J256" t="str">
        <f t="shared" si="15"/>
        <v>Far</v>
      </c>
      <c r="K256">
        <v>2</v>
      </c>
      <c r="L256" t="s">
        <v>62</v>
      </c>
      <c r="M256">
        <v>4</v>
      </c>
      <c r="N256">
        <v>3</v>
      </c>
      <c r="O256">
        <v>2</v>
      </c>
      <c r="P256" t="s">
        <v>42</v>
      </c>
      <c r="Q256">
        <v>4</v>
      </c>
      <c r="R256" s="11">
        <v>1247</v>
      </c>
      <c r="S256" s="14">
        <v>45</v>
      </c>
      <c r="T256" s="13">
        <v>6931</v>
      </c>
      <c r="U256" s="13">
        <f t="shared" si="16"/>
        <v>83172</v>
      </c>
      <c r="V256" s="14">
        <v>10732</v>
      </c>
      <c r="W256">
        <v>2</v>
      </c>
      <c r="X256" s="8" t="s">
        <v>46</v>
      </c>
      <c r="Y256" s="15">
        <v>0.14000000000000001</v>
      </c>
      <c r="Z256">
        <v>3</v>
      </c>
      <c r="AA256">
        <v>4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 t="str">
        <f t="shared" si="17"/>
        <v>0-3</v>
      </c>
      <c r="AI256">
        <v>0</v>
      </c>
      <c r="AJ256" t="str">
        <f t="shared" si="18"/>
        <v>0-2</v>
      </c>
      <c r="AK256">
        <v>2</v>
      </c>
    </row>
    <row r="257" spans="1:37" x14ac:dyDescent="0.25">
      <c r="A257" s="8">
        <v>256</v>
      </c>
      <c r="B257" t="s">
        <v>52</v>
      </c>
      <c r="C257" t="s">
        <v>45</v>
      </c>
      <c r="D257" s="8">
        <v>25</v>
      </c>
      <c r="E257" t="str">
        <f t="shared" si="19"/>
        <v>26-35</v>
      </c>
      <c r="F257" t="s">
        <v>46</v>
      </c>
      <c r="G257" t="s">
        <v>39</v>
      </c>
      <c r="H257" s="8" t="s">
        <v>48</v>
      </c>
      <c r="I257" s="10">
        <v>1</v>
      </c>
      <c r="J257" t="str">
        <f t="shared" si="15"/>
        <v>Near</v>
      </c>
      <c r="K257">
        <v>3</v>
      </c>
      <c r="L257" t="s">
        <v>41</v>
      </c>
      <c r="M257">
        <v>1</v>
      </c>
      <c r="N257">
        <v>3</v>
      </c>
      <c r="O257">
        <v>2</v>
      </c>
      <c r="P257" t="s">
        <v>55</v>
      </c>
      <c r="Q257">
        <v>3</v>
      </c>
      <c r="R257" s="11">
        <v>685</v>
      </c>
      <c r="S257" s="14">
        <v>62</v>
      </c>
      <c r="T257" s="13">
        <v>4898</v>
      </c>
      <c r="U257" s="13">
        <f t="shared" si="16"/>
        <v>58776</v>
      </c>
      <c r="V257" s="14">
        <v>7505</v>
      </c>
      <c r="W257">
        <v>0</v>
      </c>
      <c r="X257" s="8" t="s">
        <v>46</v>
      </c>
      <c r="Y257" s="15">
        <v>0.12</v>
      </c>
      <c r="Z257">
        <v>3</v>
      </c>
      <c r="AA257">
        <v>4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 t="str">
        <f t="shared" si="17"/>
        <v>0-3</v>
      </c>
      <c r="AI257">
        <v>1</v>
      </c>
      <c r="AJ257" t="str">
        <f t="shared" si="18"/>
        <v>0-2</v>
      </c>
      <c r="AK257">
        <v>2</v>
      </c>
    </row>
    <row r="258" spans="1:37" x14ac:dyDescent="0.25">
      <c r="A258" s="8">
        <v>257</v>
      </c>
      <c r="B258" t="s">
        <v>52</v>
      </c>
      <c r="C258" t="s">
        <v>54</v>
      </c>
      <c r="D258" s="8">
        <v>42</v>
      </c>
      <c r="E258" t="str">
        <f t="shared" si="19"/>
        <v>36-45</v>
      </c>
      <c r="F258" t="s">
        <v>46</v>
      </c>
      <c r="G258" t="s">
        <v>39</v>
      </c>
      <c r="H258" s="8" t="s">
        <v>48</v>
      </c>
      <c r="I258" s="10">
        <v>2</v>
      </c>
      <c r="J258" t="str">
        <f t="shared" si="15"/>
        <v>Near</v>
      </c>
      <c r="K258">
        <v>3</v>
      </c>
      <c r="L258" t="s">
        <v>53</v>
      </c>
      <c r="M258">
        <v>4</v>
      </c>
      <c r="N258">
        <v>2</v>
      </c>
      <c r="O258">
        <v>1</v>
      </c>
      <c r="P258" t="s">
        <v>51</v>
      </c>
      <c r="Q258">
        <v>1</v>
      </c>
      <c r="R258" s="11">
        <v>269</v>
      </c>
      <c r="S258" s="14">
        <v>56</v>
      </c>
      <c r="T258" s="13">
        <v>2593</v>
      </c>
      <c r="U258" s="13">
        <f t="shared" si="16"/>
        <v>31116</v>
      </c>
      <c r="V258" s="14">
        <v>8007</v>
      </c>
      <c r="W258">
        <v>0</v>
      </c>
      <c r="X258" s="8" t="s">
        <v>38</v>
      </c>
      <c r="Y258" s="15">
        <v>0.11</v>
      </c>
      <c r="Z258">
        <v>3</v>
      </c>
      <c r="AA258">
        <v>3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 t="str">
        <f t="shared" si="17"/>
        <v>4-7</v>
      </c>
      <c r="AI258">
        <v>7</v>
      </c>
      <c r="AJ258" t="str">
        <f t="shared" si="18"/>
        <v>6-8</v>
      </c>
      <c r="AK258">
        <v>8</v>
      </c>
    </row>
    <row r="259" spans="1:37" x14ac:dyDescent="0.25">
      <c r="A259" s="8">
        <v>258</v>
      </c>
      <c r="B259" t="s">
        <v>44</v>
      </c>
      <c r="C259" t="s">
        <v>54</v>
      </c>
      <c r="D259" s="8">
        <v>40</v>
      </c>
      <c r="E259" t="str">
        <f t="shared" si="19"/>
        <v>36-45</v>
      </c>
      <c r="F259" t="s">
        <v>46</v>
      </c>
      <c r="G259" t="s">
        <v>39</v>
      </c>
      <c r="H259" s="8" t="s">
        <v>48</v>
      </c>
      <c r="I259" s="10">
        <v>2</v>
      </c>
      <c r="J259" t="str">
        <f t="shared" ref="J259:J322" si="20">IF(I259&lt;=5,"Near",IF(I259&lt;=15,"Moderate",IF(I259&gt;15,"Far")))</f>
        <v>Near</v>
      </c>
      <c r="K259">
        <v>2</v>
      </c>
      <c r="L259" t="s">
        <v>53</v>
      </c>
      <c r="M259">
        <v>1</v>
      </c>
      <c r="N259">
        <v>3</v>
      </c>
      <c r="O259">
        <v>5</v>
      </c>
      <c r="P259" t="s">
        <v>61</v>
      </c>
      <c r="Q259">
        <v>3</v>
      </c>
      <c r="R259" s="11">
        <v>1416</v>
      </c>
      <c r="S259" s="14">
        <v>49</v>
      </c>
      <c r="T259" s="13">
        <v>19436</v>
      </c>
      <c r="U259" s="13">
        <f t="shared" ref="U259:U322" si="21">T259*12</f>
        <v>233232</v>
      </c>
      <c r="V259" s="14">
        <v>5949</v>
      </c>
      <c r="W259">
        <v>0</v>
      </c>
      <c r="X259" s="8" t="s">
        <v>46</v>
      </c>
      <c r="Y259" s="15">
        <v>0.19</v>
      </c>
      <c r="Z259">
        <v>3</v>
      </c>
      <c r="AA259">
        <v>4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 t="str">
        <f t="shared" ref="AH259:AH322" si="22">IF(AG:AG&lt;=3,"0-3", IF(AG:AG&lt;=7,"4-7", IF(AG:AG&lt;=11,"8-11", IF(AG:AG&lt;=15,"12-15","16-19"))))</f>
        <v>4-7</v>
      </c>
      <c r="AI259">
        <v>3</v>
      </c>
      <c r="AJ259" t="str">
        <f t="shared" ref="AJ259:AJ322" si="23">IF(AI:AI&lt;=2,"0-2",IF(AI:AI&lt;=5,"3-5", IF(AI:AI&lt;=8,"6-8", IF(AI:AI&lt;=11,"9-11","12-15"))))</f>
        <v>3-5</v>
      </c>
      <c r="AK259">
        <v>9</v>
      </c>
    </row>
    <row r="260" spans="1:37" x14ac:dyDescent="0.25">
      <c r="A260" s="8">
        <v>259</v>
      </c>
      <c r="B260" t="s">
        <v>44</v>
      </c>
      <c r="C260" t="s">
        <v>45</v>
      </c>
      <c r="D260" s="8">
        <v>51</v>
      </c>
      <c r="E260" t="str">
        <f t="shared" ref="E260:E323" si="24">IF(D260&lt;25,"18-25",IF(D260&lt;=35,"26-35",IF(D260&lt;=45,"36-45",IF(D260&lt;=55,"46-55",IF(D260&gt;55,"55+")))))</f>
        <v>46-55</v>
      </c>
      <c r="F260" t="s">
        <v>46</v>
      </c>
      <c r="G260" t="s">
        <v>39</v>
      </c>
      <c r="H260" s="8" t="s">
        <v>48</v>
      </c>
      <c r="I260" s="10">
        <v>1</v>
      </c>
      <c r="J260" t="str">
        <f t="shared" si="20"/>
        <v>Near</v>
      </c>
      <c r="K260">
        <v>3</v>
      </c>
      <c r="L260" t="s">
        <v>41</v>
      </c>
      <c r="M260">
        <v>3</v>
      </c>
      <c r="N260">
        <v>3</v>
      </c>
      <c r="O260">
        <v>1</v>
      </c>
      <c r="P260" t="s">
        <v>49</v>
      </c>
      <c r="Q260">
        <v>4</v>
      </c>
      <c r="R260" s="11">
        <v>833</v>
      </c>
      <c r="S260" s="14">
        <v>96</v>
      </c>
      <c r="T260" s="13">
        <v>2723</v>
      </c>
      <c r="U260" s="13">
        <f t="shared" si="21"/>
        <v>32676</v>
      </c>
      <c r="V260" s="14">
        <v>23231</v>
      </c>
      <c r="W260">
        <v>1</v>
      </c>
      <c r="X260" s="8" t="s">
        <v>46</v>
      </c>
      <c r="Y260" s="15">
        <v>0.11</v>
      </c>
      <c r="Z260">
        <v>3</v>
      </c>
      <c r="AA260">
        <v>2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 t="str">
        <f t="shared" si="22"/>
        <v>0-3</v>
      </c>
      <c r="AI260">
        <v>0</v>
      </c>
      <c r="AJ260" t="str">
        <f t="shared" si="23"/>
        <v>0-2</v>
      </c>
      <c r="AK260">
        <v>0</v>
      </c>
    </row>
    <row r="261" spans="1:37" x14ac:dyDescent="0.25">
      <c r="A261" s="8">
        <v>260</v>
      </c>
      <c r="B261" t="s">
        <v>44</v>
      </c>
      <c r="C261" t="s">
        <v>37</v>
      </c>
      <c r="D261" s="8">
        <v>31</v>
      </c>
      <c r="E261" t="str">
        <f t="shared" si="24"/>
        <v>26-35</v>
      </c>
      <c r="F261" t="s">
        <v>38</v>
      </c>
      <c r="G261" t="s">
        <v>47</v>
      </c>
      <c r="H261" s="8" t="s">
        <v>48</v>
      </c>
      <c r="I261" s="10">
        <v>29</v>
      </c>
      <c r="J261" t="str">
        <f t="shared" si="20"/>
        <v>Far</v>
      </c>
      <c r="K261">
        <v>2</v>
      </c>
      <c r="L261" t="s">
        <v>53</v>
      </c>
      <c r="M261">
        <v>3</v>
      </c>
      <c r="N261">
        <v>2</v>
      </c>
      <c r="O261">
        <v>1</v>
      </c>
      <c r="P261" t="s">
        <v>51</v>
      </c>
      <c r="Q261">
        <v>2</v>
      </c>
      <c r="R261" s="11">
        <v>307</v>
      </c>
      <c r="S261" s="14">
        <v>71</v>
      </c>
      <c r="T261" s="13">
        <v>3479</v>
      </c>
      <c r="U261" s="13">
        <f t="shared" si="21"/>
        <v>41748</v>
      </c>
      <c r="V261" s="14">
        <v>11652</v>
      </c>
      <c r="W261">
        <v>0</v>
      </c>
      <c r="X261" s="8" t="s">
        <v>46</v>
      </c>
      <c r="Y261" s="15">
        <v>0.11</v>
      </c>
      <c r="Z261">
        <v>3</v>
      </c>
      <c r="AA261">
        <v>2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 t="str">
        <f t="shared" si="22"/>
        <v>4-7</v>
      </c>
      <c r="AI261">
        <v>1</v>
      </c>
      <c r="AJ261" t="str">
        <f t="shared" si="23"/>
        <v>0-2</v>
      </c>
      <c r="AK261">
        <v>4</v>
      </c>
    </row>
    <row r="262" spans="1:37" x14ac:dyDescent="0.25">
      <c r="A262" s="8">
        <v>261</v>
      </c>
      <c r="B262" t="s">
        <v>44</v>
      </c>
      <c r="C262" t="s">
        <v>45</v>
      </c>
      <c r="D262" s="8">
        <v>32</v>
      </c>
      <c r="E262" t="str">
        <f t="shared" si="24"/>
        <v>26-35</v>
      </c>
      <c r="F262" t="s">
        <v>46</v>
      </c>
      <c r="G262" t="s">
        <v>47</v>
      </c>
      <c r="H262" s="8" t="s">
        <v>48</v>
      </c>
      <c r="I262" s="10">
        <v>7</v>
      </c>
      <c r="J262" t="str">
        <f t="shared" si="20"/>
        <v>Moderate</v>
      </c>
      <c r="K262">
        <v>3</v>
      </c>
      <c r="L262" t="s">
        <v>41</v>
      </c>
      <c r="M262">
        <v>2</v>
      </c>
      <c r="N262">
        <v>4</v>
      </c>
      <c r="O262">
        <v>1</v>
      </c>
      <c r="P262" t="s">
        <v>51</v>
      </c>
      <c r="Q262">
        <v>2</v>
      </c>
      <c r="R262" s="11">
        <v>1311</v>
      </c>
      <c r="S262" s="14">
        <v>100</v>
      </c>
      <c r="T262" s="13">
        <v>2794</v>
      </c>
      <c r="U262" s="13">
        <f t="shared" si="21"/>
        <v>33528</v>
      </c>
      <c r="V262" s="14">
        <v>26062</v>
      </c>
      <c r="W262">
        <v>1</v>
      </c>
      <c r="X262" s="8" t="s">
        <v>46</v>
      </c>
      <c r="Y262" s="15">
        <v>0.2</v>
      </c>
      <c r="Z262">
        <v>4</v>
      </c>
      <c r="AA262">
        <v>3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 t="str">
        <f t="shared" si="22"/>
        <v>0-3</v>
      </c>
      <c r="AI262">
        <v>0</v>
      </c>
      <c r="AJ262" t="str">
        <f t="shared" si="23"/>
        <v>0-2</v>
      </c>
      <c r="AK262">
        <v>3</v>
      </c>
    </row>
    <row r="263" spans="1:37" x14ac:dyDescent="0.25">
      <c r="A263" s="8">
        <v>262</v>
      </c>
      <c r="B263" t="s">
        <v>44</v>
      </c>
      <c r="C263" t="s">
        <v>45</v>
      </c>
      <c r="D263" s="8">
        <v>38</v>
      </c>
      <c r="E263" t="str">
        <f t="shared" si="24"/>
        <v>36-45</v>
      </c>
      <c r="F263" t="s">
        <v>46</v>
      </c>
      <c r="G263" t="s">
        <v>58</v>
      </c>
      <c r="H263" s="8" t="s">
        <v>40</v>
      </c>
      <c r="I263" s="10">
        <v>2</v>
      </c>
      <c r="J263" t="str">
        <f t="shared" si="20"/>
        <v>Near</v>
      </c>
      <c r="K263">
        <v>2</v>
      </c>
      <c r="L263" t="s">
        <v>41</v>
      </c>
      <c r="M263">
        <v>4</v>
      </c>
      <c r="N263">
        <v>2</v>
      </c>
      <c r="O263">
        <v>2</v>
      </c>
      <c r="P263" t="s">
        <v>42</v>
      </c>
      <c r="Q263">
        <v>4</v>
      </c>
      <c r="R263" s="11">
        <v>1327</v>
      </c>
      <c r="S263" s="14">
        <v>39</v>
      </c>
      <c r="T263" s="13">
        <v>5249</v>
      </c>
      <c r="U263" s="13">
        <f t="shared" si="21"/>
        <v>62988</v>
      </c>
      <c r="V263" s="14">
        <v>19682</v>
      </c>
      <c r="W263">
        <v>3</v>
      </c>
      <c r="X263" s="8" t="s">
        <v>46</v>
      </c>
      <c r="Y263" s="15">
        <v>0.18</v>
      </c>
      <c r="Z263">
        <v>3</v>
      </c>
      <c r="AA263">
        <v>4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 t="str">
        <f t="shared" si="22"/>
        <v>4-7</v>
      </c>
      <c r="AI263">
        <v>7</v>
      </c>
      <c r="AJ263" t="str">
        <f t="shared" si="23"/>
        <v>6-8</v>
      </c>
      <c r="AK263">
        <v>5</v>
      </c>
    </row>
    <row r="264" spans="1:37" x14ac:dyDescent="0.25">
      <c r="A264" s="8">
        <v>263</v>
      </c>
      <c r="B264" t="s">
        <v>44</v>
      </c>
      <c r="C264" t="s">
        <v>37</v>
      </c>
      <c r="D264" s="8">
        <v>32</v>
      </c>
      <c r="E264" t="str">
        <f t="shared" si="24"/>
        <v>26-35</v>
      </c>
      <c r="F264" t="s">
        <v>46</v>
      </c>
      <c r="G264" t="s">
        <v>39</v>
      </c>
      <c r="H264" s="8" t="s">
        <v>48</v>
      </c>
      <c r="I264" s="10">
        <v>2</v>
      </c>
      <c r="J264" t="str">
        <f t="shared" si="20"/>
        <v>Near</v>
      </c>
      <c r="K264">
        <v>1</v>
      </c>
      <c r="L264" t="s">
        <v>63</v>
      </c>
      <c r="M264">
        <v>4</v>
      </c>
      <c r="N264">
        <v>2</v>
      </c>
      <c r="O264">
        <v>2</v>
      </c>
      <c r="P264" t="s">
        <v>51</v>
      </c>
      <c r="Q264">
        <v>1</v>
      </c>
      <c r="R264" s="11">
        <v>128</v>
      </c>
      <c r="S264" s="14">
        <v>84</v>
      </c>
      <c r="T264" s="13">
        <v>2176</v>
      </c>
      <c r="U264" s="13">
        <f t="shared" si="21"/>
        <v>26112</v>
      </c>
      <c r="V264" s="14">
        <v>19737</v>
      </c>
      <c r="W264">
        <v>4</v>
      </c>
      <c r="X264" s="8" t="s">
        <v>46</v>
      </c>
      <c r="Y264" s="15">
        <v>0.13</v>
      </c>
      <c r="Z264">
        <v>3</v>
      </c>
      <c r="AA264">
        <v>4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 t="str">
        <f t="shared" si="22"/>
        <v>0-3</v>
      </c>
      <c r="AI264">
        <v>0</v>
      </c>
      <c r="AJ264" t="str">
        <f t="shared" si="23"/>
        <v>0-2</v>
      </c>
      <c r="AK264">
        <v>4</v>
      </c>
    </row>
    <row r="265" spans="1:37" x14ac:dyDescent="0.25">
      <c r="A265" s="8">
        <v>264</v>
      </c>
      <c r="B265" t="s">
        <v>52</v>
      </c>
      <c r="C265" t="s">
        <v>45</v>
      </c>
      <c r="D265" s="8">
        <v>46</v>
      </c>
      <c r="E265" t="str">
        <f t="shared" si="24"/>
        <v>46-55</v>
      </c>
      <c r="F265" t="s">
        <v>46</v>
      </c>
      <c r="G265" t="s">
        <v>39</v>
      </c>
      <c r="H265" s="8" t="s">
        <v>40</v>
      </c>
      <c r="I265" s="10">
        <v>2</v>
      </c>
      <c r="J265" t="str">
        <f t="shared" si="20"/>
        <v>Near</v>
      </c>
      <c r="K265">
        <v>3</v>
      </c>
      <c r="L265" t="s">
        <v>63</v>
      </c>
      <c r="M265">
        <v>3</v>
      </c>
      <c r="N265">
        <v>1</v>
      </c>
      <c r="O265">
        <v>4</v>
      </c>
      <c r="P265" t="s">
        <v>59</v>
      </c>
      <c r="Q265">
        <v>2</v>
      </c>
      <c r="R265" s="11">
        <v>488</v>
      </c>
      <c r="S265" s="14">
        <v>75</v>
      </c>
      <c r="T265" s="13">
        <v>16872</v>
      </c>
      <c r="U265" s="13">
        <f t="shared" si="21"/>
        <v>202464</v>
      </c>
      <c r="V265" s="14">
        <v>14977</v>
      </c>
      <c r="W265">
        <v>3</v>
      </c>
      <c r="X265" s="8" t="s">
        <v>38</v>
      </c>
      <c r="Y265" s="15">
        <v>0.12</v>
      </c>
      <c r="Z265">
        <v>3</v>
      </c>
      <c r="AA265">
        <v>2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 t="str">
        <f t="shared" si="22"/>
        <v>4-7</v>
      </c>
      <c r="AI265">
        <v>7</v>
      </c>
      <c r="AJ265" t="str">
        <f t="shared" si="23"/>
        <v>6-8</v>
      </c>
      <c r="AK265">
        <v>7</v>
      </c>
    </row>
    <row r="266" spans="1:37" x14ac:dyDescent="0.25">
      <c r="A266" s="8">
        <v>265</v>
      </c>
      <c r="B266" t="s">
        <v>44</v>
      </c>
      <c r="C266" t="s">
        <v>37</v>
      </c>
      <c r="D266" s="8">
        <v>28</v>
      </c>
      <c r="E266" t="str">
        <f t="shared" si="24"/>
        <v>26-35</v>
      </c>
      <c r="F266" t="s">
        <v>38</v>
      </c>
      <c r="G266" t="s">
        <v>39</v>
      </c>
      <c r="H266" s="8" t="s">
        <v>48</v>
      </c>
      <c r="I266" s="10">
        <v>2</v>
      </c>
      <c r="J266" t="str">
        <f t="shared" si="20"/>
        <v>Near</v>
      </c>
      <c r="K266">
        <v>4</v>
      </c>
      <c r="L266" t="s">
        <v>41</v>
      </c>
      <c r="M266">
        <v>1</v>
      </c>
      <c r="N266">
        <v>3</v>
      </c>
      <c r="O266">
        <v>1</v>
      </c>
      <c r="P266" t="s">
        <v>51</v>
      </c>
      <c r="Q266">
        <v>3</v>
      </c>
      <c r="R266" s="11">
        <v>529</v>
      </c>
      <c r="S266" s="14">
        <v>79</v>
      </c>
      <c r="T266" s="13">
        <v>3485</v>
      </c>
      <c r="U266" s="13">
        <f t="shared" si="21"/>
        <v>41820</v>
      </c>
      <c r="V266" s="14">
        <v>14935</v>
      </c>
      <c r="W266">
        <v>2</v>
      </c>
      <c r="X266" s="8" t="s">
        <v>46</v>
      </c>
      <c r="Y266" s="15">
        <v>0.11</v>
      </c>
      <c r="Z266">
        <v>3</v>
      </c>
      <c r="AA266">
        <v>3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 t="str">
        <f t="shared" si="22"/>
        <v>0-3</v>
      </c>
      <c r="AI266">
        <v>0</v>
      </c>
      <c r="AJ266" t="str">
        <f t="shared" si="23"/>
        <v>0-2</v>
      </c>
      <c r="AK266">
        <v>0</v>
      </c>
    </row>
    <row r="267" spans="1:37" x14ac:dyDescent="0.25">
      <c r="A267" s="8">
        <v>266</v>
      </c>
      <c r="B267" t="s">
        <v>44</v>
      </c>
      <c r="C267" t="s">
        <v>45</v>
      </c>
      <c r="D267" s="8">
        <v>29</v>
      </c>
      <c r="E267" t="str">
        <f t="shared" si="24"/>
        <v>26-35</v>
      </c>
      <c r="F267" t="s">
        <v>46</v>
      </c>
      <c r="G267" t="s">
        <v>39</v>
      </c>
      <c r="H267" s="8" t="s">
        <v>40</v>
      </c>
      <c r="I267" s="10">
        <v>2</v>
      </c>
      <c r="J267" t="str">
        <f t="shared" si="20"/>
        <v>Near</v>
      </c>
      <c r="K267">
        <v>3</v>
      </c>
      <c r="L267" t="s">
        <v>53</v>
      </c>
      <c r="M267">
        <v>1</v>
      </c>
      <c r="N267">
        <v>2</v>
      </c>
      <c r="O267">
        <v>2</v>
      </c>
      <c r="P267" t="s">
        <v>42</v>
      </c>
      <c r="Q267">
        <v>2</v>
      </c>
      <c r="R267" s="11">
        <v>1210</v>
      </c>
      <c r="S267" s="14">
        <v>78</v>
      </c>
      <c r="T267" s="13">
        <v>6644</v>
      </c>
      <c r="U267" s="13">
        <f t="shared" si="21"/>
        <v>79728</v>
      </c>
      <c r="V267" s="14">
        <v>3687</v>
      </c>
      <c r="W267">
        <v>2</v>
      </c>
      <c r="X267" s="8" t="s">
        <v>46</v>
      </c>
      <c r="Y267" s="15">
        <v>0.19</v>
      </c>
      <c r="Z267">
        <v>3</v>
      </c>
      <c r="AA267">
        <v>2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 t="str">
        <f t="shared" si="22"/>
        <v>0-3</v>
      </c>
      <c r="AI267">
        <v>0</v>
      </c>
      <c r="AJ267" t="str">
        <f t="shared" si="23"/>
        <v>0-2</v>
      </c>
      <c r="AK267">
        <v>0</v>
      </c>
    </row>
    <row r="268" spans="1:37" x14ac:dyDescent="0.25">
      <c r="A268" s="8">
        <v>267</v>
      </c>
      <c r="B268" t="s">
        <v>44</v>
      </c>
      <c r="C268" t="s">
        <v>45</v>
      </c>
      <c r="D268" s="8">
        <v>31</v>
      </c>
      <c r="E268" t="str">
        <f t="shared" si="24"/>
        <v>26-35</v>
      </c>
      <c r="F268" t="s">
        <v>46</v>
      </c>
      <c r="G268" t="s">
        <v>39</v>
      </c>
      <c r="H268" s="8" t="s">
        <v>48</v>
      </c>
      <c r="I268" s="10">
        <v>23</v>
      </c>
      <c r="J268" t="str">
        <f t="shared" si="20"/>
        <v>Far</v>
      </c>
      <c r="K268">
        <v>3</v>
      </c>
      <c r="L268" t="s">
        <v>53</v>
      </c>
      <c r="M268">
        <v>2</v>
      </c>
      <c r="N268">
        <v>2</v>
      </c>
      <c r="O268">
        <v>2</v>
      </c>
      <c r="P268" t="s">
        <v>56</v>
      </c>
      <c r="Q268">
        <v>4</v>
      </c>
      <c r="R268" s="11">
        <v>1463</v>
      </c>
      <c r="S268" s="14">
        <v>64</v>
      </c>
      <c r="T268" s="13">
        <v>5582</v>
      </c>
      <c r="U268" s="13">
        <f t="shared" si="21"/>
        <v>66984</v>
      </c>
      <c r="V268" s="14">
        <v>14408</v>
      </c>
      <c r="W268">
        <v>0</v>
      </c>
      <c r="X268" s="8" t="s">
        <v>46</v>
      </c>
      <c r="Y268" s="15">
        <v>0.21</v>
      </c>
      <c r="Z268">
        <v>4</v>
      </c>
      <c r="AA268">
        <v>2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 t="str">
        <f t="shared" si="22"/>
        <v>0-3</v>
      </c>
      <c r="AI268">
        <v>7</v>
      </c>
      <c r="AJ268" t="str">
        <f t="shared" si="23"/>
        <v>6-8</v>
      </c>
      <c r="AK268">
        <v>8</v>
      </c>
    </row>
    <row r="269" spans="1:37" x14ac:dyDescent="0.25">
      <c r="A269" s="8">
        <v>268</v>
      </c>
      <c r="B269" t="s">
        <v>44</v>
      </c>
      <c r="C269" t="s">
        <v>54</v>
      </c>
      <c r="D269" s="8">
        <v>25</v>
      </c>
      <c r="E269" t="str">
        <f t="shared" si="24"/>
        <v>26-35</v>
      </c>
      <c r="F269" t="s">
        <v>46</v>
      </c>
      <c r="G269" t="s">
        <v>58</v>
      </c>
      <c r="H269" s="8" t="s">
        <v>48</v>
      </c>
      <c r="I269" s="10">
        <v>5</v>
      </c>
      <c r="J269" t="str">
        <f t="shared" si="20"/>
        <v>Near</v>
      </c>
      <c r="K269">
        <v>2</v>
      </c>
      <c r="L269" t="s">
        <v>41</v>
      </c>
      <c r="M269">
        <v>2</v>
      </c>
      <c r="N269">
        <v>4</v>
      </c>
      <c r="O269">
        <v>2</v>
      </c>
      <c r="P269" t="s">
        <v>56</v>
      </c>
      <c r="Q269">
        <v>1</v>
      </c>
      <c r="R269" s="11">
        <v>675</v>
      </c>
      <c r="S269" s="14">
        <v>85</v>
      </c>
      <c r="T269" s="13">
        <v>4000</v>
      </c>
      <c r="U269" s="13">
        <f t="shared" si="21"/>
        <v>48000</v>
      </c>
      <c r="V269" s="14">
        <v>18384</v>
      </c>
      <c r="W269">
        <v>1</v>
      </c>
      <c r="X269" s="8" t="s">
        <v>46</v>
      </c>
      <c r="Y269" s="15">
        <v>0.12</v>
      </c>
      <c r="Z269">
        <v>3</v>
      </c>
      <c r="AA269">
        <v>4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 t="str">
        <f t="shared" si="22"/>
        <v>0-3</v>
      </c>
      <c r="AI269">
        <v>1</v>
      </c>
      <c r="AJ269" t="str">
        <f t="shared" si="23"/>
        <v>0-2</v>
      </c>
      <c r="AK269">
        <v>5</v>
      </c>
    </row>
    <row r="270" spans="1:37" x14ac:dyDescent="0.25">
      <c r="A270" s="8">
        <v>269</v>
      </c>
      <c r="B270" t="s">
        <v>44</v>
      </c>
      <c r="C270" t="s">
        <v>45</v>
      </c>
      <c r="D270" s="8">
        <v>45</v>
      </c>
      <c r="E270" t="str">
        <f t="shared" si="24"/>
        <v>36-45</v>
      </c>
      <c r="F270" t="s">
        <v>46</v>
      </c>
      <c r="G270" t="s">
        <v>39</v>
      </c>
      <c r="H270" s="8" t="s">
        <v>48</v>
      </c>
      <c r="I270" s="10">
        <v>20</v>
      </c>
      <c r="J270" t="str">
        <f t="shared" si="20"/>
        <v>Far</v>
      </c>
      <c r="K270">
        <v>2</v>
      </c>
      <c r="L270" t="s">
        <v>53</v>
      </c>
      <c r="M270">
        <v>3</v>
      </c>
      <c r="N270">
        <v>3</v>
      </c>
      <c r="O270">
        <v>4</v>
      </c>
      <c r="P270" t="s">
        <v>56</v>
      </c>
      <c r="Q270">
        <v>4</v>
      </c>
      <c r="R270" s="11">
        <v>1385</v>
      </c>
      <c r="S270" s="14">
        <v>79</v>
      </c>
      <c r="T270" s="13">
        <v>13496</v>
      </c>
      <c r="U270" s="13">
        <f t="shared" si="21"/>
        <v>161952</v>
      </c>
      <c r="V270" s="14">
        <v>7501</v>
      </c>
      <c r="W270">
        <v>0</v>
      </c>
      <c r="X270" s="8" t="s">
        <v>38</v>
      </c>
      <c r="Y270" s="15">
        <v>0.14000000000000001</v>
      </c>
      <c r="Z270">
        <v>3</v>
      </c>
      <c r="AA270">
        <v>2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 t="str">
        <f t="shared" si="22"/>
        <v>4-7</v>
      </c>
      <c r="AI270">
        <v>4</v>
      </c>
      <c r="AJ270" t="str">
        <f t="shared" si="23"/>
        <v>3-5</v>
      </c>
      <c r="AK270">
        <v>10</v>
      </c>
    </row>
    <row r="271" spans="1:37" x14ac:dyDescent="0.25">
      <c r="A271" s="8">
        <v>270</v>
      </c>
      <c r="B271" t="s">
        <v>44</v>
      </c>
      <c r="C271" t="s">
        <v>45</v>
      </c>
      <c r="D271" s="8">
        <v>36</v>
      </c>
      <c r="E271" t="str">
        <f t="shared" si="24"/>
        <v>36-45</v>
      </c>
      <c r="F271" t="s">
        <v>46</v>
      </c>
      <c r="G271" t="s">
        <v>39</v>
      </c>
      <c r="H271" s="8" t="s">
        <v>48</v>
      </c>
      <c r="I271" s="10">
        <v>6</v>
      </c>
      <c r="J271" t="str">
        <f t="shared" si="20"/>
        <v>Moderate</v>
      </c>
      <c r="K271">
        <v>3</v>
      </c>
      <c r="L271" t="s">
        <v>41</v>
      </c>
      <c r="M271">
        <v>4</v>
      </c>
      <c r="N271">
        <v>3</v>
      </c>
      <c r="O271">
        <v>1</v>
      </c>
      <c r="P271" t="s">
        <v>51</v>
      </c>
      <c r="Q271">
        <v>4</v>
      </c>
      <c r="R271" s="11">
        <v>1403</v>
      </c>
      <c r="S271" s="14">
        <v>47</v>
      </c>
      <c r="T271" s="13">
        <v>3210</v>
      </c>
      <c r="U271" s="13">
        <f t="shared" si="21"/>
        <v>38520</v>
      </c>
      <c r="V271" s="14">
        <v>20251</v>
      </c>
      <c r="W271">
        <v>0</v>
      </c>
      <c r="X271" s="8" t="s">
        <v>46</v>
      </c>
      <c r="Y271" s="15">
        <v>0.11</v>
      </c>
      <c r="Z271">
        <v>3</v>
      </c>
      <c r="AA271">
        <v>3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 t="str">
        <f t="shared" si="22"/>
        <v>12-15</v>
      </c>
      <c r="AI271">
        <v>10</v>
      </c>
      <c r="AJ271" t="str">
        <f t="shared" si="23"/>
        <v>9-11</v>
      </c>
      <c r="AK271">
        <v>11</v>
      </c>
    </row>
    <row r="272" spans="1:37" x14ac:dyDescent="0.25">
      <c r="A272" s="8">
        <v>271</v>
      </c>
      <c r="B272" t="s">
        <v>44</v>
      </c>
      <c r="C272" t="s">
        <v>37</v>
      </c>
      <c r="D272" s="8">
        <v>55</v>
      </c>
      <c r="E272" t="str">
        <f t="shared" si="24"/>
        <v>46-55</v>
      </c>
      <c r="F272" t="s">
        <v>46</v>
      </c>
      <c r="G272" t="s">
        <v>39</v>
      </c>
      <c r="H272" s="8" t="s">
        <v>48</v>
      </c>
      <c r="I272" s="10">
        <v>1</v>
      </c>
      <c r="J272" t="str">
        <f t="shared" si="20"/>
        <v>Near</v>
      </c>
      <c r="K272">
        <v>3</v>
      </c>
      <c r="L272" t="s">
        <v>53</v>
      </c>
      <c r="M272">
        <v>4</v>
      </c>
      <c r="N272">
        <v>3</v>
      </c>
      <c r="O272">
        <v>5</v>
      </c>
      <c r="P272" t="s">
        <v>59</v>
      </c>
      <c r="Q272">
        <v>1</v>
      </c>
      <c r="R272" s="11">
        <v>452</v>
      </c>
      <c r="S272" s="14">
        <v>81</v>
      </c>
      <c r="T272" s="13">
        <v>19045</v>
      </c>
      <c r="U272" s="13">
        <f t="shared" si="21"/>
        <v>228540</v>
      </c>
      <c r="V272" s="14">
        <v>18938</v>
      </c>
      <c r="W272">
        <v>0</v>
      </c>
      <c r="X272" s="8" t="s">
        <v>38</v>
      </c>
      <c r="Y272" s="15">
        <v>0.14000000000000001</v>
      </c>
      <c r="Z272">
        <v>3</v>
      </c>
      <c r="AA272">
        <v>3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 t="str">
        <f t="shared" si="22"/>
        <v>8-11</v>
      </c>
      <c r="AI272">
        <v>4</v>
      </c>
      <c r="AJ272" t="str">
        <f t="shared" si="23"/>
        <v>3-5</v>
      </c>
      <c r="AK272">
        <v>13</v>
      </c>
    </row>
    <row r="273" spans="1:37" x14ac:dyDescent="0.25">
      <c r="A273" s="8">
        <v>272</v>
      </c>
      <c r="B273" t="s">
        <v>44</v>
      </c>
      <c r="C273" t="s">
        <v>45</v>
      </c>
      <c r="D273" s="8">
        <v>47</v>
      </c>
      <c r="E273" t="str">
        <f t="shared" si="24"/>
        <v>46-55</v>
      </c>
      <c r="F273" t="s">
        <v>38</v>
      </c>
      <c r="G273" t="s">
        <v>58</v>
      </c>
      <c r="H273" s="8" t="s">
        <v>48</v>
      </c>
      <c r="I273" s="10">
        <v>29</v>
      </c>
      <c r="J273" t="str">
        <f t="shared" si="20"/>
        <v>Far</v>
      </c>
      <c r="K273">
        <v>4</v>
      </c>
      <c r="L273" t="s">
        <v>41</v>
      </c>
      <c r="M273">
        <v>1</v>
      </c>
      <c r="N273">
        <v>3</v>
      </c>
      <c r="O273">
        <v>3</v>
      </c>
      <c r="P273" t="s">
        <v>59</v>
      </c>
      <c r="Q273">
        <v>2</v>
      </c>
      <c r="R273" s="11">
        <v>666</v>
      </c>
      <c r="S273" s="14">
        <v>88</v>
      </c>
      <c r="T273" s="13">
        <v>11849</v>
      </c>
      <c r="U273" s="13">
        <f t="shared" si="21"/>
        <v>142188</v>
      </c>
      <c r="V273" s="14">
        <v>10268</v>
      </c>
      <c r="W273">
        <v>1</v>
      </c>
      <c r="X273" s="8" t="s">
        <v>38</v>
      </c>
      <c r="Y273" s="15">
        <v>0.12</v>
      </c>
      <c r="Z273">
        <v>3</v>
      </c>
      <c r="AA273">
        <v>4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 t="str">
        <f t="shared" si="22"/>
        <v>4-7</v>
      </c>
      <c r="AI273">
        <v>9</v>
      </c>
      <c r="AJ273" t="str">
        <f t="shared" si="23"/>
        <v>9-11</v>
      </c>
      <c r="AK273">
        <v>9</v>
      </c>
    </row>
    <row r="274" spans="1:37" x14ac:dyDescent="0.25">
      <c r="A274" s="8">
        <v>273</v>
      </c>
      <c r="B274" t="s">
        <v>44</v>
      </c>
      <c r="C274" t="s">
        <v>45</v>
      </c>
      <c r="D274" s="8">
        <v>28</v>
      </c>
      <c r="E274" t="str">
        <f t="shared" si="24"/>
        <v>26-35</v>
      </c>
      <c r="F274" t="s">
        <v>46</v>
      </c>
      <c r="G274" t="s">
        <v>39</v>
      </c>
      <c r="H274" s="8" t="s">
        <v>48</v>
      </c>
      <c r="I274" s="10">
        <v>9</v>
      </c>
      <c r="J274" t="str">
        <f t="shared" si="20"/>
        <v>Moderate</v>
      </c>
      <c r="K274">
        <v>3</v>
      </c>
      <c r="L274" t="s">
        <v>53</v>
      </c>
      <c r="M274">
        <v>4</v>
      </c>
      <c r="N274">
        <v>3</v>
      </c>
      <c r="O274">
        <v>1</v>
      </c>
      <c r="P274" t="s">
        <v>49</v>
      </c>
      <c r="Q274">
        <v>4</v>
      </c>
      <c r="R274" s="11">
        <v>1158</v>
      </c>
      <c r="S274" s="14">
        <v>94</v>
      </c>
      <c r="T274" s="13">
        <v>2070</v>
      </c>
      <c r="U274" s="13">
        <f t="shared" si="21"/>
        <v>24840</v>
      </c>
      <c r="V274" s="14">
        <v>2613</v>
      </c>
      <c r="W274">
        <v>1</v>
      </c>
      <c r="X274" s="8" t="s">
        <v>46</v>
      </c>
      <c r="Y274" s="15">
        <v>0.23</v>
      </c>
      <c r="Z274">
        <v>4</v>
      </c>
      <c r="AA274">
        <v>4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 t="str">
        <f t="shared" si="22"/>
        <v>0-3</v>
      </c>
      <c r="AI274">
        <v>0</v>
      </c>
      <c r="AJ274" t="str">
        <f t="shared" si="23"/>
        <v>0-2</v>
      </c>
      <c r="AK274">
        <v>4</v>
      </c>
    </row>
    <row r="275" spans="1:37" x14ac:dyDescent="0.25">
      <c r="A275" s="8">
        <v>274</v>
      </c>
      <c r="B275" t="s">
        <v>44</v>
      </c>
      <c r="C275" t="s">
        <v>45</v>
      </c>
      <c r="D275" s="8">
        <v>37</v>
      </c>
      <c r="E275" t="str">
        <f t="shared" si="24"/>
        <v>36-45</v>
      </c>
      <c r="F275" t="s">
        <v>46</v>
      </c>
      <c r="G275" t="s">
        <v>39</v>
      </c>
      <c r="H275" s="8" t="s">
        <v>40</v>
      </c>
      <c r="I275" s="10">
        <v>6</v>
      </c>
      <c r="J275" t="str">
        <f t="shared" si="20"/>
        <v>Moderate</v>
      </c>
      <c r="K275">
        <v>4</v>
      </c>
      <c r="L275" t="s">
        <v>53</v>
      </c>
      <c r="M275">
        <v>3</v>
      </c>
      <c r="N275">
        <v>3</v>
      </c>
      <c r="O275">
        <v>2</v>
      </c>
      <c r="P275" t="s">
        <v>42</v>
      </c>
      <c r="Q275">
        <v>4</v>
      </c>
      <c r="R275" s="11">
        <v>228</v>
      </c>
      <c r="S275" s="14">
        <v>98</v>
      </c>
      <c r="T275" s="13">
        <v>6502</v>
      </c>
      <c r="U275" s="13">
        <f t="shared" si="21"/>
        <v>78024</v>
      </c>
      <c r="V275" s="14">
        <v>22825</v>
      </c>
      <c r="W275">
        <v>4</v>
      </c>
      <c r="X275" s="8" t="s">
        <v>46</v>
      </c>
      <c r="Y275" s="15">
        <v>0.14000000000000001</v>
      </c>
      <c r="Z275">
        <v>3</v>
      </c>
      <c r="AA275">
        <v>2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 t="str">
        <f t="shared" si="22"/>
        <v>4-7</v>
      </c>
      <c r="AI275">
        <v>0</v>
      </c>
      <c r="AJ275" t="str">
        <f t="shared" si="23"/>
        <v>0-2</v>
      </c>
      <c r="AK275">
        <v>1</v>
      </c>
    </row>
    <row r="276" spans="1:37" x14ac:dyDescent="0.25">
      <c r="A276" s="8">
        <v>275</v>
      </c>
      <c r="B276" t="s">
        <v>44</v>
      </c>
      <c r="C276" t="s">
        <v>37</v>
      </c>
      <c r="D276" s="8">
        <v>21</v>
      </c>
      <c r="E276" t="str">
        <f t="shared" si="24"/>
        <v>18-25</v>
      </c>
      <c r="F276" t="s">
        <v>46</v>
      </c>
      <c r="G276" t="s">
        <v>39</v>
      </c>
      <c r="H276" s="8" t="s">
        <v>48</v>
      </c>
      <c r="I276" s="10">
        <v>3</v>
      </c>
      <c r="J276" t="str">
        <f t="shared" si="20"/>
        <v>Near</v>
      </c>
      <c r="K276">
        <v>2</v>
      </c>
      <c r="L276" t="s">
        <v>53</v>
      </c>
      <c r="M276">
        <v>4</v>
      </c>
      <c r="N276">
        <v>2</v>
      </c>
      <c r="O276">
        <v>1</v>
      </c>
      <c r="P276" t="s">
        <v>49</v>
      </c>
      <c r="Q276">
        <v>3</v>
      </c>
      <c r="R276" s="11">
        <v>996</v>
      </c>
      <c r="S276" s="14">
        <v>100</v>
      </c>
      <c r="T276" s="13">
        <v>3230</v>
      </c>
      <c r="U276" s="13">
        <f t="shared" si="21"/>
        <v>38760</v>
      </c>
      <c r="V276" s="14">
        <v>10531</v>
      </c>
      <c r="W276">
        <v>1</v>
      </c>
      <c r="X276" s="8" t="s">
        <v>46</v>
      </c>
      <c r="Y276" s="15">
        <v>0.17</v>
      </c>
      <c r="Z276">
        <v>3</v>
      </c>
      <c r="AA276">
        <v>1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 t="str">
        <f t="shared" si="22"/>
        <v>0-3</v>
      </c>
      <c r="AI276">
        <v>1</v>
      </c>
      <c r="AJ276" t="str">
        <f t="shared" si="23"/>
        <v>0-2</v>
      </c>
      <c r="AK276">
        <v>0</v>
      </c>
    </row>
    <row r="277" spans="1:37" x14ac:dyDescent="0.25">
      <c r="A277" s="8">
        <v>276</v>
      </c>
      <c r="B277" t="s">
        <v>52</v>
      </c>
      <c r="C277" t="s">
        <v>54</v>
      </c>
      <c r="D277" s="8">
        <v>37</v>
      </c>
      <c r="E277" t="str">
        <f t="shared" si="24"/>
        <v>36-45</v>
      </c>
      <c r="F277" t="s">
        <v>46</v>
      </c>
      <c r="G277" t="s">
        <v>58</v>
      </c>
      <c r="H277" s="8" t="s">
        <v>48</v>
      </c>
      <c r="I277" s="10">
        <v>1</v>
      </c>
      <c r="J277" t="str">
        <f t="shared" si="20"/>
        <v>Near</v>
      </c>
      <c r="K277">
        <v>4</v>
      </c>
      <c r="L277" t="s">
        <v>53</v>
      </c>
      <c r="M277">
        <v>1</v>
      </c>
      <c r="N277">
        <v>3</v>
      </c>
      <c r="O277">
        <v>3</v>
      </c>
      <c r="P277" t="s">
        <v>61</v>
      </c>
      <c r="Q277">
        <v>4</v>
      </c>
      <c r="R277" s="11">
        <v>728</v>
      </c>
      <c r="S277" s="14">
        <v>80</v>
      </c>
      <c r="T277" s="13">
        <v>13603</v>
      </c>
      <c r="U277" s="13">
        <f t="shared" si="21"/>
        <v>163236</v>
      </c>
      <c r="V277" s="14">
        <v>11677</v>
      </c>
      <c r="W277">
        <v>2</v>
      </c>
      <c r="X277" s="8" t="s">
        <v>38</v>
      </c>
      <c r="Y277" s="15">
        <v>0.18</v>
      </c>
      <c r="Z277">
        <v>3</v>
      </c>
      <c r="AA277">
        <v>1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 t="str">
        <f t="shared" si="22"/>
        <v>0-3</v>
      </c>
      <c r="AI277">
        <v>0</v>
      </c>
      <c r="AJ277" t="str">
        <f t="shared" si="23"/>
        <v>0-2</v>
      </c>
      <c r="AK277">
        <v>2</v>
      </c>
    </row>
    <row r="278" spans="1:37" x14ac:dyDescent="0.25">
      <c r="A278" s="8">
        <v>277</v>
      </c>
      <c r="B278" t="s">
        <v>52</v>
      </c>
      <c r="C278" t="s">
        <v>54</v>
      </c>
      <c r="D278" s="8">
        <v>35</v>
      </c>
      <c r="E278" t="str">
        <f t="shared" si="24"/>
        <v>26-35</v>
      </c>
      <c r="F278" t="s">
        <v>46</v>
      </c>
      <c r="G278" t="s">
        <v>39</v>
      </c>
      <c r="H278" s="8" t="s">
        <v>48</v>
      </c>
      <c r="I278" s="10">
        <v>22</v>
      </c>
      <c r="J278" t="str">
        <f t="shared" si="20"/>
        <v>Far</v>
      </c>
      <c r="K278">
        <v>3</v>
      </c>
      <c r="L278" t="s">
        <v>41</v>
      </c>
      <c r="M278">
        <v>2</v>
      </c>
      <c r="N278">
        <v>4</v>
      </c>
      <c r="O278">
        <v>3</v>
      </c>
      <c r="P278" t="s">
        <v>59</v>
      </c>
      <c r="Q278">
        <v>2</v>
      </c>
      <c r="R278" s="11">
        <v>1315</v>
      </c>
      <c r="S278" s="14">
        <v>71</v>
      </c>
      <c r="T278" s="13">
        <v>11996</v>
      </c>
      <c r="U278" s="13">
        <f t="shared" si="21"/>
        <v>143952</v>
      </c>
      <c r="V278" s="14">
        <v>19100</v>
      </c>
      <c r="W278">
        <v>7</v>
      </c>
      <c r="X278" s="8" t="s">
        <v>46</v>
      </c>
      <c r="Y278" s="15">
        <v>0.18</v>
      </c>
      <c r="Z278">
        <v>3</v>
      </c>
      <c r="AA278">
        <v>2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 t="str">
        <f t="shared" si="22"/>
        <v>4-7</v>
      </c>
      <c r="AI278">
        <v>6</v>
      </c>
      <c r="AJ278" t="str">
        <f t="shared" si="23"/>
        <v>6-8</v>
      </c>
      <c r="AK278">
        <v>2</v>
      </c>
    </row>
    <row r="279" spans="1:37" x14ac:dyDescent="0.25">
      <c r="A279" s="8">
        <v>278</v>
      </c>
      <c r="B279" t="s">
        <v>52</v>
      </c>
      <c r="C279" t="s">
        <v>54</v>
      </c>
      <c r="D279" s="8">
        <v>38</v>
      </c>
      <c r="E279" t="str">
        <f t="shared" si="24"/>
        <v>36-45</v>
      </c>
      <c r="F279" t="s">
        <v>46</v>
      </c>
      <c r="G279" t="s">
        <v>39</v>
      </c>
      <c r="H279" s="8" t="s">
        <v>40</v>
      </c>
      <c r="I279" s="10">
        <v>7</v>
      </c>
      <c r="J279" t="str">
        <f t="shared" si="20"/>
        <v>Moderate</v>
      </c>
      <c r="K279">
        <v>2</v>
      </c>
      <c r="L279" t="s">
        <v>53</v>
      </c>
      <c r="M279">
        <v>1</v>
      </c>
      <c r="N279">
        <v>4</v>
      </c>
      <c r="O279">
        <v>2</v>
      </c>
      <c r="P279" t="s">
        <v>42</v>
      </c>
      <c r="Q279">
        <v>1</v>
      </c>
      <c r="R279" s="11">
        <v>322</v>
      </c>
      <c r="S279" s="14">
        <v>44</v>
      </c>
      <c r="T279" s="13">
        <v>5605</v>
      </c>
      <c r="U279" s="13">
        <f t="shared" si="21"/>
        <v>67260</v>
      </c>
      <c r="V279" s="14">
        <v>19191</v>
      </c>
      <c r="W279">
        <v>1</v>
      </c>
      <c r="X279" s="8" t="s">
        <v>38</v>
      </c>
      <c r="Y279" s="15">
        <v>0.24</v>
      </c>
      <c r="Z279">
        <v>4</v>
      </c>
      <c r="AA279">
        <v>3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 t="str">
        <f t="shared" si="22"/>
        <v>0-3</v>
      </c>
      <c r="AI279">
        <v>7</v>
      </c>
      <c r="AJ279" t="str">
        <f t="shared" si="23"/>
        <v>6-8</v>
      </c>
      <c r="AK279">
        <v>7</v>
      </c>
    </row>
    <row r="280" spans="1:37" x14ac:dyDescent="0.25">
      <c r="A280" s="8">
        <v>279</v>
      </c>
      <c r="B280" t="s">
        <v>52</v>
      </c>
      <c r="C280" t="s">
        <v>54</v>
      </c>
      <c r="D280" s="8">
        <v>26</v>
      </c>
      <c r="E280" t="str">
        <f t="shared" si="24"/>
        <v>26-35</v>
      </c>
      <c r="F280" t="s">
        <v>46</v>
      </c>
      <c r="G280" t="s">
        <v>47</v>
      </c>
      <c r="H280" s="8" t="s">
        <v>48</v>
      </c>
      <c r="I280" s="10">
        <v>1</v>
      </c>
      <c r="J280" t="str">
        <f t="shared" si="20"/>
        <v>Near</v>
      </c>
      <c r="K280">
        <v>3</v>
      </c>
      <c r="L280" t="s">
        <v>41</v>
      </c>
      <c r="M280">
        <v>3</v>
      </c>
      <c r="N280">
        <v>3</v>
      </c>
      <c r="O280">
        <v>2</v>
      </c>
      <c r="P280" t="s">
        <v>55</v>
      </c>
      <c r="Q280">
        <v>2</v>
      </c>
      <c r="R280" s="11">
        <v>1479</v>
      </c>
      <c r="S280" s="14">
        <v>84</v>
      </c>
      <c r="T280" s="13">
        <v>6397</v>
      </c>
      <c r="U280" s="13">
        <f t="shared" si="21"/>
        <v>76764</v>
      </c>
      <c r="V280" s="14">
        <v>26767</v>
      </c>
      <c r="W280">
        <v>1</v>
      </c>
      <c r="X280" s="8" t="s">
        <v>46</v>
      </c>
      <c r="Y280" s="15">
        <v>0.2</v>
      </c>
      <c r="Z280">
        <v>4</v>
      </c>
      <c r="AA280">
        <v>1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 t="str">
        <f t="shared" si="22"/>
        <v>4-7</v>
      </c>
      <c r="AI280">
        <v>1</v>
      </c>
      <c r="AJ280" t="str">
        <f t="shared" si="23"/>
        <v>0-2</v>
      </c>
      <c r="AK280">
        <v>4</v>
      </c>
    </row>
    <row r="281" spans="1:37" x14ac:dyDescent="0.25">
      <c r="A281" s="8">
        <v>280</v>
      </c>
      <c r="B281" t="s">
        <v>44</v>
      </c>
      <c r="C281" t="s">
        <v>54</v>
      </c>
      <c r="D281" s="8">
        <v>50</v>
      </c>
      <c r="E281" t="str">
        <f t="shared" si="24"/>
        <v>46-55</v>
      </c>
      <c r="F281" t="s">
        <v>46</v>
      </c>
      <c r="G281" t="s">
        <v>39</v>
      </c>
      <c r="H281" s="8" t="s">
        <v>48</v>
      </c>
      <c r="I281" s="10">
        <v>4</v>
      </c>
      <c r="J281" t="str">
        <f t="shared" si="20"/>
        <v>Near</v>
      </c>
      <c r="K281">
        <v>1</v>
      </c>
      <c r="L281" t="s">
        <v>41</v>
      </c>
      <c r="M281">
        <v>1</v>
      </c>
      <c r="N281">
        <v>3</v>
      </c>
      <c r="O281">
        <v>5</v>
      </c>
      <c r="P281" t="s">
        <v>61</v>
      </c>
      <c r="Q281">
        <v>2</v>
      </c>
      <c r="R281" s="11">
        <v>797</v>
      </c>
      <c r="S281" s="14">
        <v>96</v>
      </c>
      <c r="T281" s="13">
        <v>19144</v>
      </c>
      <c r="U281" s="13">
        <f t="shared" si="21"/>
        <v>229728</v>
      </c>
      <c r="V281" s="14">
        <v>15815</v>
      </c>
      <c r="W281">
        <v>3</v>
      </c>
      <c r="X281" s="8" t="s">
        <v>46</v>
      </c>
      <c r="Y281" s="15">
        <v>0.14000000000000001</v>
      </c>
      <c r="Z281">
        <v>3</v>
      </c>
      <c r="AA281">
        <v>1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 t="str">
        <f t="shared" si="22"/>
        <v>4-7</v>
      </c>
      <c r="AI281">
        <v>1</v>
      </c>
      <c r="AJ281" t="str">
        <f t="shared" si="23"/>
        <v>0-2</v>
      </c>
      <c r="AK281">
        <v>6</v>
      </c>
    </row>
    <row r="282" spans="1:37" x14ac:dyDescent="0.25">
      <c r="A282" s="8">
        <v>281</v>
      </c>
      <c r="B282" t="s">
        <v>44</v>
      </c>
      <c r="C282" t="s">
        <v>45</v>
      </c>
      <c r="D282" s="8">
        <v>53</v>
      </c>
      <c r="E282" t="str">
        <f t="shared" si="24"/>
        <v>46-55</v>
      </c>
      <c r="F282" t="s">
        <v>46</v>
      </c>
      <c r="G282" t="s">
        <v>39</v>
      </c>
      <c r="H282" s="8" t="s">
        <v>48</v>
      </c>
      <c r="I282" s="10">
        <v>3</v>
      </c>
      <c r="J282" t="str">
        <f t="shared" si="20"/>
        <v>Near</v>
      </c>
      <c r="K282">
        <v>4</v>
      </c>
      <c r="L282" t="s">
        <v>53</v>
      </c>
      <c r="M282">
        <v>3</v>
      </c>
      <c r="N282">
        <v>3</v>
      </c>
      <c r="O282">
        <v>4</v>
      </c>
      <c r="P282" t="s">
        <v>61</v>
      </c>
      <c r="Q282">
        <v>3</v>
      </c>
      <c r="R282" s="11">
        <v>1070</v>
      </c>
      <c r="S282" s="14">
        <v>45</v>
      </c>
      <c r="T282" s="13">
        <v>17584</v>
      </c>
      <c r="U282" s="13">
        <f t="shared" si="21"/>
        <v>211008</v>
      </c>
      <c r="V282" s="14">
        <v>21016</v>
      </c>
      <c r="W282">
        <v>3</v>
      </c>
      <c r="X282" s="8" t="s">
        <v>38</v>
      </c>
      <c r="Y282" s="15">
        <v>0.16</v>
      </c>
      <c r="Z282">
        <v>3</v>
      </c>
      <c r="AA282">
        <v>4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 t="str">
        <f t="shared" si="22"/>
        <v>0-3</v>
      </c>
      <c r="AI282">
        <v>1</v>
      </c>
      <c r="AJ282" t="str">
        <f t="shared" si="23"/>
        <v>0-2</v>
      </c>
      <c r="AK282">
        <v>3</v>
      </c>
    </row>
    <row r="283" spans="1:37" x14ac:dyDescent="0.25">
      <c r="A283" s="8">
        <v>282</v>
      </c>
      <c r="B283" t="s">
        <v>44</v>
      </c>
      <c r="C283" t="s">
        <v>45</v>
      </c>
      <c r="D283" s="8">
        <v>42</v>
      </c>
      <c r="E283" t="str">
        <f t="shared" si="24"/>
        <v>36-45</v>
      </c>
      <c r="F283" t="s">
        <v>46</v>
      </c>
      <c r="G283" t="s">
        <v>39</v>
      </c>
      <c r="H283" s="8" t="s">
        <v>40</v>
      </c>
      <c r="I283" s="10">
        <v>1</v>
      </c>
      <c r="J283" t="str">
        <f t="shared" si="20"/>
        <v>Near</v>
      </c>
      <c r="K283">
        <v>1</v>
      </c>
      <c r="L283" t="s">
        <v>41</v>
      </c>
      <c r="M283">
        <v>2</v>
      </c>
      <c r="N283">
        <v>3</v>
      </c>
      <c r="O283">
        <v>2</v>
      </c>
      <c r="P283" t="s">
        <v>42</v>
      </c>
      <c r="Q283">
        <v>3</v>
      </c>
      <c r="R283" s="11">
        <v>635</v>
      </c>
      <c r="S283" s="14">
        <v>99</v>
      </c>
      <c r="T283" s="13">
        <v>4907</v>
      </c>
      <c r="U283" s="13">
        <f t="shared" si="21"/>
        <v>58884</v>
      </c>
      <c r="V283" s="14">
        <v>24532</v>
      </c>
      <c r="W283">
        <v>1</v>
      </c>
      <c r="X283" s="8" t="s">
        <v>46</v>
      </c>
      <c r="Y283" s="15">
        <v>0.25</v>
      </c>
      <c r="Z283">
        <v>4</v>
      </c>
      <c r="AA283">
        <v>3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 t="str">
        <f t="shared" si="22"/>
        <v>16-19</v>
      </c>
      <c r="AI283">
        <v>11</v>
      </c>
      <c r="AJ283" t="str">
        <f t="shared" si="23"/>
        <v>9-11</v>
      </c>
      <c r="AK283">
        <v>6</v>
      </c>
    </row>
    <row r="284" spans="1:37" x14ac:dyDescent="0.25">
      <c r="A284" s="8">
        <v>283</v>
      </c>
      <c r="B284" t="s">
        <v>44</v>
      </c>
      <c r="C284" t="s">
        <v>37</v>
      </c>
      <c r="D284" s="8">
        <v>29</v>
      </c>
      <c r="E284" t="str">
        <f t="shared" si="24"/>
        <v>26-35</v>
      </c>
      <c r="F284" t="s">
        <v>46</v>
      </c>
      <c r="G284" t="s">
        <v>47</v>
      </c>
      <c r="H284" s="8" t="s">
        <v>40</v>
      </c>
      <c r="I284" s="10">
        <v>2</v>
      </c>
      <c r="J284" t="str">
        <f t="shared" si="20"/>
        <v>Near</v>
      </c>
      <c r="K284">
        <v>2</v>
      </c>
      <c r="L284" t="s">
        <v>41</v>
      </c>
      <c r="M284">
        <v>2</v>
      </c>
      <c r="N284">
        <v>3</v>
      </c>
      <c r="O284">
        <v>2</v>
      </c>
      <c r="P284" t="s">
        <v>42</v>
      </c>
      <c r="Q284">
        <v>4</v>
      </c>
      <c r="R284" s="11">
        <v>442</v>
      </c>
      <c r="S284" s="14">
        <v>44</v>
      </c>
      <c r="T284" s="13">
        <v>4554</v>
      </c>
      <c r="U284" s="13">
        <f t="shared" si="21"/>
        <v>54648</v>
      </c>
      <c r="V284" s="14">
        <v>20260</v>
      </c>
      <c r="W284">
        <v>1</v>
      </c>
      <c r="X284" s="8" t="s">
        <v>46</v>
      </c>
      <c r="Y284" s="15">
        <v>0.18</v>
      </c>
      <c r="Z284">
        <v>3</v>
      </c>
      <c r="AA284">
        <v>1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 t="str">
        <f t="shared" si="22"/>
        <v>4-7</v>
      </c>
      <c r="AI284">
        <v>0</v>
      </c>
      <c r="AJ284" t="str">
        <f t="shared" si="23"/>
        <v>0-2</v>
      </c>
      <c r="AK284">
        <v>9</v>
      </c>
    </row>
    <row r="285" spans="1:37" x14ac:dyDescent="0.25">
      <c r="A285" s="8">
        <v>284</v>
      </c>
      <c r="B285" t="s">
        <v>44</v>
      </c>
      <c r="C285" t="s">
        <v>45</v>
      </c>
      <c r="D285" s="8">
        <v>55</v>
      </c>
      <c r="E285" t="str">
        <f t="shared" si="24"/>
        <v>46-55</v>
      </c>
      <c r="F285" t="s">
        <v>46</v>
      </c>
      <c r="G285" t="s">
        <v>39</v>
      </c>
      <c r="H285" s="8" t="s">
        <v>48</v>
      </c>
      <c r="I285" s="10">
        <v>20</v>
      </c>
      <c r="J285" t="str">
        <f t="shared" si="20"/>
        <v>Far</v>
      </c>
      <c r="K285">
        <v>2</v>
      </c>
      <c r="L285" t="s">
        <v>63</v>
      </c>
      <c r="M285">
        <v>2</v>
      </c>
      <c r="N285">
        <v>3</v>
      </c>
      <c r="O285">
        <v>2</v>
      </c>
      <c r="P285" t="s">
        <v>51</v>
      </c>
      <c r="Q285">
        <v>4</v>
      </c>
      <c r="R285" s="11">
        <v>147</v>
      </c>
      <c r="S285" s="14">
        <v>37</v>
      </c>
      <c r="T285" s="13">
        <v>5415</v>
      </c>
      <c r="U285" s="13">
        <f t="shared" si="21"/>
        <v>64980</v>
      </c>
      <c r="V285" s="14">
        <v>15972</v>
      </c>
      <c r="W285">
        <v>3</v>
      </c>
      <c r="X285" s="8" t="s">
        <v>38</v>
      </c>
      <c r="Y285" s="15">
        <v>0.19</v>
      </c>
      <c r="Z285">
        <v>3</v>
      </c>
      <c r="AA285">
        <v>4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 t="str">
        <f t="shared" si="22"/>
        <v>4-7</v>
      </c>
      <c r="AI285">
        <v>0</v>
      </c>
      <c r="AJ285" t="str">
        <f t="shared" si="23"/>
        <v>0-2</v>
      </c>
      <c r="AK285">
        <v>8</v>
      </c>
    </row>
    <row r="286" spans="1:37" x14ac:dyDescent="0.25">
      <c r="A286" s="8">
        <v>285</v>
      </c>
      <c r="B286" t="s">
        <v>44</v>
      </c>
      <c r="C286" t="s">
        <v>45</v>
      </c>
      <c r="D286" s="8">
        <v>26</v>
      </c>
      <c r="E286" t="str">
        <f t="shared" si="24"/>
        <v>26-35</v>
      </c>
      <c r="F286" t="s">
        <v>46</v>
      </c>
      <c r="G286" t="s">
        <v>47</v>
      </c>
      <c r="H286" s="8" t="s">
        <v>48</v>
      </c>
      <c r="I286" s="10">
        <v>11</v>
      </c>
      <c r="J286" t="str">
        <f t="shared" si="20"/>
        <v>Moderate</v>
      </c>
      <c r="K286">
        <v>2</v>
      </c>
      <c r="L286" t="s">
        <v>53</v>
      </c>
      <c r="M286">
        <v>1</v>
      </c>
      <c r="N286">
        <v>3</v>
      </c>
      <c r="O286">
        <v>2</v>
      </c>
      <c r="P286" t="s">
        <v>56</v>
      </c>
      <c r="Q286">
        <v>1</v>
      </c>
      <c r="R286" s="11">
        <v>496</v>
      </c>
      <c r="S286" s="14">
        <v>60</v>
      </c>
      <c r="T286" s="13">
        <v>4741</v>
      </c>
      <c r="U286" s="13">
        <f t="shared" si="21"/>
        <v>56892</v>
      </c>
      <c r="V286" s="14">
        <v>22722</v>
      </c>
      <c r="W286">
        <v>1</v>
      </c>
      <c r="X286" s="8" t="s">
        <v>38</v>
      </c>
      <c r="Y286" s="15">
        <v>0.13</v>
      </c>
      <c r="Z286">
        <v>3</v>
      </c>
      <c r="AA286">
        <v>3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 t="str">
        <f t="shared" si="22"/>
        <v>0-3</v>
      </c>
      <c r="AI286">
        <v>3</v>
      </c>
      <c r="AJ286" t="str">
        <f t="shared" si="23"/>
        <v>3-5</v>
      </c>
      <c r="AK286">
        <v>3</v>
      </c>
    </row>
    <row r="287" spans="1:37" x14ac:dyDescent="0.25">
      <c r="A287" s="8">
        <v>286</v>
      </c>
      <c r="B287" t="s">
        <v>52</v>
      </c>
      <c r="C287" t="s">
        <v>37</v>
      </c>
      <c r="D287" s="8">
        <v>37</v>
      </c>
      <c r="E287" t="str">
        <f t="shared" si="24"/>
        <v>36-45</v>
      </c>
      <c r="F287" t="s">
        <v>46</v>
      </c>
      <c r="G287" t="s">
        <v>39</v>
      </c>
      <c r="H287" s="8" t="s">
        <v>48</v>
      </c>
      <c r="I287" s="10">
        <v>1</v>
      </c>
      <c r="J287" t="str">
        <f t="shared" si="20"/>
        <v>Near</v>
      </c>
      <c r="K287">
        <v>3</v>
      </c>
      <c r="L287" t="s">
        <v>41</v>
      </c>
      <c r="M287">
        <v>4</v>
      </c>
      <c r="N287">
        <v>3</v>
      </c>
      <c r="O287">
        <v>1</v>
      </c>
      <c r="P287" t="s">
        <v>49</v>
      </c>
      <c r="Q287">
        <v>4</v>
      </c>
      <c r="R287" s="11">
        <v>1372</v>
      </c>
      <c r="S287" s="14">
        <v>42</v>
      </c>
      <c r="T287" s="13">
        <v>2115</v>
      </c>
      <c r="U287" s="13">
        <f t="shared" si="21"/>
        <v>25380</v>
      </c>
      <c r="V287" s="14">
        <v>15881</v>
      </c>
      <c r="W287">
        <v>1</v>
      </c>
      <c r="X287" s="8" t="s">
        <v>46</v>
      </c>
      <c r="Y287" s="15">
        <v>0.12</v>
      </c>
      <c r="Z287">
        <v>3</v>
      </c>
      <c r="AA287">
        <v>2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 t="str">
        <f t="shared" si="22"/>
        <v>12-15</v>
      </c>
      <c r="AI287">
        <v>5</v>
      </c>
      <c r="AJ287" t="str">
        <f t="shared" si="23"/>
        <v>3-5</v>
      </c>
      <c r="AK287">
        <v>7</v>
      </c>
    </row>
    <row r="288" spans="1:37" x14ac:dyDescent="0.25">
      <c r="A288" s="8">
        <v>287</v>
      </c>
      <c r="B288" t="s">
        <v>44</v>
      </c>
      <c r="C288" t="s">
        <v>54</v>
      </c>
      <c r="D288" s="8">
        <v>44</v>
      </c>
      <c r="E288" t="str">
        <f t="shared" si="24"/>
        <v>36-45</v>
      </c>
      <c r="F288" t="s">
        <v>38</v>
      </c>
      <c r="G288" t="s">
        <v>47</v>
      </c>
      <c r="H288" s="8" t="s">
        <v>48</v>
      </c>
      <c r="I288" s="10">
        <v>24</v>
      </c>
      <c r="J288" t="str">
        <f t="shared" si="20"/>
        <v>Far</v>
      </c>
      <c r="K288">
        <v>3</v>
      </c>
      <c r="L288" t="s">
        <v>41</v>
      </c>
      <c r="M288">
        <v>4</v>
      </c>
      <c r="N288">
        <v>3</v>
      </c>
      <c r="O288">
        <v>1</v>
      </c>
      <c r="P288" t="s">
        <v>51</v>
      </c>
      <c r="Q288">
        <v>3</v>
      </c>
      <c r="R288" s="11">
        <v>920</v>
      </c>
      <c r="S288" s="14">
        <v>43</v>
      </c>
      <c r="T288" s="13">
        <v>3161</v>
      </c>
      <c r="U288" s="13">
        <f t="shared" si="21"/>
        <v>37932</v>
      </c>
      <c r="V288" s="14">
        <v>19920</v>
      </c>
      <c r="W288">
        <v>3</v>
      </c>
      <c r="X288" s="8" t="s">
        <v>38</v>
      </c>
      <c r="Y288" s="15">
        <v>0.22</v>
      </c>
      <c r="Z288">
        <v>4</v>
      </c>
      <c r="AA288">
        <v>4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 t="str">
        <f t="shared" si="22"/>
        <v>0-3</v>
      </c>
      <c r="AI288">
        <v>0</v>
      </c>
      <c r="AJ288" t="str">
        <f t="shared" si="23"/>
        <v>0-2</v>
      </c>
      <c r="AK288">
        <v>0</v>
      </c>
    </row>
    <row r="289" spans="1:37" x14ac:dyDescent="0.25">
      <c r="A289" s="8">
        <v>288</v>
      </c>
      <c r="B289" t="s">
        <v>44</v>
      </c>
      <c r="C289" t="s">
        <v>54</v>
      </c>
      <c r="D289" s="8">
        <v>38</v>
      </c>
      <c r="E289" t="str">
        <f t="shared" si="24"/>
        <v>36-45</v>
      </c>
      <c r="F289" t="s">
        <v>46</v>
      </c>
      <c r="G289" t="s">
        <v>39</v>
      </c>
      <c r="H289" s="8" t="s">
        <v>48</v>
      </c>
      <c r="I289" s="10">
        <v>23</v>
      </c>
      <c r="J289" t="str">
        <f t="shared" si="20"/>
        <v>Far</v>
      </c>
      <c r="K289">
        <v>4</v>
      </c>
      <c r="L289" t="s">
        <v>41</v>
      </c>
      <c r="M289">
        <v>4</v>
      </c>
      <c r="N289">
        <v>3</v>
      </c>
      <c r="O289">
        <v>2</v>
      </c>
      <c r="P289" t="s">
        <v>56</v>
      </c>
      <c r="Q289">
        <v>4</v>
      </c>
      <c r="R289" s="11">
        <v>688</v>
      </c>
      <c r="S289" s="14">
        <v>82</v>
      </c>
      <c r="T289" s="13">
        <v>5745</v>
      </c>
      <c r="U289" s="13">
        <f t="shared" si="21"/>
        <v>68940</v>
      </c>
      <c r="V289" s="14">
        <v>18899</v>
      </c>
      <c r="W289">
        <v>9</v>
      </c>
      <c r="X289" s="8" t="s">
        <v>46</v>
      </c>
      <c r="Y289" s="15">
        <v>0.14000000000000001</v>
      </c>
      <c r="Z289">
        <v>3</v>
      </c>
      <c r="AA289">
        <v>2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 t="str">
        <f t="shared" si="22"/>
        <v>0-3</v>
      </c>
      <c r="AI289">
        <v>1</v>
      </c>
      <c r="AJ289" t="str">
        <f t="shared" si="23"/>
        <v>0-2</v>
      </c>
      <c r="AK289">
        <v>2</v>
      </c>
    </row>
    <row r="290" spans="1:37" x14ac:dyDescent="0.25">
      <c r="A290" s="8">
        <v>289</v>
      </c>
      <c r="B290" t="s">
        <v>44</v>
      </c>
      <c r="C290" t="s">
        <v>54</v>
      </c>
      <c r="D290" s="8">
        <v>26</v>
      </c>
      <c r="E290" t="str">
        <f t="shared" si="24"/>
        <v>26-35</v>
      </c>
      <c r="F290" t="s">
        <v>38</v>
      </c>
      <c r="G290" t="s">
        <v>39</v>
      </c>
      <c r="H290" s="8" t="s">
        <v>48</v>
      </c>
      <c r="I290" s="10">
        <v>16</v>
      </c>
      <c r="J290" t="str">
        <f t="shared" si="20"/>
        <v>Far</v>
      </c>
      <c r="K290">
        <v>4</v>
      </c>
      <c r="L290" t="s">
        <v>53</v>
      </c>
      <c r="M290">
        <v>1</v>
      </c>
      <c r="N290">
        <v>3</v>
      </c>
      <c r="O290">
        <v>1</v>
      </c>
      <c r="P290" t="s">
        <v>51</v>
      </c>
      <c r="Q290">
        <v>2</v>
      </c>
      <c r="R290" s="11">
        <v>1449</v>
      </c>
      <c r="S290" s="14">
        <v>45</v>
      </c>
      <c r="T290" s="13">
        <v>2373</v>
      </c>
      <c r="U290" s="13">
        <f t="shared" si="21"/>
        <v>28476</v>
      </c>
      <c r="V290" s="14">
        <v>14180</v>
      </c>
      <c r="W290">
        <v>2</v>
      </c>
      <c r="X290" s="8" t="s">
        <v>38</v>
      </c>
      <c r="Y290" s="15">
        <v>0.13</v>
      </c>
      <c r="Z290">
        <v>3</v>
      </c>
      <c r="AA290">
        <v>4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 t="str">
        <f t="shared" si="22"/>
        <v>0-3</v>
      </c>
      <c r="AI290">
        <v>0</v>
      </c>
      <c r="AJ290" t="str">
        <f t="shared" si="23"/>
        <v>0-2</v>
      </c>
      <c r="AK290">
        <v>2</v>
      </c>
    </row>
    <row r="291" spans="1:37" x14ac:dyDescent="0.25">
      <c r="A291" s="8">
        <v>290</v>
      </c>
      <c r="B291" t="s">
        <v>52</v>
      </c>
      <c r="C291" t="s">
        <v>37</v>
      </c>
      <c r="D291" s="8">
        <v>28</v>
      </c>
      <c r="E291" t="str">
        <f t="shared" si="24"/>
        <v>26-35</v>
      </c>
      <c r="F291" t="s">
        <v>46</v>
      </c>
      <c r="G291" t="s">
        <v>39</v>
      </c>
      <c r="H291" s="8" t="s">
        <v>48</v>
      </c>
      <c r="I291" s="10">
        <v>8</v>
      </c>
      <c r="J291" t="str">
        <f t="shared" si="20"/>
        <v>Moderate</v>
      </c>
      <c r="K291">
        <v>2</v>
      </c>
      <c r="L291" t="s">
        <v>41</v>
      </c>
      <c r="M291">
        <v>4</v>
      </c>
      <c r="N291">
        <v>3</v>
      </c>
      <c r="O291">
        <v>1</v>
      </c>
      <c r="P291" t="s">
        <v>49</v>
      </c>
      <c r="Q291">
        <v>4</v>
      </c>
      <c r="R291" s="11">
        <v>1117</v>
      </c>
      <c r="S291" s="14">
        <v>66</v>
      </c>
      <c r="T291" s="13">
        <v>3310</v>
      </c>
      <c r="U291" s="13">
        <f t="shared" si="21"/>
        <v>39720</v>
      </c>
      <c r="V291" s="14">
        <v>4488</v>
      </c>
      <c r="W291">
        <v>1</v>
      </c>
      <c r="X291" s="8" t="s">
        <v>46</v>
      </c>
      <c r="Y291" s="15">
        <v>0.21</v>
      </c>
      <c r="Z291">
        <v>4</v>
      </c>
      <c r="AA291">
        <v>4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 t="str">
        <f t="shared" si="22"/>
        <v>0-3</v>
      </c>
      <c r="AI291">
        <v>0</v>
      </c>
      <c r="AJ291" t="str">
        <f t="shared" si="23"/>
        <v>0-2</v>
      </c>
      <c r="AK291">
        <v>2</v>
      </c>
    </row>
    <row r="292" spans="1:37" x14ac:dyDescent="0.25">
      <c r="A292" s="8">
        <v>291</v>
      </c>
      <c r="B292" t="s">
        <v>52</v>
      </c>
      <c r="C292" t="s">
        <v>37</v>
      </c>
      <c r="D292" s="8">
        <v>49</v>
      </c>
      <c r="E292" t="str">
        <f t="shared" si="24"/>
        <v>46-55</v>
      </c>
      <c r="F292" t="s">
        <v>46</v>
      </c>
      <c r="G292" t="s">
        <v>47</v>
      </c>
      <c r="H292" s="8" t="s">
        <v>48</v>
      </c>
      <c r="I292" s="10">
        <v>10</v>
      </c>
      <c r="J292" t="str">
        <f t="shared" si="20"/>
        <v>Moderate</v>
      </c>
      <c r="K292">
        <v>4</v>
      </c>
      <c r="L292" t="s">
        <v>41</v>
      </c>
      <c r="M292">
        <v>3</v>
      </c>
      <c r="N292">
        <v>3</v>
      </c>
      <c r="O292">
        <v>5</v>
      </c>
      <c r="P292" t="s">
        <v>61</v>
      </c>
      <c r="Q292">
        <v>1</v>
      </c>
      <c r="R292" s="11">
        <v>636</v>
      </c>
      <c r="S292" s="14">
        <v>35</v>
      </c>
      <c r="T292" s="13">
        <v>18665</v>
      </c>
      <c r="U292" s="13">
        <f t="shared" si="21"/>
        <v>223980</v>
      </c>
      <c r="V292" s="14">
        <v>25594</v>
      </c>
      <c r="W292">
        <v>9</v>
      </c>
      <c r="X292" s="8" t="s">
        <v>38</v>
      </c>
      <c r="Y292" s="15">
        <v>0.11</v>
      </c>
      <c r="Z292">
        <v>3</v>
      </c>
      <c r="AA292">
        <v>4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 t="str">
        <f t="shared" si="22"/>
        <v>0-3</v>
      </c>
      <c r="AI292">
        <v>1</v>
      </c>
      <c r="AJ292" t="str">
        <f t="shared" si="23"/>
        <v>0-2</v>
      </c>
      <c r="AK292">
        <v>2</v>
      </c>
    </row>
    <row r="293" spans="1:37" x14ac:dyDescent="0.25">
      <c r="A293" s="8">
        <v>292</v>
      </c>
      <c r="B293" t="s">
        <v>44</v>
      </c>
      <c r="C293" t="s">
        <v>37</v>
      </c>
      <c r="D293" s="8">
        <v>36</v>
      </c>
      <c r="E293" t="str">
        <f t="shared" si="24"/>
        <v>36-45</v>
      </c>
      <c r="F293" t="s">
        <v>46</v>
      </c>
      <c r="G293" t="s">
        <v>39</v>
      </c>
      <c r="H293" s="8" t="s">
        <v>48</v>
      </c>
      <c r="I293" s="10">
        <v>3</v>
      </c>
      <c r="J293" t="str">
        <f t="shared" si="20"/>
        <v>Near</v>
      </c>
      <c r="K293">
        <v>3</v>
      </c>
      <c r="L293" t="s">
        <v>63</v>
      </c>
      <c r="M293">
        <v>3</v>
      </c>
      <c r="N293">
        <v>3</v>
      </c>
      <c r="O293">
        <v>2</v>
      </c>
      <c r="P293" t="s">
        <v>49</v>
      </c>
      <c r="Q293">
        <v>2</v>
      </c>
      <c r="R293" s="11">
        <v>506</v>
      </c>
      <c r="S293" s="14">
        <v>30</v>
      </c>
      <c r="T293" s="13">
        <v>4485</v>
      </c>
      <c r="U293" s="13">
        <f t="shared" si="21"/>
        <v>53820</v>
      </c>
      <c r="V293" s="14">
        <v>26285</v>
      </c>
      <c r="W293">
        <v>4</v>
      </c>
      <c r="X293" s="8" t="s">
        <v>46</v>
      </c>
      <c r="Y293" s="15">
        <v>0.12</v>
      </c>
      <c r="Z293">
        <v>3</v>
      </c>
      <c r="AA293">
        <v>4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 t="str">
        <f t="shared" si="22"/>
        <v>0-3</v>
      </c>
      <c r="AI293">
        <v>7</v>
      </c>
      <c r="AJ293" t="str">
        <f t="shared" si="23"/>
        <v>6-8</v>
      </c>
      <c r="AK293">
        <v>7</v>
      </c>
    </row>
    <row r="294" spans="1:37" x14ac:dyDescent="0.25">
      <c r="A294" s="8">
        <v>293</v>
      </c>
      <c r="B294" t="s">
        <v>52</v>
      </c>
      <c r="C294" t="s">
        <v>54</v>
      </c>
      <c r="D294" s="8">
        <v>31</v>
      </c>
      <c r="E294" t="str">
        <f t="shared" si="24"/>
        <v>26-35</v>
      </c>
      <c r="F294" t="s">
        <v>46</v>
      </c>
      <c r="G294" t="s">
        <v>47</v>
      </c>
      <c r="H294" s="8" t="s">
        <v>40</v>
      </c>
      <c r="I294" s="10">
        <v>5</v>
      </c>
      <c r="J294" t="str">
        <f t="shared" si="20"/>
        <v>Near</v>
      </c>
      <c r="K294">
        <v>3</v>
      </c>
      <c r="L294" t="s">
        <v>62</v>
      </c>
      <c r="M294">
        <v>4</v>
      </c>
      <c r="N294">
        <v>3</v>
      </c>
      <c r="O294">
        <v>1</v>
      </c>
      <c r="P294" t="s">
        <v>60</v>
      </c>
      <c r="Q294">
        <v>2</v>
      </c>
      <c r="R294" s="11">
        <v>444</v>
      </c>
      <c r="S294" s="14">
        <v>84</v>
      </c>
      <c r="T294" s="13">
        <v>2789</v>
      </c>
      <c r="U294" s="13">
        <f t="shared" si="21"/>
        <v>33468</v>
      </c>
      <c r="V294" s="14">
        <v>3909</v>
      </c>
      <c r="W294">
        <v>1</v>
      </c>
      <c r="X294" s="8" t="s">
        <v>46</v>
      </c>
      <c r="Y294" s="15">
        <v>0.11</v>
      </c>
      <c r="Z294">
        <v>3</v>
      </c>
      <c r="AA294">
        <v>3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 t="str">
        <f t="shared" si="22"/>
        <v>0-3</v>
      </c>
      <c r="AI294">
        <v>2</v>
      </c>
      <c r="AJ294" t="str">
        <f t="shared" si="23"/>
        <v>0-2</v>
      </c>
      <c r="AK294">
        <v>2</v>
      </c>
    </row>
    <row r="295" spans="1:37" x14ac:dyDescent="0.25">
      <c r="A295" s="8">
        <v>294</v>
      </c>
      <c r="B295" t="s">
        <v>44</v>
      </c>
      <c r="C295" t="s">
        <v>37</v>
      </c>
      <c r="D295" s="8">
        <v>26</v>
      </c>
      <c r="E295" t="str">
        <f t="shared" si="24"/>
        <v>26-35</v>
      </c>
      <c r="F295" t="s">
        <v>38</v>
      </c>
      <c r="G295" t="s">
        <v>39</v>
      </c>
      <c r="H295" s="8" t="s">
        <v>40</v>
      </c>
      <c r="I295" s="10">
        <v>4</v>
      </c>
      <c r="J295" t="str">
        <f t="shared" si="20"/>
        <v>Near</v>
      </c>
      <c r="K295">
        <v>4</v>
      </c>
      <c r="L295" t="s">
        <v>62</v>
      </c>
      <c r="M295">
        <v>4</v>
      </c>
      <c r="N295">
        <v>2</v>
      </c>
      <c r="O295">
        <v>2</v>
      </c>
      <c r="P295" t="s">
        <v>42</v>
      </c>
      <c r="Q295">
        <v>4</v>
      </c>
      <c r="R295" s="11">
        <v>950</v>
      </c>
      <c r="S295" s="14">
        <v>48</v>
      </c>
      <c r="T295" s="13">
        <v>5828</v>
      </c>
      <c r="U295" s="13">
        <f t="shared" si="21"/>
        <v>69936</v>
      </c>
      <c r="V295" s="14">
        <v>8450</v>
      </c>
      <c r="W295">
        <v>1</v>
      </c>
      <c r="X295" s="8" t="s">
        <v>38</v>
      </c>
      <c r="Y295" s="15">
        <v>0.12</v>
      </c>
      <c r="Z295">
        <v>3</v>
      </c>
      <c r="AA295">
        <v>2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 t="str">
        <f t="shared" si="22"/>
        <v>4-7</v>
      </c>
      <c r="AI295">
        <v>7</v>
      </c>
      <c r="AJ295" t="str">
        <f t="shared" si="23"/>
        <v>6-8</v>
      </c>
      <c r="AK295">
        <v>4</v>
      </c>
    </row>
    <row r="296" spans="1:37" x14ac:dyDescent="0.25">
      <c r="A296" s="8">
        <v>295</v>
      </c>
      <c r="B296" t="s">
        <v>44</v>
      </c>
      <c r="C296" t="s">
        <v>45</v>
      </c>
      <c r="D296" s="8">
        <v>37</v>
      </c>
      <c r="E296" t="str">
        <f t="shared" si="24"/>
        <v>36-45</v>
      </c>
      <c r="F296" t="s">
        <v>46</v>
      </c>
      <c r="G296" t="s">
        <v>47</v>
      </c>
      <c r="H296" s="8" t="s">
        <v>48</v>
      </c>
      <c r="I296" s="10">
        <v>9</v>
      </c>
      <c r="J296" t="str">
        <f t="shared" si="20"/>
        <v>Moderate</v>
      </c>
      <c r="K296">
        <v>3</v>
      </c>
      <c r="L296" t="s">
        <v>53</v>
      </c>
      <c r="M296">
        <v>2</v>
      </c>
      <c r="N296">
        <v>3</v>
      </c>
      <c r="O296">
        <v>1</v>
      </c>
      <c r="P296" t="s">
        <v>49</v>
      </c>
      <c r="Q296">
        <v>4</v>
      </c>
      <c r="R296" s="11">
        <v>889</v>
      </c>
      <c r="S296" s="14">
        <v>53</v>
      </c>
      <c r="T296" s="13">
        <v>2326</v>
      </c>
      <c r="U296" s="13">
        <f t="shared" si="21"/>
        <v>27912</v>
      </c>
      <c r="V296" s="14">
        <v>11411</v>
      </c>
      <c r="W296">
        <v>1</v>
      </c>
      <c r="X296" s="8" t="s">
        <v>38</v>
      </c>
      <c r="Y296" s="15">
        <v>0.12</v>
      </c>
      <c r="Z296">
        <v>3</v>
      </c>
      <c r="AA296">
        <v>3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 t="str">
        <f t="shared" si="22"/>
        <v>0-3</v>
      </c>
      <c r="AI296">
        <v>1</v>
      </c>
      <c r="AJ296" t="str">
        <f t="shared" si="23"/>
        <v>0-2</v>
      </c>
      <c r="AK296">
        <v>2</v>
      </c>
    </row>
    <row r="297" spans="1:37" x14ac:dyDescent="0.25">
      <c r="A297" s="8">
        <v>296</v>
      </c>
      <c r="B297" t="s">
        <v>52</v>
      </c>
      <c r="C297" t="s">
        <v>45</v>
      </c>
      <c r="D297" s="8">
        <v>42</v>
      </c>
      <c r="E297" t="str">
        <f t="shared" si="24"/>
        <v>36-45</v>
      </c>
      <c r="F297" t="s">
        <v>46</v>
      </c>
      <c r="G297" t="s">
        <v>47</v>
      </c>
      <c r="H297" s="8" t="s">
        <v>40</v>
      </c>
      <c r="I297" s="10">
        <v>26</v>
      </c>
      <c r="J297" t="str">
        <f t="shared" si="20"/>
        <v>Far</v>
      </c>
      <c r="K297">
        <v>3</v>
      </c>
      <c r="L297" t="s">
        <v>62</v>
      </c>
      <c r="M297">
        <v>3</v>
      </c>
      <c r="N297">
        <v>3</v>
      </c>
      <c r="O297">
        <v>4</v>
      </c>
      <c r="P297" t="s">
        <v>42</v>
      </c>
      <c r="Q297">
        <v>2</v>
      </c>
      <c r="R297" s="11">
        <v>555</v>
      </c>
      <c r="S297" s="14">
        <v>77</v>
      </c>
      <c r="T297" s="13">
        <v>13525</v>
      </c>
      <c r="U297" s="13">
        <f t="shared" si="21"/>
        <v>162300</v>
      </c>
      <c r="V297" s="14">
        <v>14864</v>
      </c>
      <c r="W297">
        <v>5</v>
      </c>
      <c r="X297" s="8" t="s">
        <v>46</v>
      </c>
      <c r="Y297" s="15">
        <v>0.14000000000000001</v>
      </c>
      <c r="Z297">
        <v>3</v>
      </c>
      <c r="AA297">
        <v>4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 t="str">
        <f t="shared" si="22"/>
        <v>4-7</v>
      </c>
      <c r="AI297">
        <v>4</v>
      </c>
      <c r="AJ297" t="str">
        <f t="shared" si="23"/>
        <v>3-5</v>
      </c>
      <c r="AK297">
        <v>8</v>
      </c>
    </row>
    <row r="298" spans="1:37" x14ac:dyDescent="0.25">
      <c r="A298" s="8">
        <v>297</v>
      </c>
      <c r="B298" t="s">
        <v>44</v>
      </c>
      <c r="C298" t="s">
        <v>37</v>
      </c>
      <c r="D298" s="8">
        <v>18</v>
      </c>
      <c r="E298" t="str">
        <f t="shared" si="24"/>
        <v>18-25</v>
      </c>
      <c r="F298" t="s">
        <v>38</v>
      </c>
      <c r="G298" t="s">
        <v>39</v>
      </c>
      <c r="H298" s="8" t="s">
        <v>48</v>
      </c>
      <c r="I298" s="10">
        <v>3</v>
      </c>
      <c r="J298" t="str">
        <f t="shared" si="20"/>
        <v>Near</v>
      </c>
      <c r="K298">
        <v>3</v>
      </c>
      <c r="L298" t="s">
        <v>41</v>
      </c>
      <c r="M298">
        <v>3</v>
      </c>
      <c r="N298">
        <v>3</v>
      </c>
      <c r="O298">
        <v>1</v>
      </c>
      <c r="P298" t="s">
        <v>51</v>
      </c>
      <c r="Q298">
        <v>3</v>
      </c>
      <c r="R298" s="11">
        <v>230</v>
      </c>
      <c r="S298" s="14">
        <v>54</v>
      </c>
      <c r="T298" s="13">
        <v>1420</v>
      </c>
      <c r="U298" s="13">
        <f t="shared" si="21"/>
        <v>17040</v>
      </c>
      <c r="V298" s="14">
        <v>25233</v>
      </c>
      <c r="W298">
        <v>1</v>
      </c>
      <c r="X298" s="8" t="s">
        <v>46</v>
      </c>
      <c r="Y298" s="15">
        <v>0.13</v>
      </c>
      <c r="Z298">
        <v>3</v>
      </c>
      <c r="AA298">
        <v>3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 t="str">
        <f t="shared" si="22"/>
        <v>0-3</v>
      </c>
      <c r="AI298">
        <v>0</v>
      </c>
      <c r="AJ298" t="str">
        <f t="shared" si="23"/>
        <v>0-2</v>
      </c>
      <c r="AK298">
        <v>0</v>
      </c>
    </row>
    <row r="299" spans="1:37" x14ac:dyDescent="0.25">
      <c r="A299" s="8">
        <v>298</v>
      </c>
      <c r="B299" t="s">
        <v>44</v>
      </c>
      <c r="C299" t="s">
        <v>45</v>
      </c>
      <c r="D299" s="8">
        <v>35</v>
      </c>
      <c r="E299" t="str">
        <f t="shared" si="24"/>
        <v>26-35</v>
      </c>
      <c r="F299" t="s">
        <v>46</v>
      </c>
      <c r="G299" t="s">
        <v>39</v>
      </c>
      <c r="H299" s="8" t="s">
        <v>40</v>
      </c>
      <c r="I299" s="10">
        <v>16</v>
      </c>
      <c r="J299" t="str">
        <f t="shared" si="20"/>
        <v>Far</v>
      </c>
      <c r="K299">
        <v>3</v>
      </c>
      <c r="L299" t="s">
        <v>62</v>
      </c>
      <c r="M299">
        <v>3</v>
      </c>
      <c r="N299">
        <v>3</v>
      </c>
      <c r="O299">
        <v>3</v>
      </c>
      <c r="P299" t="s">
        <v>42</v>
      </c>
      <c r="Q299">
        <v>2</v>
      </c>
      <c r="R299" s="11">
        <v>1232</v>
      </c>
      <c r="S299" s="14">
        <v>96</v>
      </c>
      <c r="T299" s="13">
        <v>8020</v>
      </c>
      <c r="U299" s="13">
        <f t="shared" si="21"/>
        <v>96240</v>
      </c>
      <c r="V299" s="14">
        <v>5100</v>
      </c>
      <c r="W299">
        <v>0</v>
      </c>
      <c r="X299" s="8" t="s">
        <v>46</v>
      </c>
      <c r="Y299" s="15">
        <v>0.15</v>
      </c>
      <c r="Z299">
        <v>3</v>
      </c>
      <c r="AA299">
        <v>3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 t="str">
        <f t="shared" si="22"/>
        <v>8-11</v>
      </c>
      <c r="AI299">
        <v>6</v>
      </c>
      <c r="AJ299" t="str">
        <f t="shared" si="23"/>
        <v>6-8</v>
      </c>
      <c r="AK299">
        <v>9</v>
      </c>
    </row>
    <row r="300" spans="1:37" x14ac:dyDescent="0.25">
      <c r="A300" s="8">
        <v>299</v>
      </c>
      <c r="B300" t="s">
        <v>44</v>
      </c>
      <c r="C300" t="s">
        <v>45</v>
      </c>
      <c r="D300" s="8">
        <v>36</v>
      </c>
      <c r="E300" t="str">
        <f t="shared" si="24"/>
        <v>36-45</v>
      </c>
      <c r="F300" t="s">
        <v>46</v>
      </c>
      <c r="G300" t="s">
        <v>47</v>
      </c>
      <c r="H300" s="8" t="s">
        <v>48</v>
      </c>
      <c r="I300" s="10">
        <v>18</v>
      </c>
      <c r="J300" t="str">
        <f t="shared" si="20"/>
        <v>Far</v>
      </c>
      <c r="K300">
        <v>4</v>
      </c>
      <c r="L300" t="s">
        <v>41</v>
      </c>
      <c r="M300">
        <v>3</v>
      </c>
      <c r="N300">
        <v>4</v>
      </c>
      <c r="O300">
        <v>1</v>
      </c>
      <c r="P300" t="s">
        <v>51</v>
      </c>
      <c r="Q300">
        <v>4</v>
      </c>
      <c r="R300" s="11">
        <v>566</v>
      </c>
      <c r="S300" s="14">
        <v>81</v>
      </c>
      <c r="T300" s="13">
        <v>3688</v>
      </c>
      <c r="U300" s="13">
        <f t="shared" si="21"/>
        <v>44256</v>
      </c>
      <c r="V300" s="14">
        <v>7122</v>
      </c>
      <c r="W300">
        <v>4</v>
      </c>
      <c r="X300" s="8" t="s">
        <v>46</v>
      </c>
      <c r="Y300" s="15">
        <v>0.18</v>
      </c>
      <c r="Z300">
        <v>3</v>
      </c>
      <c r="AA300">
        <v>4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 t="str">
        <f t="shared" si="22"/>
        <v>0-3</v>
      </c>
      <c r="AI300">
        <v>0</v>
      </c>
      <c r="AJ300" t="str">
        <f t="shared" si="23"/>
        <v>0-2</v>
      </c>
      <c r="AK300">
        <v>0</v>
      </c>
    </row>
    <row r="301" spans="1:37" x14ac:dyDescent="0.25">
      <c r="A301" s="8">
        <v>300</v>
      </c>
      <c r="B301" t="s">
        <v>44</v>
      </c>
      <c r="C301" t="s">
        <v>54</v>
      </c>
      <c r="D301" s="8">
        <v>51</v>
      </c>
      <c r="E301" t="str">
        <f t="shared" si="24"/>
        <v>46-55</v>
      </c>
      <c r="F301" t="s">
        <v>46</v>
      </c>
      <c r="G301" t="s">
        <v>39</v>
      </c>
      <c r="H301" s="8" t="s">
        <v>48</v>
      </c>
      <c r="I301" s="10">
        <v>2</v>
      </c>
      <c r="J301" t="str">
        <f t="shared" si="20"/>
        <v>Near</v>
      </c>
      <c r="K301">
        <v>3</v>
      </c>
      <c r="L301" t="s">
        <v>53</v>
      </c>
      <c r="M301">
        <v>4</v>
      </c>
      <c r="N301">
        <v>1</v>
      </c>
      <c r="O301">
        <v>2</v>
      </c>
      <c r="P301" t="s">
        <v>55</v>
      </c>
      <c r="Q301">
        <v>2</v>
      </c>
      <c r="R301" s="11">
        <v>1302</v>
      </c>
      <c r="S301" s="14">
        <v>84</v>
      </c>
      <c r="T301" s="13">
        <v>5482</v>
      </c>
      <c r="U301" s="13">
        <f t="shared" si="21"/>
        <v>65784</v>
      </c>
      <c r="V301" s="14">
        <v>16321</v>
      </c>
      <c r="W301">
        <v>5</v>
      </c>
      <c r="X301" s="8" t="s">
        <v>46</v>
      </c>
      <c r="Y301" s="15">
        <v>0.18</v>
      </c>
      <c r="Z301">
        <v>3</v>
      </c>
      <c r="AA301">
        <v>4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 t="str">
        <f t="shared" si="22"/>
        <v>0-3</v>
      </c>
      <c r="AI301">
        <v>1</v>
      </c>
      <c r="AJ301" t="str">
        <f t="shared" si="23"/>
        <v>0-2</v>
      </c>
      <c r="AK301">
        <v>2</v>
      </c>
    </row>
    <row r="302" spans="1:37" x14ac:dyDescent="0.25">
      <c r="A302" s="8">
        <v>301</v>
      </c>
      <c r="B302" t="s">
        <v>44</v>
      </c>
      <c r="C302" t="s">
        <v>37</v>
      </c>
      <c r="D302" s="8">
        <v>41</v>
      </c>
      <c r="E302" t="str">
        <f t="shared" si="24"/>
        <v>36-45</v>
      </c>
      <c r="F302" t="s">
        <v>46</v>
      </c>
      <c r="G302" t="s">
        <v>39</v>
      </c>
      <c r="H302" s="8" t="s">
        <v>40</v>
      </c>
      <c r="I302" s="10">
        <v>2</v>
      </c>
      <c r="J302" t="str">
        <f t="shared" si="20"/>
        <v>Near</v>
      </c>
      <c r="K302">
        <v>4</v>
      </c>
      <c r="L302" t="s">
        <v>41</v>
      </c>
      <c r="M302">
        <v>4</v>
      </c>
      <c r="N302">
        <v>3</v>
      </c>
      <c r="O302">
        <v>4</v>
      </c>
      <c r="P302" t="s">
        <v>59</v>
      </c>
      <c r="Q302">
        <v>2</v>
      </c>
      <c r="R302" s="11">
        <v>334</v>
      </c>
      <c r="S302" s="14">
        <v>88</v>
      </c>
      <c r="T302" s="13">
        <v>16015</v>
      </c>
      <c r="U302" s="13">
        <f t="shared" si="21"/>
        <v>192180</v>
      </c>
      <c r="V302" s="14">
        <v>15896</v>
      </c>
      <c r="W302">
        <v>1</v>
      </c>
      <c r="X302" s="8" t="s">
        <v>46</v>
      </c>
      <c r="Y302" s="15">
        <v>0.19</v>
      </c>
      <c r="Z302">
        <v>3</v>
      </c>
      <c r="AA302">
        <v>2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 t="str">
        <f t="shared" si="22"/>
        <v>8-11</v>
      </c>
      <c r="AI302">
        <v>0</v>
      </c>
      <c r="AJ302" t="str">
        <f t="shared" si="23"/>
        <v>0-2</v>
      </c>
      <c r="AK302">
        <v>4</v>
      </c>
    </row>
    <row r="303" spans="1:37" x14ac:dyDescent="0.25">
      <c r="A303" s="8">
        <v>302</v>
      </c>
      <c r="B303" t="s">
        <v>52</v>
      </c>
      <c r="C303" t="s">
        <v>37</v>
      </c>
      <c r="D303" s="8">
        <v>18</v>
      </c>
      <c r="E303" t="str">
        <f t="shared" si="24"/>
        <v>18-25</v>
      </c>
      <c r="F303" t="s">
        <v>46</v>
      </c>
      <c r="G303" t="s">
        <v>39</v>
      </c>
      <c r="H303" s="8" t="s">
        <v>40</v>
      </c>
      <c r="I303" s="10">
        <v>10</v>
      </c>
      <c r="J303" t="str">
        <f t="shared" si="20"/>
        <v>Moderate</v>
      </c>
      <c r="K303">
        <v>3</v>
      </c>
      <c r="L303" t="s">
        <v>53</v>
      </c>
      <c r="M303">
        <v>4</v>
      </c>
      <c r="N303">
        <v>2</v>
      </c>
      <c r="O303">
        <v>1</v>
      </c>
      <c r="P303" t="s">
        <v>60</v>
      </c>
      <c r="Q303">
        <v>3</v>
      </c>
      <c r="R303" s="11">
        <v>812</v>
      </c>
      <c r="S303" s="14">
        <v>69</v>
      </c>
      <c r="T303" s="13">
        <v>1200</v>
      </c>
      <c r="U303" s="13">
        <f t="shared" si="21"/>
        <v>14400</v>
      </c>
      <c r="V303" s="14">
        <v>9724</v>
      </c>
      <c r="W303">
        <v>1</v>
      </c>
      <c r="X303" s="8" t="s">
        <v>46</v>
      </c>
      <c r="Y303" s="15">
        <v>0.12</v>
      </c>
      <c r="Z303">
        <v>3</v>
      </c>
      <c r="AA303">
        <v>1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 t="str">
        <f t="shared" si="22"/>
        <v>0-3</v>
      </c>
      <c r="AI303">
        <v>0</v>
      </c>
      <c r="AJ303" t="str">
        <f t="shared" si="23"/>
        <v>0-2</v>
      </c>
      <c r="AK303">
        <v>0</v>
      </c>
    </row>
    <row r="304" spans="1:37" x14ac:dyDescent="0.25">
      <c r="A304" s="8">
        <v>303</v>
      </c>
      <c r="B304" t="s">
        <v>44</v>
      </c>
      <c r="C304" t="s">
        <v>37</v>
      </c>
      <c r="D304" s="8">
        <v>28</v>
      </c>
      <c r="E304" t="str">
        <f t="shared" si="24"/>
        <v>26-35</v>
      </c>
      <c r="F304" t="s">
        <v>46</v>
      </c>
      <c r="G304" t="s">
        <v>39</v>
      </c>
      <c r="H304" s="8" t="s">
        <v>48</v>
      </c>
      <c r="I304" s="10">
        <v>16</v>
      </c>
      <c r="J304" t="str">
        <f t="shared" si="20"/>
        <v>Far</v>
      </c>
      <c r="K304">
        <v>2</v>
      </c>
      <c r="L304" t="s">
        <v>53</v>
      </c>
      <c r="M304">
        <v>2</v>
      </c>
      <c r="N304">
        <v>4</v>
      </c>
      <c r="O304">
        <v>2</v>
      </c>
      <c r="P304" t="s">
        <v>56</v>
      </c>
      <c r="Q304">
        <v>1</v>
      </c>
      <c r="R304" s="11">
        <v>1476</v>
      </c>
      <c r="S304" s="14">
        <v>68</v>
      </c>
      <c r="T304" s="13">
        <v>5661</v>
      </c>
      <c r="U304" s="13">
        <f t="shared" si="21"/>
        <v>67932</v>
      </c>
      <c r="V304" s="14">
        <v>4824</v>
      </c>
      <c r="W304">
        <v>0</v>
      </c>
      <c r="X304" s="8" t="s">
        <v>46</v>
      </c>
      <c r="Y304" s="15">
        <v>0.19</v>
      </c>
      <c r="Z304">
        <v>3</v>
      </c>
      <c r="AA304">
        <v>3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 t="str">
        <f t="shared" si="22"/>
        <v>0-3</v>
      </c>
      <c r="AI304">
        <v>0</v>
      </c>
      <c r="AJ304" t="str">
        <f t="shared" si="23"/>
        <v>0-2</v>
      </c>
      <c r="AK304">
        <v>7</v>
      </c>
    </row>
    <row r="305" spans="1:37" x14ac:dyDescent="0.25">
      <c r="A305" s="8">
        <v>304</v>
      </c>
      <c r="B305" t="s">
        <v>44</v>
      </c>
      <c r="C305" t="s">
        <v>45</v>
      </c>
      <c r="D305" s="8">
        <v>31</v>
      </c>
      <c r="E305" t="str">
        <f t="shared" si="24"/>
        <v>26-35</v>
      </c>
      <c r="F305" t="s">
        <v>46</v>
      </c>
      <c r="G305" t="s">
        <v>39</v>
      </c>
      <c r="H305" s="8" t="s">
        <v>40</v>
      </c>
      <c r="I305" s="10">
        <v>7</v>
      </c>
      <c r="J305" t="str">
        <f t="shared" si="20"/>
        <v>Moderate</v>
      </c>
      <c r="K305">
        <v>3</v>
      </c>
      <c r="L305" t="s">
        <v>63</v>
      </c>
      <c r="M305">
        <v>2</v>
      </c>
      <c r="N305">
        <v>4</v>
      </c>
      <c r="O305">
        <v>2</v>
      </c>
      <c r="P305" t="s">
        <v>42</v>
      </c>
      <c r="Q305">
        <v>4</v>
      </c>
      <c r="R305" s="11">
        <v>218</v>
      </c>
      <c r="S305" s="14">
        <v>100</v>
      </c>
      <c r="T305" s="13">
        <v>6929</v>
      </c>
      <c r="U305" s="13">
        <f t="shared" si="21"/>
        <v>83148</v>
      </c>
      <c r="V305" s="14">
        <v>12241</v>
      </c>
      <c r="W305">
        <v>4</v>
      </c>
      <c r="X305" s="8" t="s">
        <v>46</v>
      </c>
      <c r="Y305" s="15">
        <v>0.11</v>
      </c>
      <c r="Z305">
        <v>3</v>
      </c>
      <c r="AA305">
        <v>2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 t="str">
        <f t="shared" si="22"/>
        <v>4-7</v>
      </c>
      <c r="AI305">
        <v>7</v>
      </c>
      <c r="AJ305" t="str">
        <f t="shared" si="23"/>
        <v>6-8</v>
      </c>
      <c r="AK305">
        <v>7</v>
      </c>
    </row>
    <row r="306" spans="1:37" x14ac:dyDescent="0.25">
      <c r="A306" s="8">
        <v>305</v>
      </c>
      <c r="B306" t="s">
        <v>44</v>
      </c>
      <c r="C306" t="s">
        <v>54</v>
      </c>
      <c r="D306" s="8">
        <v>39</v>
      </c>
      <c r="E306" t="str">
        <f t="shared" si="24"/>
        <v>36-45</v>
      </c>
      <c r="F306" t="s">
        <v>46</v>
      </c>
      <c r="G306" t="s">
        <v>39</v>
      </c>
      <c r="H306" s="8" t="s">
        <v>48</v>
      </c>
      <c r="I306" s="10">
        <v>1</v>
      </c>
      <c r="J306" t="str">
        <f t="shared" si="20"/>
        <v>Near</v>
      </c>
      <c r="K306">
        <v>3</v>
      </c>
      <c r="L306" t="s">
        <v>53</v>
      </c>
      <c r="M306">
        <v>3</v>
      </c>
      <c r="N306">
        <v>4</v>
      </c>
      <c r="O306">
        <v>3</v>
      </c>
      <c r="P306" t="s">
        <v>56</v>
      </c>
      <c r="Q306">
        <v>4</v>
      </c>
      <c r="R306" s="11">
        <v>1132</v>
      </c>
      <c r="S306" s="14">
        <v>48</v>
      </c>
      <c r="T306" s="13">
        <v>9613</v>
      </c>
      <c r="U306" s="13">
        <f t="shared" si="21"/>
        <v>115356</v>
      </c>
      <c r="V306" s="14">
        <v>10942</v>
      </c>
      <c r="W306">
        <v>0</v>
      </c>
      <c r="X306" s="8" t="s">
        <v>46</v>
      </c>
      <c r="Y306" s="15">
        <v>0.17</v>
      </c>
      <c r="Z306">
        <v>3</v>
      </c>
      <c r="AA306">
        <v>1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 t="str">
        <f t="shared" si="22"/>
        <v>8-11</v>
      </c>
      <c r="AI306">
        <v>3</v>
      </c>
      <c r="AJ306" t="str">
        <f t="shared" si="23"/>
        <v>3-5</v>
      </c>
      <c r="AK306">
        <v>7</v>
      </c>
    </row>
    <row r="307" spans="1:37" x14ac:dyDescent="0.25">
      <c r="A307" s="8">
        <v>306</v>
      </c>
      <c r="B307" t="s">
        <v>52</v>
      </c>
      <c r="C307" t="s">
        <v>45</v>
      </c>
      <c r="D307" s="8">
        <v>36</v>
      </c>
      <c r="E307" t="str">
        <f t="shared" si="24"/>
        <v>36-45</v>
      </c>
      <c r="F307" t="s">
        <v>46</v>
      </c>
      <c r="G307" t="s">
        <v>58</v>
      </c>
      <c r="H307" s="8" t="s">
        <v>48</v>
      </c>
      <c r="I307" s="10">
        <v>24</v>
      </c>
      <c r="J307" t="str">
        <f t="shared" si="20"/>
        <v>Far</v>
      </c>
      <c r="K307">
        <v>4</v>
      </c>
      <c r="L307" t="s">
        <v>41</v>
      </c>
      <c r="M307">
        <v>2</v>
      </c>
      <c r="N307">
        <v>3</v>
      </c>
      <c r="O307">
        <v>2</v>
      </c>
      <c r="P307" t="s">
        <v>51</v>
      </c>
      <c r="Q307">
        <v>2</v>
      </c>
      <c r="R307" s="11">
        <v>1105</v>
      </c>
      <c r="S307" s="14">
        <v>47</v>
      </c>
      <c r="T307" s="13">
        <v>5674</v>
      </c>
      <c r="U307" s="13">
        <f t="shared" si="21"/>
        <v>68088</v>
      </c>
      <c r="V307" s="14">
        <v>6927</v>
      </c>
      <c r="W307">
        <v>7</v>
      </c>
      <c r="X307" s="8" t="s">
        <v>46</v>
      </c>
      <c r="Y307" s="15">
        <v>0.15</v>
      </c>
      <c r="Z307">
        <v>3</v>
      </c>
      <c r="AA307">
        <v>3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 t="str">
        <f t="shared" si="22"/>
        <v>8-11</v>
      </c>
      <c r="AI307">
        <v>0</v>
      </c>
      <c r="AJ307" t="str">
        <f t="shared" si="23"/>
        <v>0-2</v>
      </c>
      <c r="AK307">
        <v>8</v>
      </c>
    </row>
    <row r="308" spans="1:37" x14ac:dyDescent="0.25">
      <c r="A308" s="8">
        <v>307</v>
      </c>
      <c r="B308" t="s">
        <v>44</v>
      </c>
      <c r="C308" t="s">
        <v>45</v>
      </c>
      <c r="D308" s="8">
        <v>32</v>
      </c>
      <c r="E308" t="str">
        <f t="shared" si="24"/>
        <v>26-35</v>
      </c>
      <c r="F308" t="s">
        <v>46</v>
      </c>
      <c r="G308" t="s">
        <v>39</v>
      </c>
      <c r="H308" s="8" t="s">
        <v>40</v>
      </c>
      <c r="I308" s="10">
        <v>7</v>
      </c>
      <c r="J308" t="str">
        <f t="shared" si="20"/>
        <v>Moderate</v>
      </c>
      <c r="K308">
        <v>3</v>
      </c>
      <c r="L308" t="s">
        <v>41</v>
      </c>
      <c r="M308">
        <v>4</v>
      </c>
      <c r="N308">
        <v>2</v>
      </c>
      <c r="O308">
        <v>2</v>
      </c>
      <c r="P308" t="s">
        <v>42</v>
      </c>
      <c r="Q308">
        <v>3</v>
      </c>
      <c r="R308" s="11">
        <v>906</v>
      </c>
      <c r="S308" s="14">
        <v>91</v>
      </c>
      <c r="T308" s="13">
        <v>5484</v>
      </c>
      <c r="U308" s="13">
        <f t="shared" si="21"/>
        <v>65808</v>
      </c>
      <c r="V308" s="14">
        <v>16985</v>
      </c>
      <c r="W308">
        <v>1</v>
      </c>
      <c r="X308" s="8" t="s">
        <v>46</v>
      </c>
      <c r="Y308" s="15">
        <v>0.14000000000000001</v>
      </c>
      <c r="Z308">
        <v>3</v>
      </c>
      <c r="AA308">
        <v>3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 t="str">
        <f t="shared" si="22"/>
        <v>8-11</v>
      </c>
      <c r="AI308">
        <v>4</v>
      </c>
      <c r="AJ308" t="str">
        <f t="shared" si="23"/>
        <v>3-5</v>
      </c>
      <c r="AK308">
        <v>8</v>
      </c>
    </row>
    <row r="309" spans="1:37" x14ac:dyDescent="0.25">
      <c r="A309" s="8">
        <v>308</v>
      </c>
      <c r="B309" t="s">
        <v>52</v>
      </c>
      <c r="C309" t="s">
        <v>45</v>
      </c>
      <c r="D309" s="8">
        <v>38</v>
      </c>
      <c r="E309" t="str">
        <f t="shared" si="24"/>
        <v>36-45</v>
      </c>
      <c r="F309" t="s">
        <v>46</v>
      </c>
      <c r="G309" t="s">
        <v>39</v>
      </c>
      <c r="H309" s="8" t="s">
        <v>48</v>
      </c>
      <c r="I309" s="10">
        <v>25</v>
      </c>
      <c r="J309" t="str">
        <f t="shared" si="20"/>
        <v>Far</v>
      </c>
      <c r="K309">
        <v>2</v>
      </c>
      <c r="L309" t="s">
        <v>41</v>
      </c>
      <c r="M309">
        <v>1</v>
      </c>
      <c r="N309">
        <v>2</v>
      </c>
      <c r="O309">
        <v>3</v>
      </c>
      <c r="P309" t="s">
        <v>61</v>
      </c>
      <c r="Q309">
        <v>2</v>
      </c>
      <c r="R309" s="11">
        <v>849</v>
      </c>
      <c r="S309" s="14">
        <v>81</v>
      </c>
      <c r="T309" s="13">
        <v>12061</v>
      </c>
      <c r="U309" s="13">
        <f t="shared" si="21"/>
        <v>144732</v>
      </c>
      <c r="V309" s="14">
        <v>26707</v>
      </c>
      <c r="W309">
        <v>3</v>
      </c>
      <c r="X309" s="8" t="s">
        <v>46</v>
      </c>
      <c r="Y309" s="15">
        <v>0.17</v>
      </c>
      <c r="Z309">
        <v>3</v>
      </c>
      <c r="AA309">
        <v>3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 t="str">
        <f t="shared" si="22"/>
        <v>8-11</v>
      </c>
      <c r="AI309">
        <v>0</v>
      </c>
      <c r="AJ309" t="str">
        <f t="shared" si="23"/>
        <v>0-2</v>
      </c>
      <c r="AK309">
        <v>1</v>
      </c>
    </row>
    <row r="310" spans="1:37" x14ac:dyDescent="0.25">
      <c r="A310" s="8">
        <v>309</v>
      </c>
      <c r="B310" t="s">
        <v>44</v>
      </c>
      <c r="C310" t="s">
        <v>54</v>
      </c>
      <c r="D310" s="8">
        <v>58</v>
      </c>
      <c r="E310" t="str">
        <f t="shared" si="24"/>
        <v>55+</v>
      </c>
      <c r="F310" t="s">
        <v>46</v>
      </c>
      <c r="G310" t="s">
        <v>58</v>
      </c>
      <c r="H310" s="8" t="s">
        <v>48</v>
      </c>
      <c r="I310" s="10">
        <v>1</v>
      </c>
      <c r="J310" t="str">
        <f t="shared" si="20"/>
        <v>Near</v>
      </c>
      <c r="K310">
        <v>4</v>
      </c>
      <c r="L310" t="s">
        <v>41</v>
      </c>
      <c r="M310">
        <v>4</v>
      </c>
      <c r="N310">
        <v>1</v>
      </c>
      <c r="O310">
        <v>2</v>
      </c>
      <c r="P310" t="s">
        <v>56</v>
      </c>
      <c r="Q310">
        <v>3</v>
      </c>
      <c r="R310" s="11">
        <v>390</v>
      </c>
      <c r="S310" s="14">
        <v>32</v>
      </c>
      <c r="T310" s="13">
        <v>5660</v>
      </c>
      <c r="U310" s="13">
        <f t="shared" si="21"/>
        <v>67920</v>
      </c>
      <c r="V310" s="14">
        <v>17056</v>
      </c>
      <c r="W310">
        <v>2</v>
      </c>
      <c r="X310" s="8" t="s">
        <v>38</v>
      </c>
      <c r="Y310" s="15">
        <v>0.13</v>
      </c>
      <c r="Z310">
        <v>3</v>
      </c>
      <c r="AA310">
        <v>4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 t="str">
        <f t="shared" si="22"/>
        <v>0-3</v>
      </c>
      <c r="AI310">
        <v>1</v>
      </c>
      <c r="AJ310" t="str">
        <f t="shared" si="23"/>
        <v>0-2</v>
      </c>
      <c r="AK310">
        <v>2</v>
      </c>
    </row>
    <row r="311" spans="1:37" x14ac:dyDescent="0.25">
      <c r="A311" s="8">
        <v>310</v>
      </c>
      <c r="B311" t="s">
        <v>44</v>
      </c>
      <c r="C311" t="s">
        <v>45</v>
      </c>
      <c r="D311" s="8">
        <v>31</v>
      </c>
      <c r="E311" t="str">
        <f t="shared" si="24"/>
        <v>26-35</v>
      </c>
      <c r="F311" t="s">
        <v>46</v>
      </c>
      <c r="G311" t="s">
        <v>39</v>
      </c>
      <c r="H311" s="8" t="s">
        <v>48</v>
      </c>
      <c r="I311" s="10">
        <v>5</v>
      </c>
      <c r="J311" t="str">
        <f t="shared" si="20"/>
        <v>Near</v>
      </c>
      <c r="K311">
        <v>4</v>
      </c>
      <c r="L311" t="s">
        <v>63</v>
      </c>
      <c r="M311">
        <v>3</v>
      </c>
      <c r="N311">
        <v>3</v>
      </c>
      <c r="O311">
        <v>1</v>
      </c>
      <c r="P311" t="s">
        <v>49</v>
      </c>
      <c r="Q311">
        <v>4</v>
      </c>
      <c r="R311" s="11">
        <v>691</v>
      </c>
      <c r="S311" s="14">
        <v>86</v>
      </c>
      <c r="T311" s="13">
        <v>4821</v>
      </c>
      <c r="U311" s="13">
        <f t="shared" si="21"/>
        <v>57852</v>
      </c>
      <c r="V311" s="14">
        <v>10077</v>
      </c>
      <c r="W311">
        <v>0</v>
      </c>
      <c r="X311" s="8" t="s">
        <v>38</v>
      </c>
      <c r="Y311" s="15">
        <v>0.12</v>
      </c>
      <c r="Z311">
        <v>3</v>
      </c>
      <c r="AA311">
        <v>3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 t="str">
        <f t="shared" si="22"/>
        <v>0-3</v>
      </c>
      <c r="AI311">
        <v>0</v>
      </c>
      <c r="AJ311" t="str">
        <f t="shared" si="23"/>
        <v>0-2</v>
      </c>
      <c r="AK311">
        <v>3</v>
      </c>
    </row>
    <row r="312" spans="1:37" x14ac:dyDescent="0.25">
      <c r="A312" s="8">
        <v>311</v>
      </c>
      <c r="B312" t="s">
        <v>44</v>
      </c>
      <c r="C312" t="s">
        <v>45</v>
      </c>
      <c r="D312" s="8">
        <v>31</v>
      </c>
      <c r="E312" t="str">
        <f t="shared" si="24"/>
        <v>26-35</v>
      </c>
      <c r="F312" t="s">
        <v>46</v>
      </c>
      <c r="G312" t="s">
        <v>39</v>
      </c>
      <c r="H312" s="8" t="s">
        <v>64</v>
      </c>
      <c r="I312" s="10">
        <v>2</v>
      </c>
      <c r="J312" t="str">
        <f t="shared" si="20"/>
        <v>Near</v>
      </c>
      <c r="K312">
        <v>3</v>
      </c>
      <c r="L312" t="s">
        <v>64</v>
      </c>
      <c r="M312">
        <v>1</v>
      </c>
      <c r="N312">
        <v>2</v>
      </c>
      <c r="O312">
        <v>2</v>
      </c>
      <c r="P312" t="s">
        <v>64</v>
      </c>
      <c r="Q312">
        <v>1</v>
      </c>
      <c r="R312" s="11">
        <v>106</v>
      </c>
      <c r="S312" s="14">
        <v>62</v>
      </c>
      <c r="T312" s="13">
        <v>6410</v>
      </c>
      <c r="U312" s="13">
        <f t="shared" si="21"/>
        <v>76920</v>
      </c>
      <c r="V312" s="14">
        <v>17822</v>
      </c>
      <c r="W312">
        <v>3</v>
      </c>
      <c r="X312" s="8" t="s">
        <v>46</v>
      </c>
      <c r="Y312" s="15">
        <v>0.12</v>
      </c>
      <c r="Z312">
        <v>3</v>
      </c>
      <c r="AA312">
        <v>4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 t="str">
        <f t="shared" si="22"/>
        <v>0-3</v>
      </c>
      <c r="AI312">
        <v>1</v>
      </c>
      <c r="AJ312" t="str">
        <f t="shared" si="23"/>
        <v>0-2</v>
      </c>
      <c r="AK312">
        <v>0</v>
      </c>
    </row>
    <row r="313" spans="1:37" x14ac:dyDescent="0.25">
      <c r="A313" s="8">
        <v>312</v>
      </c>
      <c r="B313" t="s">
        <v>44</v>
      </c>
      <c r="C313" t="s">
        <v>54</v>
      </c>
      <c r="D313" s="8">
        <v>45</v>
      </c>
      <c r="E313" t="str">
        <f t="shared" si="24"/>
        <v>36-45</v>
      </c>
      <c r="F313" t="s">
        <v>46</v>
      </c>
      <c r="G313" t="s">
        <v>47</v>
      </c>
      <c r="H313" s="8" t="s">
        <v>48</v>
      </c>
      <c r="I313" s="10">
        <v>7</v>
      </c>
      <c r="J313" t="str">
        <f t="shared" si="20"/>
        <v>Moderate</v>
      </c>
      <c r="K313">
        <v>3</v>
      </c>
      <c r="L313" t="s">
        <v>41</v>
      </c>
      <c r="M313">
        <v>1</v>
      </c>
      <c r="N313">
        <v>3</v>
      </c>
      <c r="O313">
        <v>3</v>
      </c>
      <c r="P313" t="s">
        <v>51</v>
      </c>
      <c r="Q313">
        <v>1</v>
      </c>
      <c r="R313" s="11">
        <v>1249</v>
      </c>
      <c r="S313" s="14">
        <v>97</v>
      </c>
      <c r="T313" s="13">
        <v>5210</v>
      </c>
      <c r="U313" s="13">
        <f t="shared" si="21"/>
        <v>62520</v>
      </c>
      <c r="V313" s="14">
        <v>20308</v>
      </c>
      <c r="W313">
        <v>1</v>
      </c>
      <c r="X313" s="8" t="s">
        <v>46</v>
      </c>
      <c r="Y313" s="15">
        <v>0.18</v>
      </c>
      <c r="Z313">
        <v>3</v>
      </c>
      <c r="AA313">
        <v>1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 t="str">
        <f t="shared" si="22"/>
        <v>8-11</v>
      </c>
      <c r="AI313">
        <v>9</v>
      </c>
      <c r="AJ313" t="str">
        <f t="shared" si="23"/>
        <v>9-11</v>
      </c>
      <c r="AK313">
        <v>11</v>
      </c>
    </row>
    <row r="314" spans="1:37" x14ac:dyDescent="0.25">
      <c r="A314" s="8">
        <v>313</v>
      </c>
      <c r="B314" t="s">
        <v>44</v>
      </c>
      <c r="C314" t="s">
        <v>54</v>
      </c>
      <c r="D314" s="8">
        <v>31</v>
      </c>
      <c r="E314" t="str">
        <f t="shared" si="24"/>
        <v>26-35</v>
      </c>
      <c r="F314" t="s">
        <v>46</v>
      </c>
      <c r="G314" t="s">
        <v>39</v>
      </c>
      <c r="H314" s="8" t="s">
        <v>48</v>
      </c>
      <c r="I314" s="10">
        <v>2</v>
      </c>
      <c r="J314" t="str">
        <f t="shared" si="20"/>
        <v>Near</v>
      </c>
      <c r="K314">
        <v>4</v>
      </c>
      <c r="L314" t="s">
        <v>41</v>
      </c>
      <c r="M314">
        <v>3</v>
      </c>
      <c r="N314">
        <v>3</v>
      </c>
      <c r="O314">
        <v>1</v>
      </c>
      <c r="P314" t="s">
        <v>49</v>
      </c>
      <c r="Q314">
        <v>4</v>
      </c>
      <c r="R314" s="11">
        <v>192</v>
      </c>
      <c r="S314" s="14">
        <v>32</v>
      </c>
      <c r="T314" s="13">
        <v>2695</v>
      </c>
      <c r="U314" s="13">
        <f t="shared" si="21"/>
        <v>32340</v>
      </c>
      <c r="V314" s="14">
        <v>7747</v>
      </c>
      <c r="W314">
        <v>0</v>
      </c>
      <c r="X314" s="8" t="s">
        <v>38</v>
      </c>
      <c r="Y314" s="15">
        <v>0.18</v>
      </c>
      <c r="Z314">
        <v>3</v>
      </c>
      <c r="AA314">
        <v>2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 t="str">
        <f t="shared" si="22"/>
        <v>0-3</v>
      </c>
      <c r="AI314">
        <v>2</v>
      </c>
      <c r="AJ314" t="str">
        <f t="shared" si="23"/>
        <v>0-2</v>
      </c>
      <c r="AK314">
        <v>2</v>
      </c>
    </row>
    <row r="315" spans="1:37" x14ac:dyDescent="0.25">
      <c r="A315" s="8">
        <v>314</v>
      </c>
      <c r="B315" t="s">
        <v>52</v>
      </c>
      <c r="C315" t="s">
        <v>45</v>
      </c>
      <c r="D315" s="8">
        <v>33</v>
      </c>
      <c r="E315" t="str">
        <f t="shared" si="24"/>
        <v>26-35</v>
      </c>
      <c r="F315" t="s">
        <v>46</v>
      </c>
      <c r="G315" t="s">
        <v>47</v>
      </c>
      <c r="H315" s="8" t="s">
        <v>48</v>
      </c>
      <c r="I315" s="10">
        <v>5</v>
      </c>
      <c r="J315" t="str">
        <f t="shared" si="20"/>
        <v>Near</v>
      </c>
      <c r="K315">
        <v>4</v>
      </c>
      <c r="L315" t="s">
        <v>41</v>
      </c>
      <c r="M315">
        <v>4</v>
      </c>
      <c r="N315">
        <v>3</v>
      </c>
      <c r="O315">
        <v>3</v>
      </c>
      <c r="P315" t="s">
        <v>59</v>
      </c>
      <c r="Q315">
        <v>2</v>
      </c>
      <c r="R315" s="11">
        <v>553</v>
      </c>
      <c r="S315" s="14">
        <v>74</v>
      </c>
      <c r="T315" s="13">
        <v>11878</v>
      </c>
      <c r="U315" s="13">
        <f t="shared" si="21"/>
        <v>142536</v>
      </c>
      <c r="V315" s="14">
        <v>23364</v>
      </c>
      <c r="W315">
        <v>6</v>
      </c>
      <c r="X315" s="8" t="s">
        <v>46</v>
      </c>
      <c r="Y315" s="15">
        <v>0.11</v>
      </c>
      <c r="Z315">
        <v>3</v>
      </c>
      <c r="AA315">
        <v>2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 t="str">
        <f t="shared" si="22"/>
        <v>4-7</v>
      </c>
      <c r="AI315">
        <v>8</v>
      </c>
      <c r="AJ315" t="str">
        <f t="shared" si="23"/>
        <v>6-8</v>
      </c>
      <c r="AK315">
        <v>8</v>
      </c>
    </row>
    <row r="316" spans="1:37" x14ac:dyDescent="0.25">
      <c r="A316" s="8">
        <v>315</v>
      </c>
      <c r="B316" t="s">
        <v>44</v>
      </c>
      <c r="C316" t="s">
        <v>45</v>
      </c>
      <c r="D316" s="8">
        <v>39</v>
      </c>
      <c r="E316" t="str">
        <f t="shared" si="24"/>
        <v>36-45</v>
      </c>
      <c r="F316" t="s">
        <v>46</v>
      </c>
      <c r="G316" t="s">
        <v>39</v>
      </c>
      <c r="H316" s="8" t="s">
        <v>48</v>
      </c>
      <c r="I316" s="10">
        <v>10</v>
      </c>
      <c r="J316" t="str">
        <f t="shared" si="20"/>
        <v>Moderate</v>
      </c>
      <c r="K316">
        <v>1</v>
      </c>
      <c r="L316" t="s">
        <v>53</v>
      </c>
      <c r="M316">
        <v>3</v>
      </c>
      <c r="N316">
        <v>3</v>
      </c>
      <c r="O316">
        <v>4</v>
      </c>
      <c r="P316" t="s">
        <v>59</v>
      </c>
      <c r="Q316">
        <v>1</v>
      </c>
      <c r="R316" s="11">
        <v>117</v>
      </c>
      <c r="S316" s="14">
        <v>99</v>
      </c>
      <c r="T316" s="13">
        <v>17068</v>
      </c>
      <c r="U316" s="13">
        <f t="shared" si="21"/>
        <v>204816</v>
      </c>
      <c r="V316" s="14">
        <v>5355</v>
      </c>
      <c r="W316">
        <v>1</v>
      </c>
      <c r="X316" s="8" t="s">
        <v>38</v>
      </c>
      <c r="Y316" s="15">
        <v>0.14000000000000001</v>
      </c>
      <c r="Z316">
        <v>3</v>
      </c>
      <c r="AA316">
        <v>4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 t="str">
        <f t="shared" si="22"/>
        <v>8-11</v>
      </c>
      <c r="AI316">
        <v>11</v>
      </c>
      <c r="AJ316" t="str">
        <f t="shared" si="23"/>
        <v>9-11</v>
      </c>
      <c r="AK316">
        <v>10</v>
      </c>
    </row>
    <row r="317" spans="1:37" x14ac:dyDescent="0.25">
      <c r="A317" s="8">
        <v>316</v>
      </c>
      <c r="B317" t="s">
        <v>52</v>
      </c>
      <c r="C317" t="s">
        <v>37</v>
      </c>
      <c r="D317" s="8">
        <v>43</v>
      </c>
      <c r="E317" t="str">
        <f t="shared" si="24"/>
        <v>36-45</v>
      </c>
      <c r="F317" t="s">
        <v>46</v>
      </c>
      <c r="G317" t="s">
        <v>47</v>
      </c>
      <c r="H317" s="8" t="s">
        <v>48</v>
      </c>
      <c r="I317" s="10">
        <v>10</v>
      </c>
      <c r="J317" t="str">
        <f t="shared" si="20"/>
        <v>Moderate</v>
      </c>
      <c r="K317">
        <v>4</v>
      </c>
      <c r="L317" t="s">
        <v>41</v>
      </c>
      <c r="M317">
        <v>3</v>
      </c>
      <c r="N317">
        <v>3</v>
      </c>
      <c r="O317">
        <v>1</v>
      </c>
      <c r="P317" t="s">
        <v>51</v>
      </c>
      <c r="Q317">
        <v>4</v>
      </c>
      <c r="R317" s="11">
        <v>185</v>
      </c>
      <c r="S317" s="14">
        <v>33</v>
      </c>
      <c r="T317" s="13">
        <v>2455</v>
      </c>
      <c r="U317" s="13">
        <f t="shared" si="21"/>
        <v>29460</v>
      </c>
      <c r="V317" s="14">
        <v>10675</v>
      </c>
      <c r="W317">
        <v>0</v>
      </c>
      <c r="X317" s="8" t="s">
        <v>46</v>
      </c>
      <c r="Y317" s="15">
        <v>0.19</v>
      </c>
      <c r="Z317">
        <v>3</v>
      </c>
      <c r="AA317">
        <v>1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 t="str">
        <f t="shared" si="22"/>
        <v>4-7</v>
      </c>
      <c r="AI317">
        <v>1</v>
      </c>
      <c r="AJ317" t="str">
        <f t="shared" si="23"/>
        <v>0-2</v>
      </c>
      <c r="AK317">
        <v>7</v>
      </c>
    </row>
    <row r="318" spans="1:37" x14ac:dyDescent="0.25">
      <c r="A318" s="8">
        <v>317</v>
      </c>
      <c r="B318" t="s">
        <v>52</v>
      </c>
      <c r="C318" t="s">
        <v>37</v>
      </c>
      <c r="D318" s="8">
        <v>49</v>
      </c>
      <c r="E318" t="str">
        <f t="shared" si="24"/>
        <v>46-55</v>
      </c>
      <c r="F318" t="s">
        <v>46</v>
      </c>
      <c r="G318" t="s">
        <v>39</v>
      </c>
      <c r="H318" s="8" t="s">
        <v>48</v>
      </c>
      <c r="I318" s="10">
        <v>1</v>
      </c>
      <c r="J318" t="str">
        <f t="shared" si="20"/>
        <v>Near</v>
      </c>
      <c r="K318">
        <v>2</v>
      </c>
      <c r="L318" t="s">
        <v>63</v>
      </c>
      <c r="M318">
        <v>3</v>
      </c>
      <c r="N318">
        <v>2</v>
      </c>
      <c r="O318">
        <v>4</v>
      </c>
      <c r="P318" t="s">
        <v>56</v>
      </c>
      <c r="Q318">
        <v>3</v>
      </c>
      <c r="R318" s="11">
        <v>1091</v>
      </c>
      <c r="S318" s="14">
        <v>90</v>
      </c>
      <c r="T318" s="13">
        <v>13964</v>
      </c>
      <c r="U318" s="13">
        <f t="shared" si="21"/>
        <v>167568</v>
      </c>
      <c r="V318" s="14">
        <v>17810</v>
      </c>
      <c r="W318">
        <v>7</v>
      </c>
      <c r="X318" s="8" t="s">
        <v>38</v>
      </c>
      <c r="Y318" s="15">
        <v>0.12</v>
      </c>
      <c r="Z318">
        <v>3</v>
      </c>
      <c r="AA318">
        <v>4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 t="str">
        <f t="shared" si="22"/>
        <v>0-3</v>
      </c>
      <c r="AI318">
        <v>0</v>
      </c>
      <c r="AJ318" t="str">
        <f t="shared" si="23"/>
        <v>0-2</v>
      </c>
      <c r="AK318">
        <v>7</v>
      </c>
    </row>
    <row r="319" spans="1:37" x14ac:dyDescent="0.25">
      <c r="A319" s="8">
        <v>318</v>
      </c>
      <c r="B319" t="s">
        <v>44</v>
      </c>
      <c r="C319" t="s">
        <v>45</v>
      </c>
      <c r="D319" s="8">
        <v>52</v>
      </c>
      <c r="E319" t="str">
        <f t="shared" si="24"/>
        <v>46-55</v>
      </c>
      <c r="F319" t="s">
        <v>38</v>
      </c>
      <c r="G319" t="s">
        <v>39</v>
      </c>
      <c r="H319" s="8" t="s">
        <v>48</v>
      </c>
      <c r="I319" s="10">
        <v>8</v>
      </c>
      <c r="J319" t="str">
        <f t="shared" si="20"/>
        <v>Moderate</v>
      </c>
      <c r="K319">
        <v>4</v>
      </c>
      <c r="L319" t="s">
        <v>53</v>
      </c>
      <c r="M319">
        <v>3</v>
      </c>
      <c r="N319">
        <v>2</v>
      </c>
      <c r="O319">
        <v>2</v>
      </c>
      <c r="P319" t="s">
        <v>49</v>
      </c>
      <c r="Q319">
        <v>2</v>
      </c>
      <c r="R319" s="11">
        <v>723</v>
      </c>
      <c r="S319" s="14">
        <v>85</v>
      </c>
      <c r="T319" s="13">
        <v>4941</v>
      </c>
      <c r="U319" s="13">
        <f t="shared" si="21"/>
        <v>59292</v>
      </c>
      <c r="V319" s="14">
        <v>17747</v>
      </c>
      <c r="W319">
        <v>2</v>
      </c>
      <c r="X319" s="8" t="s">
        <v>46</v>
      </c>
      <c r="Y319" s="15">
        <v>0.15</v>
      </c>
      <c r="Z319">
        <v>3</v>
      </c>
      <c r="AA319">
        <v>1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 t="str">
        <f t="shared" si="22"/>
        <v>0-3</v>
      </c>
      <c r="AI319">
        <v>7</v>
      </c>
      <c r="AJ319" t="str">
        <f t="shared" si="23"/>
        <v>6-8</v>
      </c>
      <c r="AK319">
        <v>7</v>
      </c>
    </row>
    <row r="320" spans="1:37" x14ac:dyDescent="0.25">
      <c r="A320" s="8">
        <v>319</v>
      </c>
      <c r="B320" t="s">
        <v>52</v>
      </c>
      <c r="C320" t="s">
        <v>37</v>
      </c>
      <c r="D320" s="8">
        <v>27</v>
      </c>
      <c r="E320" t="str">
        <f t="shared" si="24"/>
        <v>26-35</v>
      </c>
      <c r="F320" t="s">
        <v>46</v>
      </c>
      <c r="G320" t="s">
        <v>39</v>
      </c>
      <c r="H320" s="8" t="s">
        <v>48</v>
      </c>
      <c r="I320" s="10">
        <v>5</v>
      </c>
      <c r="J320" t="str">
        <f t="shared" si="20"/>
        <v>Near</v>
      </c>
      <c r="K320">
        <v>3</v>
      </c>
      <c r="L320" t="s">
        <v>41</v>
      </c>
      <c r="M320">
        <v>3</v>
      </c>
      <c r="N320">
        <v>3</v>
      </c>
      <c r="O320">
        <v>1</v>
      </c>
      <c r="P320" t="s">
        <v>49</v>
      </c>
      <c r="Q320">
        <v>2</v>
      </c>
      <c r="R320" s="11">
        <v>1220</v>
      </c>
      <c r="S320" s="14">
        <v>85</v>
      </c>
      <c r="T320" s="13">
        <v>2478</v>
      </c>
      <c r="U320" s="13">
        <f t="shared" si="21"/>
        <v>29736</v>
      </c>
      <c r="V320" s="14">
        <v>20938</v>
      </c>
      <c r="W320">
        <v>1</v>
      </c>
      <c r="X320" s="8" t="s">
        <v>38</v>
      </c>
      <c r="Y320" s="15">
        <v>0.12</v>
      </c>
      <c r="Z320">
        <v>3</v>
      </c>
      <c r="AA320">
        <v>2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 t="str">
        <f t="shared" si="22"/>
        <v>0-3</v>
      </c>
      <c r="AI320">
        <v>1</v>
      </c>
      <c r="AJ320" t="str">
        <f t="shared" si="23"/>
        <v>0-2</v>
      </c>
      <c r="AK320">
        <v>2</v>
      </c>
    </row>
    <row r="321" spans="1:37" x14ac:dyDescent="0.25">
      <c r="A321" s="8">
        <v>320</v>
      </c>
      <c r="B321" t="s">
        <v>52</v>
      </c>
      <c r="C321" t="s">
        <v>45</v>
      </c>
      <c r="D321" s="8">
        <v>32</v>
      </c>
      <c r="E321" t="str">
        <f t="shared" si="24"/>
        <v>26-35</v>
      </c>
      <c r="F321" t="s">
        <v>46</v>
      </c>
      <c r="G321" t="s">
        <v>39</v>
      </c>
      <c r="H321" s="8" t="s">
        <v>40</v>
      </c>
      <c r="I321" s="10">
        <v>8</v>
      </c>
      <c r="J321" t="str">
        <f t="shared" si="20"/>
        <v>Moderate</v>
      </c>
      <c r="K321">
        <v>2</v>
      </c>
      <c r="L321" t="s">
        <v>63</v>
      </c>
      <c r="M321">
        <v>3</v>
      </c>
      <c r="N321">
        <v>2</v>
      </c>
      <c r="O321">
        <v>2</v>
      </c>
      <c r="P321" t="s">
        <v>42</v>
      </c>
      <c r="Q321">
        <v>2</v>
      </c>
      <c r="R321" s="11">
        <v>588</v>
      </c>
      <c r="S321" s="14">
        <v>65</v>
      </c>
      <c r="T321" s="13">
        <v>5228</v>
      </c>
      <c r="U321" s="13">
        <f t="shared" si="21"/>
        <v>62736</v>
      </c>
      <c r="V321" s="14">
        <v>24624</v>
      </c>
      <c r="W321">
        <v>1</v>
      </c>
      <c r="X321" s="8" t="s">
        <v>38</v>
      </c>
      <c r="Y321" s="15">
        <v>0.11</v>
      </c>
      <c r="Z321">
        <v>3</v>
      </c>
      <c r="AA321">
        <v>4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 t="str">
        <f t="shared" si="22"/>
        <v>12-15</v>
      </c>
      <c r="AI321">
        <v>11</v>
      </c>
      <c r="AJ321" t="str">
        <f t="shared" si="23"/>
        <v>9-11</v>
      </c>
      <c r="AK321">
        <v>9</v>
      </c>
    </row>
    <row r="322" spans="1:37" x14ac:dyDescent="0.25">
      <c r="A322" s="8">
        <v>321</v>
      </c>
      <c r="B322" t="s">
        <v>44</v>
      </c>
      <c r="C322" t="s">
        <v>37</v>
      </c>
      <c r="D322" s="8">
        <v>27</v>
      </c>
      <c r="E322" t="str">
        <f t="shared" si="24"/>
        <v>26-35</v>
      </c>
      <c r="F322" t="s">
        <v>46</v>
      </c>
      <c r="G322" t="s">
        <v>39</v>
      </c>
      <c r="H322" s="8" t="s">
        <v>40</v>
      </c>
      <c r="I322" s="10">
        <v>2</v>
      </c>
      <c r="J322" t="str">
        <f t="shared" si="20"/>
        <v>Near</v>
      </c>
      <c r="K322">
        <v>3</v>
      </c>
      <c r="L322" t="s">
        <v>41</v>
      </c>
      <c r="M322">
        <v>4</v>
      </c>
      <c r="N322">
        <v>3</v>
      </c>
      <c r="O322">
        <v>2</v>
      </c>
      <c r="P322" t="s">
        <v>42</v>
      </c>
      <c r="Q322">
        <v>3</v>
      </c>
      <c r="R322" s="11">
        <v>1377</v>
      </c>
      <c r="S322" s="14">
        <v>74</v>
      </c>
      <c r="T322" s="13">
        <v>4478</v>
      </c>
      <c r="U322" s="13">
        <f t="shared" si="21"/>
        <v>53736</v>
      </c>
      <c r="V322" s="14">
        <v>5242</v>
      </c>
      <c r="W322">
        <v>1</v>
      </c>
      <c r="X322" s="8" t="s">
        <v>38</v>
      </c>
      <c r="Y322" s="15">
        <v>0.11</v>
      </c>
      <c r="Z322">
        <v>3</v>
      </c>
      <c r="AA322">
        <v>1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 t="str">
        <f t="shared" si="22"/>
        <v>4-7</v>
      </c>
      <c r="AI322">
        <v>0</v>
      </c>
      <c r="AJ322" t="str">
        <f t="shared" si="23"/>
        <v>0-2</v>
      </c>
      <c r="AK322">
        <v>4</v>
      </c>
    </row>
    <row r="323" spans="1:37" x14ac:dyDescent="0.25">
      <c r="A323" s="8">
        <v>322</v>
      </c>
      <c r="B323" t="s">
        <v>44</v>
      </c>
      <c r="C323" t="s">
        <v>54</v>
      </c>
      <c r="D323" s="8">
        <v>31</v>
      </c>
      <c r="E323" t="str">
        <f t="shared" si="24"/>
        <v>26-35</v>
      </c>
      <c r="F323" t="s">
        <v>46</v>
      </c>
      <c r="G323" t="s">
        <v>39</v>
      </c>
      <c r="H323" s="8" t="s">
        <v>40</v>
      </c>
      <c r="I323" s="10">
        <v>7</v>
      </c>
      <c r="J323" t="str">
        <f t="shared" ref="J323:J386" si="25">IF(I323&lt;=5,"Near",IF(I323&lt;=15,"Moderate",IF(I323&gt;15,"Far")))</f>
        <v>Moderate</v>
      </c>
      <c r="K323">
        <v>3</v>
      </c>
      <c r="L323" t="s">
        <v>62</v>
      </c>
      <c r="M323">
        <v>4</v>
      </c>
      <c r="N323">
        <v>3</v>
      </c>
      <c r="O323">
        <v>2</v>
      </c>
      <c r="P323" t="s">
        <v>42</v>
      </c>
      <c r="Q323">
        <v>4</v>
      </c>
      <c r="R323" s="11">
        <v>691</v>
      </c>
      <c r="S323" s="14">
        <v>73</v>
      </c>
      <c r="T323" s="13">
        <v>7547</v>
      </c>
      <c r="U323" s="13">
        <f t="shared" ref="U323:U386" si="26">T323*12</f>
        <v>90564</v>
      </c>
      <c r="V323" s="14">
        <v>7143</v>
      </c>
      <c r="W323">
        <v>4</v>
      </c>
      <c r="X323" s="8" t="s">
        <v>46</v>
      </c>
      <c r="Y323" s="15">
        <v>0.12</v>
      </c>
      <c r="Z323">
        <v>3</v>
      </c>
      <c r="AA323">
        <v>4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 t="str">
        <f t="shared" ref="AH323:AH386" si="27">IF(AG:AG&lt;=3,"0-3", IF(AG:AG&lt;=7,"4-7", IF(AG:AG&lt;=11,"8-11", IF(AG:AG&lt;=15,"12-15","16-19"))))</f>
        <v>4-7</v>
      </c>
      <c r="AI323">
        <v>1</v>
      </c>
      <c r="AJ323" t="str">
        <f t="shared" ref="AJ323:AJ386" si="28">IF(AI:AI&lt;=2,"0-2",IF(AI:AI&lt;=5,"3-5", IF(AI:AI&lt;=8,"6-8", IF(AI:AI&lt;=11,"9-11","12-15"))))</f>
        <v>0-2</v>
      </c>
      <c r="AK323">
        <v>7</v>
      </c>
    </row>
    <row r="324" spans="1:37" x14ac:dyDescent="0.25">
      <c r="A324" s="8">
        <v>323</v>
      </c>
      <c r="B324" t="s">
        <v>52</v>
      </c>
      <c r="C324" t="s">
        <v>37</v>
      </c>
      <c r="D324" s="8">
        <v>32</v>
      </c>
      <c r="E324" t="str">
        <f t="shared" ref="E324:E387" si="29">IF(D324&lt;25,"18-25",IF(D324&lt;=35,"26-35",IF(D324&lt;=45,"36-45",IF(D324&lt;=55,"46-55",IF(D324&gt;55,"55+")))))</f>
        <v>26-35</v>
      </c>
      <c r="F324" t="s">
        <v>46</v>
      </c>
      <c r="G324" t="s">
        <v>39</v>
      </c>
      <c r="H324" s="8" t="s">
        <v>48</v>
      </c>
      <c r="I324" s="10">
        <v>2</v>
      </c>
      <c r="J324" t="str">
        <f t="shared" si="25"/>
        <v>Near</v>
      </c>
      <c r="K324">
        <v>4</v>
      </c>
      <c r="L324" t="s">
        <v>53</v>
      </c>
      <c r="M324">
        <v>1</v>
      </c>
      <c r="N324">
        <v>4</v>
      </c>
      <c r="O324">
        <v>2</v>
      </c>
      <c r="P324" t="s">
        <v>49</v>
      </c>
      <c r="Q324">
        <v>4</v>
      </c>
      <c r="R324" s="11">
        <v>1018</v>
      </c>
      <c r="S324" s="14">
        <v>74</v>
      </c>
      <c r="T324" s="13">
        <v>5055</v>
      </c>
      <c r="U324" s="13">
        <f t="shared" si="26"/>
        <v>60660</v>
      </c>
      <c r="V324" s="14">
        <v>10557</v>
      </c>
      <c r="W324">
        <v>7</v>
      </c>
      <c r="X324" s="8" t="s">
        <v>46</v>
      </c>
      <c r="Y324" s="15">
        <v>0.16</v>
      </c>
      <c r="Z324">
        <v>3</v>
      </c>
      <c r="AA324">
        <v>3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 t="str">
        <f t="shared" si="27"/>
        <v>4-7</v>
      </c>
      <c r="AI324">
        <v>0</v>
      </c>
      <c r="AJ324" t="str">
        <f t="shared" si="28"/>
        <v>0-2</v>
      </c>
      <c r="AK324">
        <v>7</v>
      </c>
    </row>
    <row r="325" spans="1:37" x14ac:dyDescent="0.25">
      <c r="A325" s="8">
        <v>324</v>
      </c>
      <c r="B325" t="s">
        <v>44</v>
      </c>
      <c r="C325" t="s">
        <v>45</v>
      </c>
      <c r="D325" s="8">
        <v>28</v>
      </c>
      <c r="E325" t="str">
        <f t="shared" si="29"/>
        <v>26-35</v>
      </c>
      <c r="F325" t="s">
        <v>38</v>
      </c>
      <c r="G325" t="s">
        <v>39</v>
      </c>
      <c r="H325" s="8" t="s">
        <v>48</v>
      </c>
      <c r="I325" s="10">
        <v>2</v>
      </c>
      <c r="J325" t="str">
        <f t="shared" si="25"/>
        <v>Near</v>
      </c>
      <c r="K325">
        <v>4</v>
      </c>
      <c r="L325" t="s">
        <v>53</v>
      </c>
      <c r="M325">
        <v>1</v>
      </c>
      <c r="N325">
        <v>1</v>
      </c>
      <c r="O325">
        <v>1</v>
      </c>
      <c r="P325" t="s">
        <v>49</v>
      </c>
      <c r="Q325">
        <v>4</v>
      </c>
      <c r="R325" s="11">
        <v>1157</v>
      </c>
      <c r="S325" s="14">
        <v>84</v>
      </c>
      <c r="T325" s="13">
        <v>3464</v>
      </c>
      <c r="U325" s="13">
        <f t="shared" si="26"/>
        <v>41568</v>
      </c>
      <c r="V325" s="14">
        <v>24737</v>
      </c>
      <c r="W325">
        <v>5</v>
      </c>
      <c r="X325" s="8" t="s">
        <v>38</v>
      </c>
      <c r="Y325" s="15">
        <v>0.13</v>
      </c>
      <c r="Z325">
        <v>3</v>
      </c>
      <c r="AA325">
        <v>4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 t="str">
        <f t="shared" si="27"/>
        <v>0-3</v>
      </c>
      <c r="AI325">
        <v>2</v>
      </c>
      <c r="AJ325" t="str">
        <f t="shared" si="28"/>
        <v>0-2</v>
      </c>
      <c r="AK325">
        <v>2</v>
      </c>
    </row>
    <row r="326" spans="1:37" x14ac:dyDescent="0.25">
      <c r="A326" s="8">
        <v>325</v>
      </c>
      <c r="B326" t="s">
        <v>52</v>
      </c>
      <c r="C326" t="s">
        <v>45</v>
      </c>
      <c r="D326" s="8">
        <v>30</v>
      </c>
      <c r="E326" t="str">
        <f t="shared" si="29"/>
        <v>26-35</v>
      </c>
      <c r="F326" t="s">
        <v>46</v>
      </c>
      <c r="G326" t="s">
        <v>39</v>
      </c>
      <c r="H326" s="8" t="s">
        <v>48</v>
      </c>
      <c r="I326" s="10">
        <v>28</v>
      </c>
      <c r="J326" t="str">
        <f t="shared" si="25"/>
        <v>Far</v>
      </c>
      <c r="K326">
        <v>2</v>
      </c>
      <c r="L326" t="s">
        <v>53</v>
      </c>
      <c r="M326">
        <v>4</v>
      </c>
      <c r="N326">
        <v>3</v>
      </c>
      <c r="O326">
        <v>2</v>
      </c>
      <c r="P326" t="s">
        <v>49</v>
      </c>
      <c r="Q326">
        <v>4</v>
      </c>
      <c r="R326" s="11">
        <v>1275</v>
      </c>
      <c r="S326" s="14">
        <v>64</v>
      </c>
      <c r="T326" s="13">
        <v>5775</v>
      </c>
      <c r="U326" s="13">
        <f t="shared" si="26"/>
        <v>69300</v>
      </c>
      <c r="V326" s="14">
        <v>11934</v>
      </c>
      <c r="W326">
        <v>1</v>
      </c>
      <c r="X326" s="8" t="s">
        <v>46</v>
      </c>
      <c r="Y326" s="15">
        <v>0.13</v>
      </c>
      <c r="Z326">
        <v>3</v>
      </c>
      <c r="AA326">
        <v>4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 t="str">
        <f t="shared" si="27"/>
        <v>8-11</v>
      </c>
      <c r="AI326">
        <v>1</v>
      </c>
      <c r="AJ326" t="str">
        <f t="shared" si="28"/>
        <v>0-2</v>
      </c>
      <c r="AK326">
        <v>9</v>
      </c>
    </row>
    <row r="327" spans="1:37" x14ac:dyDescent="0.25">
      <c r="A327" s="8">
        <v>326</v>
      </c>
      <c r="B327" t="s">
        <v>52</v>
      </c>
      <c r="C327" t="s">
        <v>45</v>
      </c>
      <c r="D327" s="8">
        <v>31</v>
      </c>
      <c r="E327" t="str">
        <f t="shared" si="29"/>
        <v>26-35</v>
      </c>
      <c r="F327" t="s">
        <v>46</v>
      </c>
      <c r="G327" t="s">
        <v>47</v>
      </c>
      <c r="H327" s="8" t="s">
        <v>48</v>
      </c>
      <c r="I327" s="10">
        <v>7</v>
      </c>
      <c r="J327" t="str">
        <f t="shared" si="25"/>
        <v>Moderate</v>
      </c>
      <c r="K327">
        <v>2</v>
      </c>
      <c r="L327" t="s">
        <v>41</v>
      </c>
      <c r="M327">
        <v>3</v>
      </c>
      <c r="N327">
        <v>2</v>
      </c>
      <c r="O327">
        <v>3</v>
      </c>
      <c r="P327" t="s">
        <v>55</v>
      </c>
      <c r="Q327">
        <v>3</v>
      </c>
      <c r="R327" s="11">
        <v>798</v>
      </c>
      <c r="S327" s="14">
        <v>48</v>
      </c>
      <c r="T327" s="13">
        <v>8943</v>
      </c>
      <c r="U327" s="13">
        <f t="shared" si="26"/>
        <v>107316</v>
      </c>
      <c r="V327" s="14">
        <v>14034</v>
      </c>
      <c r="W327">
        <v>1</v>
      </c>
      <c r="X327" s="8" t="s">
        <v>46</v>
      </c>
      <c r="Y327" s="15">
        <v>0.24</v>
      </c>
      <c r="Z327">
        <v>4</v>
      </c>
      <c r="AA327">
        <v>1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 t="str">
        <f t="shared" si="27"/>
        <v>8-11</v>
      </c>
      <c r="AI327">
        <v>8</v>
      </c>
      <c r="AJ327" t="str">
        <f t="shared" si="28"/>
        <v>6-8</v>
      </c>
      <c r="AK327">
        <v>9</v>
      </c>
    </row>
    <row r="328" spans="1:37" x14ac:dyDescent="0.25">
      <c r="A328" s="8">
        <v>327</v>
      </c>
      <c r="B328" t="s">
        <v>44</v>
      </c>
      <c r="C328" t="s">
        <v>45</v>
      </c>
      <c r="D328" s="8">
        <v>39</v>
      </c>
      <c r="E328" t="str">
        <f t="shared" si="29"/>
        <v>36-45</v>
      </c>
      <c r="F328" t="s">
        <v>46</v>
      </c>
      <c r="G328" t="s">
        <v>47</v>
      </c>
      <c r="H328" s="8" t="s">
        <v>48</v>
      </c>
      <c r="I328" s="10">
        <v>7</v>
      </c>
      <c r="J328" t="str">
        <f t="shared" si="25"/>
        <v>Moderate</v>
      </c>
      <c r="K328">
        <v>2</v>
      </c>
      <c r="L328" t="s">
        <v>53</v>
      </c>
      <c r="M328">
        <v>3</v>
      </c>
      <c r="N328">
        <v>2</v>
      </c>
      <c r="O328">
        <v>5</v>
      </c>
      <c r="P328" t="s">
        <v>59</v>
      </c>
      <c r="Q328">
        <v>4</v>
      </c>
      <c r="R328" s="11">
        <v>672</v>
      </c>
      <c r="S328" s="14">
        <v>54</v>
      </c>
      <c r="T328" s="13">
        <v>19272</v>
      </c>
      <c r="U328" s="13">
        <f t="shared" si="26"/>
        <v>231264</v>
      </c>
      <c r="V328" s="14">
        <v>21141</v>
      </c>
      <c r="W328">
        <v>1</v>
      </c>
      <c r="X328" s="8" t="s">
        <v>46</v>
      </c>
      <c r="Y328" s="15">
        <v>0.15</v>
      </c>
      <c r="Z328">
        <v>3</v>
      </c>
      <c r="AA328">
        <v>1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 t="str">
        <f t="shared" si="27"/>
        <v>8-11</v>
      </c>
      <c r="AI328">
        <v>13</v>
      </c>
      <c r="AJ328" t="str">
        <f t="shared" si="28"/>
        <v>12-15</v>
      </c>
      <c r="AK328">
        <v>3</v>
      </c>
    </row>
    <row r="329" spans="1:37" x14ac:dyDescent="0.25">
      <c r="A329" s="8">
        <v>328</v>
      </c>
      <c r="B329" t="s">
        <v>52</v>
      </c>
      <c r="C329" t="s">
        <v>45</v>
      </c>
      <c r="D329" s="8">
        <v>39</v>
      </c>
      <c r="E329" t="str">
        <f t="shared" si="29"/>
        <v>36-45</v>
      </c>
      <c r="F329" t="s">
        <v>38</v>
      </c>
      <c r="G329" t="s">
        <v>39</v>
      </c>
      <c r="H329" s="8" t="s">
        <v>40</v>
      </c>
      <c r="I329" s="10">
        <v>3</v>
      </c>
      <c r="J329" t="str">
        <f t="shared" si="25"/>
        <v>Near</v>
      </c>
      <c r="K329">
        <v>2</v>
      </c>
      <c r="L329" t="s">
        <v>53</v>
      </c>
      <c r="M329">
        <v>4</v>
      </c>
      <c r="N329">
        <v>3</v>
      </c>
      <c r="O329">
        <v>2</v>
      </c>
      <c r="P329" t="s">
        <v>42</v>
      </c>
      <c r="Q329">
        <v>3</v>
      </c>
      <c r="R329" s="11">
        <v>1162</v>
      </c>
      <c r="S329" s="14">
        <v>41</v>
      </c>
      <c r="T329" s="13">
        <v>5238</v>
      </c>
      <c r="U329" s="13">
        <f t="shared" si="26"/>
        <v>62856</v>
      </c>
      <c r="V329" s="14">
        <v>17778</v>
      </c>
      <c r="W329">
        <v>4</v>
      </c>
      <c r="X329" s="8" t="s">
        <v>38</v>
      </c>
      <c r="Y329" s="15">
        <v>0.18</v>
      </c>
      <c r="Z329">
        <v>3</v>
      </c>
      <c r="AA329">
        <v>1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 t="str">
        <f t="shared" si="27"/>
        <v>0-3</v>
      </c>
      <c r="AI329">
        <v>0</v>
      </c>
      <c r="AJ329" t="str">
        <f t="shared" si="28"/>
        <v>0-2</v>
      </c>
      <c r="AK329">
        <v>0</v>
      </c>
    </row>
    <row r="330" spans="1:37" x14ac:dyDescent="0.25">
      <c r="A330" s="8">
        <v>329</v>
      </c>
      <c r="B330" t="s">
        <v>44</v>
      </c>
      <c r="C330" t="s">
        <v>37</v>
      </c>
      <c r="D330" s="8">
        <v>33</v>
      </c>
      <c r="E330" t="str">
        <f t="shared" si="29"/>
        <v>26-35</v>
      </c>
      <c r="F330" t="s">
        <v>46</v>
      </c>
      <c r="G330" t="s">
        <v>47</v>
      </c>
      <c r="H330" s="8" t="s">
        <v>40</v>
      </c>
      <c r="I330" s="10">
        <v>10</v>
      </c>
      <c r="J330" t="str">
        <f t="shared" si="25"/>
        <v>Moderate</v>
      </c>
      <c r="K330">
        <v>3</v>
      </c>
      <c r="L330" t="s">
        <v>62</v>
      </c>
      <c r="M330">
        <v>2</v>
      </c>
      <c r="N330">
        <v>2</v>
      </c>
      <c r="O330">
        <v>2</v>
      </c>
      <c r="P330" t="s">
        <v>42</v>
      </c>
      <c r="Q330">
        <v>4</v>
      </c>
      <c r="R330" s="11">
        <v>508</v>
      </c>
      <c r="S330" s="14">
        <v>46</v>
      </c>
      <c r="T330" s="13">
        <v>4682</v>
      </c>
      <c r="U330" s="13">
        <f t="shared" si="26"/>
        <v>56184</v>
      </c>
      <c r="V330" s="14">
        <v>4317</v>
      </c>
      <c r="W330">
        <v>3</v>
      </c>
      <c r="X330" s="8" t="s">
        <v>46</v>
      </c>
      <c r="Y330" s="15">
        <v>0.14000000000000001</v>
      </c>
      <c r="Z330">
        <v>3</v>
      </c>
      <c r="AA330">
        <v>3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 t="str">
        <f t="shared" si="27"/>
        <v>4-7</v>
      </c>
      <c r="AI330">
        <v>0</v>
      </c>
      <c r="AJ330" t="str">
        <f t="shared" si="28"/>
        <v>0-2</v>
      </c>
      <c r="AK330">
        <v>1</v>
      </c>
    </row>
    <row r="331" spans="1:37" x14ac:dyDescent="0.25">
      <c r="A331" s="8">
        <v>330</v>
      </c>
      <c r="B331" t="s">
        <v>44</v>
      </c>
      <c r="C331" t="s">
        <v>45</v>
      </c>
      <c r="D331" s="8">
        <v>47</v>
      </c>
      <c r="E331" t="str">
        <f t="shared" si="29"/>
        <v>46-55</v>
      </c>
      <c r="F331" t="s">
        <v>46</v>
      </c>
      <c r="G331" t="s">
        <v>39</v>
      </c>
      <c r="H331" s="8" t="s">
        <v>48</v>
      </c>
      <c r="I331" s="10">
        <v>5</v>
      </c>
      <c r="J331" t="str">
        <f t="shared" si="25"/>
        <v>Near</v>
      </c>
      <c r="K331">
        <v>5</v>
      </c>
      <c r="L331" t="s">
        <v>41</v>
      </c>
      <c r="M331">
        <v>4</v>
      </c>
      <c r="N331">
        <v>3</v>
      </c>
      <c r="O331">
        <v>5</v>
      </c>
      <c r="P331" t="s">
        <v>61</v>
      </c>
      <c r="Q331">
        <v>3</v>
      </c>
      <c r="R331" s="11">
        <v>1482</v>
      </c>
      <c r="S331" s="14">
        <v>42</v>
      </c>
      <c r="T331" s="13">
        <v>18300</v>
      </c>
      <c r="U331" s="13">
        <f t="shared" si="26"/>
        <v>219600</v>
      </c>
      <c r="V331" s="14">
        <v>16375</v>
      </c>
      <c r="W331">
        <v>4</v>
      </c>
      <c r="X331" s="8" t="s">
        <v>46</v>
      </c>
      <c r="Y331" s="15">
        <v>0.11</v>
      </c>
      <c r="Z331">
        <v>3</v>
      </c>
      <c r="AA331">
        <v>2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 t="str">
        <f t="shared" si="27"/>
        <v>0-3</v>
      </c>
      <c r="AI331">
        <v>1</v>
      </c>
      <c r="AJ331" t="str">
        <f t="shared" si="28"/>
        <v>0-2</v>
      </c>
      <c r="AK331">
        <v>1</v>
      </c>
    </row>
    <row r="332" spans="1:37" x14ac:dyDescent="0.25">
      <c r="A332" s="8">
        <v>331</v>
      </c>
      <c r="B332" t="s">
        <v>52</v>
      </c>
      <c r="C332" t="s">
        <v>54</v>
      </c>
      <c r="D332" s="8">
        <v>43</v>
      </c>
      <c r="E332" t="str">
        <f t="shared" si="29"/>
        <v>36-45</v>
      </c>
      <c r="F332" t="s">
        <v>46</v>
      </c>
      <c r="G332" t="s">
        <v>47</v>
      </c>
      <c r="H332" s="8" t="s">
        <v>48</v>
      </c>
      <c r="I332" s="10">
        <v>10</v>
      </c>
      <c r="J332" t="str">
        <f t="shared" si="25"/>
        <v>Moderate</v>
      </c>
      <c r="K332">
        <v>4</v>
      </c>
      <c r="L332" t="s">
        <v>41</v>
      </c>
      <c r="M332">
        <v>3</v>
      </c>
      <c r="N332">
        <v>2</v>
      </c>
      <c r="O332">
        <v>2</v>
      </c>
      <c r="P332" t="s">
        <v>51</v>
      </c>
      <c r="Q332">
        <v>3</v>
      </c>
      <c r="R332" s="11">
        <v>559</v>
      </c>
      <c r="S332" s="14">
        <v>82</v>
      </c>
      <c r="T332" s="13">
        <v>5257</v>
      </c>
      <c r="U332" s="13">
        <f t="shared" si="26"/>
        <v>63084</v>
      </c>
      <c r="V332" s="14">
        <v>6227</v>
      </c>
      <c r="W332">
        <v>1</v>
      </c>
      <c r="X332" s="8" t="s">
        <v>46</v>
      </c>
      <c r="Y332" s="15">
        <v>0.11</v>
      </c>
      <c r="Z332">
        <v>3</v>
      </c>
      <c r="AA332">
        <v>2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 t="str">
        <f t="shared" si="27"/>
        <v>4-7</v>
      </c>
      <c r="AI332">
        <v>0</v>
      </c>
      <c r="AJ332" t="str">
        <f t="shared" si="28"/>
        <v>0-2</v>
      </c>
      <c r="AK332">
        <v>0</v>
      </c>
    </row>
    <row r="333" spans="1:37" x14ac:dyDescent="0.25">
      <c r="A333" s="8">
        <v>332</v>
      </c>
      <c r="B333" t="s">
        <v>44</v>
      </c>
      <c r="C333" t="s">
        <v>45</v>
      </c>
      <c r="D333" s="8">
        <v>27</v>
      </c>
      <c r="E333" t="str">
        <f t="shared" si="29"/>
        <v>26-35</v>
      </c>
      <c r="F333" t="s">
        <v>46</v>
      </c>
      <c r="G333" t="s">
        <v>58</v>
      </c>
      <c r="H333" s="8" t="s">
        <v>40</v>
      </c>
      <c r="I333" s="10">
        <v>1</v>
      </c>
      <c r="J333" t="str">
        <f t="shared" si="25"/>
        <v>Near</v>
      </c>
      <c r="K333">
        <v>1</v>
      </c>
      <c r="L333" t="s">
        <v>62</v>
      </c>
      <c r="M333">
        <v>3</v>
      </c>
      <c r="N333">
        <v>3</v>
      </c>
      <c r="O333">
        <v>2</v>
      </c>
      <c r="P333" t="s">
        <v>42</v>
      </c>
      <c r="Q333">
        <v>2</v>
      </c>
      <c r="R333" s="11">
        <v>210</v>
      </c>
      <c r="S333" s="14">
        <v>73</v>
      </c>
      <c r="T333" s="13">
        <v>6349</v>
      </c>
      <c r="U333" s="13">
        <f t="shared" si="26"/>
        <v>76188</v>
      </c>
      <c r="V333" s="14">
        <v>22107</v>
      </c>
      <c r="W333">
        <v>0</v>
      </c>
      <c r="X333" s="8" t="s">
        <v>38</v>
      </c>
      <c r="Y333" s="15">
        <v>0.13</v>
      </c>
      <c r="Z333">
        <v>3</v>
      </c>
      <c r="AA333">
        <v>4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 t="str">
        <f t="shared" si="27"/>
        <v>4-7</v>
      </c>
      <c r="AI333">
        <v>1</v>
      </c>
      <c r="AJ333" t="str">
        <f t="shared" si="28"/>
        <v>0-2</v>
      </c>
      <c r="AK333">
        <v>4</v>
      </c>
    </row>
    <row r="334" spans="1:37" x14ac:dyDescent="0.25">
      <c r="A334" s="8">
        <v>333</v>
      </c>
      <c r="B334" t="s">
        <v>52</v>
      </c>
      <c r="C334" t="s">
        <v>37</v>
      </c>
      <c r="D334" s="8">
        <v>54</v>
      </c>
      <c r="E334" t="str">
        <f t="shared" si="29"/>
        <v>46-55</v>
      </c>
      <c r="F334" t="s">
        <v>46</v>
      </c>
      <c r="G334" t="s">
        <v>47</v>
      </c>
      <c r="H334" s="8" t="s">
        <v>48</v>
      </c>
      <c r="I334" s="10">
        <v>20</v>
      </c>
      <c r="J334" t="str">
        <f t="shared" si="25"/>
        <v>Far</v>
      </c>
      <c r="K334">
        <v>4</v>
      </c>
      <c r="L334" t="s">
        <v>41</v>
      </c>
      <c r="M334">
        <v>4</v>
      </c>
      <c r="N334">
        <v>3</v>
      </c>
      <c r="O334">
        <v>2</v>
      </c>
      <c r="P334" t="s">
        <v>49</v>
      </c>
      <c r="Q334">
        <v>3</v>
      </c>
      <c r="R334" s="11">
        <v>928</v>
      </c>
      <c r="S334" s="14">
        <v>31</v>
      </c>
      <c r="T334" s="13">
        <v>4869</v>
      </c>
      <c r="U334" s="13">
        <f t="shared" si="26"/>
        <v>58428</v>
      </c>
      <c r="V334" s="14">
        <v>16885</v>
      </c>
      <c r="W334">
        <v>3</v>
      </c>
      <c r="X334" s="8" t="s">
        <v>46</v>
      </c>
      <c r="Y334" s="15">
        <v>0.12</v>
      </c>
      <c r="Z334">
        <v>3</v>
      </c>
      <c r="AA334">
        <v>4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 t="str">
        <f t="shared" si="27"/>
        <v>0-3</v>
      </c>
      <c r="AI334">
        <v>0</v>
      </c>
      <c r="AJ334" t="str">
        <f t="shared" si="28"/>
        <v>0-2</v>
      </c>
      <c r="AK334">
        <v>3</v>
      </c>
    </row>
    <row r="335" spans="1:37" x14ac:dyDescent="0.25">
      <c r="A335" s="8">
        <v>334</v>
      </c>
      <c r="B335" t="s">
        <v>52</v>
      </c>
      <c r="C335" t="s">
        <v>45</v>
      </c>
      <c r="D335" s="8">
        <v>43</v>
      </c>
      <c r="E335" t="str">
        <f t="shared" si="29"/>
        <v>36-45</v>
      </c>
      <c r="F335" t="s">
        <v>46</v>
      </c>
      <c r="G335" t="s">
        <v>39</v>
      </c>
      <c r="H335" s="8" t="s">
        <v>48</v>
      </c>
      <c r="I335" s="10">
        <v>7</v>
      </c>
      <c r="J335" t="str">
        <f t="shared" si="25"/>
        <v>Moderate</v>
      </c>
      <c r="K335">
        <v>3</v>
      </c>
      <c r="L335" t="s">
        <v>41</v>
      </c>
      <c r="M335">
        <v>3</v>
      </c>
      <c r="N335">
        <v>3</v>
      </c>
      <c r="O335">
        <v>3</v>
      </c>
      <c r="P335" t="s">
        <v>56</v>
      </c>
      <c r="Q335">
        <v>1</v>
      </c>
      <c r="R335" s="11">
        <v>1001</v>
      </c>
      <c r="S335" s="14">
        <v>43</v>
      </c>
      <c r="T335" s="13">
        <v>9985</v>
      </c>
      <c r="U335" s="13">
        <f t="shared" si="26"/>
        <v>119820</v>
      </c>
      <c r="V335" s="14">
        <v>9262</v>
      </c>
      <c r="W335">
        <v>8</v>
      </c>
      <c r="X335" s="8" t="s">
        <v>46</v>
      </c>
      <c r="Y335" s="15">
        <v>0.16</v>
      </c>
      <c r="Z335">
        <v>3</v>
      </c>
      <c r="AA335">
        <v>1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 t="str">
        <f t="shared" si="27"/>
        <v>0-3</v>
      </c>
      <c r="AI335">
        <v>0</v>
      </c>
      <c r="AJ335" t="str">
        <f t="shared" si="28"/>
        <v>0-2</v>
      </c>
      <c r="AK335">
        <v>0</v>
      </c>
    </row>
    <row r="336" spans="1:37" x14ac:dyDescent="0.25">
      <c r="A336" s="8">
        <v>335</v>
      </c>
      <c r="B336" t="s">
        <v>44</v>
      </c>
      <c r="C336" t="s">
        <v>45</v>
      </c>
      <c r="D336" s="8">
        <v>45</v>
      </c>
      <c r="E336" t="str">
        <f t="shared" si="29"/>
        <v>36-45</v>
      </c>
      <c r="F336" t="s">
        <v>46</v>
      </c>
      <c r="G336" t="s">
        <v>39</v>
      </c>
      <c r="H336" s="8" t="s">
        <v>48</v>
      </c>
      <c r="I336" s="10">
        <v>8</v>
      </c>
      <c r="J336" t="str">
        <f t="shared" si="25"/>
        <v>Moderate</v>
      </c>
      <c r="K336">
        <v>4</v>
      </c>
      <c r="L336" t="s">
        <v>50</v>
      </c>
      <c r="M336">
        <v>4</v>
      </c>
      <c r="N336">
        <v>3</v>
      </c>
      <c r="O336">
        <v>2</v>
      </c>
      <c r="P336" t="s">
        <v>49</v>
      </c>
      <c r="Q336">
        <v>4</v>
      </c>
      <c r="R336" s="11">
        <v>549</v>
      </c>
      <c r="S336" s="14">
        <v>75</v>
      </c>
      <c r="T336" s="13">
        <v>3697</v>
      </c>
      <c r="U336" s="13">
        <f t="shared" si="26"/>
        <v>44364</v>
      </c>
      <c r="V336" s="14">
        <v>9278</v>
      </c>
      <c r="W336">
        <v>9</v>
      </c>
      <c r="X336" s="8" t="s">
        <v>46</v>
      </c>
      <c r="Y336" s="15">
        <v>0.14000000000000001</v>
      </c>
      <c r="Z336">
        <v>3</v>
      </c>
      <c r="AA336">
        <v>1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 t="str">
        <f t="shared" si="27"/>
        <v>8-11</v>
      </c>
      <c r="AI336">
        <v>9</v>
      </c>
      <c r="AJ336" t="str">
        <f t="shared" si="28"/>
        <v>9-11</v>
      </c>
      <c r="AK336">
        <v>8</v>
      </c>
    </row>
    <row r="337" spans="1:37" x14ac:dyDescent="0.25">
      <c r="A337" s="8">
        <v>336</v>
      </c>
      <c r="B337" t="s">
        <v>44</v>
      </c>
      <c r="C337" t="s">
        <v>45</v>
      </c>
      <c r="D337" s="8">
        <v>40</v>
      </c>
      <c r="E337" t="str">
        <f t="shared" si="29"/>
        <v>36-45</v>
      </c>
      <c r="F337" t="s">
        <v>46</v>
      </c>
      <c r="G337" t="s">
        <v>39</v>
      </c>
      <c r="H337" s="8" t="s">
        <v>40</v>
      </c>
      <c r="I337" s="10">
        <v>1</v>
      </c>
      <c r="J337" t="str">
        <f t="shared" si="25"/>
        <v>Near</v>
      </c>
      <c r="K337">
        <v>2</v>
      </c>
      <c r="L337" t="s">
        <v>53</v>
      </c>
      <c r="M337">
        <v>2</v>
      </c>
      <c r="N337">
        <v>1</v>
      </c>
      <c r="O337">
        <v>2</v>
      </c>
      <c r="P337" t="s">
        <v>42</v>
      </c>
      <c r="Q337">
        <v>4</v>
      </c>
      <c r="R337" s="11">
        <v>1124</v>
      </c>
      <c r="S337" s="14">
        <v>57</v>
      </c>
      <c r="T337" s="13">
        <v>7457</v>
      </c>
      <c r="U337" s="13">
        <f t="shared" si="26"/>
        <v>89484</v>
      </c>
      <c r="V337" s="14">
        <v>13273</v>
      </c>
      <c r="W337">
        <v>2</v>
      </c>
      <c r="X337" s="8" t="s">
        <v>38</v>
      </c>
      <c r="Y337" s="15">
        <v>0.22</v>
      </c>
      <c r="Z337">
        <v>4</v>
      </c>
      <c r="AA337">
        <v>3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 t="str">
        <f t="shared" si="27"/>
        <v>0-3</v>
      </c>
      <c r="AI337">
        <v>0</v>
      </c>
      <c r="AJ337" t="str">
        <f t="shared" si="28"/>
        <v>0-2</v>
      </c>
      <c r="AK337">
        <v>2</v>
      </c>
    </row>
    <row r="338" spans="1:37" x14ac:dyDescent="0.25">
      <c r="A338" s="8">
        <v>337</v>
      </c>
      <c r="B338" t="s">
        <v>44</v>
      </c>
      <c r="C338" t="s">
        <v>45</v>
      </c>
      <c r="D338" s="8">
        <v>29</v>
      </c>
      <c r="E338" t="str">
        <f t="shared" si="29"/>
        <v>26-35</v>
      </c>
      <c r="F338" t="s">
        <v>38</v>
      </c>
      <c r="G338" t="s">
        <v>39</v>
      </c>
      <c r="H338" s="8" t="s">
        <v>48</v>
      </c>
      <c r="I338" s="10">
        <v>8</v>
      </c>
      <c r="J338" t="str">
        <f t="shared" si="25"/>
        <v>Moderate</v>
      </c>
      <c r="K338">
        <v>4</v>
      </c>
      <c r="L338" t="s">
        <v>50</v>
      </c>
      <c r="M338">
        <v>2</v>
      </c>
      <c r="N338">
        <v>1</v>
      </c>
      <c r="O338">
        <v>1</v>
      </c>
      <c r="P338" t="s">
        <v>51</v>
      </c>
      <c r="Q338">
        <v>1</v>
      </c>
      <c r="R338" s="11">
        <v>318</v>
      </c>
      <c r="S338" s="14">
        <v>77</v>
      </c>
      <c r="T338" s="13">
        <v>2119</v>
      </c>
      <c r="U338" s="13">
        <f t="shared" si="26"/>
        <v>25428</v>
      </c>
      <c r="V338" s="14">
        <v>4759</v>
      </c>
      <c r="W338">
        <v>1</v>
      </c>
      <c r="X338" s="8" t="s">
        <v>38</v>
      </c>
      <c r="Y338" s="15">
        <v>0.11</v>
      </c>
      <c r="Z338">
        <v>3</v>
      </c>
      <c r="AA338">
        <v>4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 t="str">
        <f t="shared" si="27"/>
        <v>4-7</v>
      </c>
      <c r="AI338">
        <v>0</v>
      </c>
      <c r="AJ338" t="str">
        <f t="shared" si="28"/>
        <v>0-2</v>
      </c>
      <c r="AK338">
        <v>7</v>
      </c>
    </row>
    <row r="339" spans="1:37" x14ac:dyDescent="0.25">
      <c r="A339" s="8">
        <v>338</v>
      </c>
      <c r="B339" t="s">
        <v>44</v>
      </c>
      <c r="C339" t="s">
        <v>37</v>
      </c>
      <c r="D339" s="8">
        <v>29</v>
      </c>
      <c r="E339" t="str">
        <f t="shared" si="29"/>
        <v>26-35</v>
      </c>
      <c r="F339" t="s">
        <v>46</v>
      </c>
      <c r="G339" t="s">
        <v>39</v>
      </c>
      <c r="H339" s="8" t="s">
        <v>48</v>
      </c>
      <c r="I339" s="10">
        <v>9</v>
      </c>
      <c r="J339" t="str">
        <f t="shared" si="25"/>
        <v>Moderate</v>
      </c>
      <c r="K339">
        <v>5</v>
      </c>
      <c r="L339" t="s">
        <v>50</v>
      </c>
      <c r="M339">
        <v>2</v>
      </c>
      <c r="N339">
        <v>2</v>
      </c>
      <c r="O339">
        <v>1</v>
      </c>
      <c r="P339" t="s">
        <v>51</v>
      </c>
      <c r="Q339">
        <v>4</v>
      </c>
      <c r="R339" s="11">
        <v>738</v>
      </c>
      <c r="S339" s="14">
        <v>30</v>
      </c>
      <c r="T339" s="13">
        <v>3983</v>
      </c>
      <c r="U339" s="13">
        <f t="shared" si="26"/>
        <v>47796</v>
      </c>
      <c r="V339" s="14">
        <v>7621</v>
      </c>
      <c r="W339">
        <v>0</v>
      </c>
      <c r="X339" s="8" t="s">
        <v>46</v>
      </c>
      <c r="Y339" s="15">
        <v>0.17</v>
      </c>
      <c r="Z339">
        <v>3</v>
      </c>
      <c r="AA339">
        <v>3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 t="str">
        <f t="shared" si="27"/>
        <v>0-3</v>
      </c>
      <c r="AI339">
        <v>2</v>
      </c>
      <c r="AJ339" t="str">
        <f t="shared" si="28"/>
        <v>0-2</v>
      </c>
      <c r="AK339">
        <v>2</v>
      </c>
    </row>
    <row r="340" spans="1:37" x14ac:dyDescent="0.25">
      <c r="A340" s="8">
        <v>339</v>
      </c>
      <c r="B340" t="s">
        <v>52</v>
      </c>
      <c r="C340" t="s">
        <v>54</v>
      </c>
      <c r="D340" s="8">
        <v>30</v>
      </c>
      <c r="E340" t="str">
        <f t="shared" si="29"/>
        <v>26-35</v>
      </c>
      <c r="F340" t="s">
        <v>46</v>
      </c>
      <c r="G340" t="s">
        <v>39</v>
      </c>
      <c r="H340" s="8" t="s">
        <v>40</v>
      </c>
      <c r="I340" s="10">
        <v>5</v>
      </c>
      <c r="J340" t="str">
        <f t="shared" si="25"/>
        <v>Near</v>
      </c>
      <c r="K340">
        <v>3</v>
      </c>
      <c r="L340" t="s">
        <v>62</v>
      </c>
      <c r="M340">
        <v>4</v>
      </c>
      <c r="N340">
        <v>2</v>
      </c>
      <c r="O340">
        <v>2</v>
      </c>
      <c r="P340" t="s">
        <v>42</v>
      </c>
      <c r="Q340">
        <v>3</v>
      </c>
      <c r="R340" s="11">
        <v>570</v>
      </c>
      <c r="S340" s="14">
        <v>30</v>
      </c>
      <c r="T340" s="13">
        <v>6118</v>
      </c>
      <c r="U340" s="13">
        <f t="shared" si="26"/>
        <v>73416</v>
      </c>
      <c r="V340" s="14">
        <v>5431</v>
      </c>
      <c r="W340">
        <v>1</v>
      </c>
      <c r="X340" s="8" t="s">
        <v>46</v>
      </c>
      <c r="Y340" s="15">
        <v>0.13</v>
      </c>
      <c r="Z340">
        <v>3</v>
      </c>
      <c r="AA340">
        <v>3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 t="str">
        <f t="shared" si="27"/>
        <v>8-11</v>
      </c>
      <c r="AI340">
        <v>1</v>
      </c>
      <c r="AJ340" t="str">
        <f t="shared" si="28"/>
        <v>0-2</v>
      </c>
      <c r="AK340">
        <v>2</v>
      </c>
    </row>
    <row r="341" spans="1:37" x14ac:dyDescent="0.25">
      <c r="A341" s="8">
        <v>340</v>
      </c>
      <c r="B341" t="s">
        <v>52</v>
      </c>
      <c r="C341" t="s">
        <v>45</v>
      </c>
      <c r="D341" s="8">
        <v>27</v>
      </c>
      <c r="E341" t="str">
        <f t="shared" si="29"/>
        <v>26-35</v>
      </c>
      <c r="F341" t="s">
        <v>46</v>
      </c>
      <c r="G341" t="s">
        <v>39</v>
      </c>
      <c r="H341" s="8" t="s">
        <v>40</v>
      </c>
      <c r="I341" s="10">
        <v>8</v>
      </c>
      <c r="J341" t="str">
        <f t="shared" si="25"/>
        <v>Moderate</v>
      </c>
      <c r="K341">
        <v>4</v>
      </c>
      <c r="L341" t="s">
        <v>62</v>
      </c>
      <c r="M341">
        <v>2</v>
      </c>
      <c r="N341">
        <v>3</v>
      </c>
      <c r="O341">
        <v>2</v>
      </c>
      <c r="P341" t="s">
        <v>42</v>
      </c>
      <c r="Q341">
        <v>2</v>
      </c>
      <c r="R341" s="11">
        <v>1130</v>
      </c>
      <c r="S341" s="14">
        <v>56</v>
      </c>
      <c r="T341" s="13">
        <v>6214</v>
      </c>
      <c r="U341" s="13">
        <f t="shared" si="26"/>
        <v>74568</v>
      </c>
      <c r="V341" s="14">
        <v>3415</v>
      </c>
      <c r="W341">
        <v>1</v>
      </c>
      <c r="X341" s="8" t="s">
        <v>46</v>
      </c>
      <c r="Y341" s="15">
        <v>0.18</v>
      </c>
      <c r="Z341">
        <v>3</v>
      </c>
      <c r="AA341">
        <v>1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 t="str">
        <f t="shared" si="27"/>
        <v>4-7</v>
      </c>
      <c r="AI341">
        <v>0</v>
      </c>
      <c r="AJ341" t="str">
        <f t="shared" si="28"/>
        <v>0-2</v>
      </c>
      <c r="AK341">
        <v>7</v>
      </c>
    </row>
    <row r="342" spans="1:37" x14ac:dyDescent="0.25">
      <c r="A342" s="8">
        <v>341</v>
      </c>
      <c r="B342" t="s">
        <v>44</v>
      </c>
      <c r="C342" t="s">
        <v>54</v>
      </c>
      <c r="D342" s="8">
        <v>37</v>
      </c>
      <c r="E342" t="str">
        <f t="shared" si="29"/>
        <v>36-45</v>
      </c>
      <c r="F342" t="s">
        <v>46</v>
      </c>
      <c r="G342" t="s">
        <v>39</v>
      </c>
      <c r="H342" s="8" t="s">
        <v>48</v>
      </c>
      <c r="I342" s="10">
        <v>5</v>
      </c>
      <c r="J342" t="str">
        <f t="shared" si="25"/>
        <v>Near</v>
      </c>
      <c r="K342">
        <v>2</v>
      </c>
      <c r="L342" t="s">
        <v>53</v>
      </c>
      <c r="M342">
        <v>4</v>
      </c>
      <c r="N342">
        <v>3</v>
      </c>
      <c r="O342">
        <v>2</v>
      </c>
      <c r="P342" t="s">
        <v>55</v>
      </c>
      <c r="Q342">
        <v>4</v>
      </c>
      <c r="R342" s="11">
        <v>1192</v>
      </c>
      <c r="S342" s="14">
        <v>61</v>
      </c>
      <c r="T342" s="13">
        <v>6347</v>
      </c>
      <c r="U342" s="13">
        <f t="shared" si="26"/>
        <v>76164</v>
      </c>
      <c r="V342" s="14">
        <v>23177</v>
      </c>
      <c r="W342">
        <v>7</v>
      </c>
      <c r="X342" s="8" t="s">
        <v>46</v>
      </c>
      <c r="Y342" s="15">
        <v>0.16</v>
      </c>
      <c r="Z342">
        <v>3</v>
      </c>
      <c r="AA342">
        <v>3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 t="str">
        <f t="shared" si="27"/>
        <v>0-3</v>
      </c>
      <c r="AI342">
        <v>0</v>
      </c>
      <c r="AJ342" t="str">
        <f t="shared" si="28"/>
        <v>0-2</v>
      </c>
      <c r="AK342">
        <v>4</v>
      </c>
    </row>
    <row r="343" spans="1:37" x14ac:dyDescent="0.25">
      <c r="A343" s="8">
        <v>342</v>
      </c>
      <c r="B343" t="s">
        <v>44</v>
      </c>
      <c r="C343" t="s">
        <v>54</v>
      </c>
      <c r="D343" s="8">
        <v>38</v>
      </c>
      <c r="E343" t="str">
        <f t="shared" si="29"/>
        <v>36-45</v>
      </c>
      <c r="F343" t="s">
        <v>46</v>
      </c>
      <c r="G343" t="s">
        <v>39</v>
      </c>
      <c r="H343" s="8" t="s">
        <v>48</v>
      </c>
      <c r="I343" s="10">
        <v>15</v>
      </c>
      <c r="J343" t="str">
        <f t="shared" si="25"/>
        <v>Moderate</v>
      </c>
      <c r="K343">
        <v>2</v>
      </c>
      <c r="L343" t="s">
        <v>41</v>
      </c>
      <c r="M343">
        <v>3</v>
      </c>
      <c r="N343">
        <v>2</v>
      </c>
      <c r="O343">
        <v>3</v>
      </c>
      <c r="P343" t="s">
        <v>61</v>
      </c>
      <c r="Q343">
        <v>4</v>
      </c>
      <c r="R343" s="11">
        <v>343</v>
      </c>
      <c r="S343" s="14">
        <v>92</v>
      </c>
      <c r="T343" s="13">
        <v>11510</v>
      </c>
      <c r="U343" s="13">
        <f t="shared" si="26"/>
        <v>138120</v>
      </c>
      <c r="V343" s="14">
        <v>15682</v>
      </c>
      <c r="W343">
        <v>0</v>
      </c>
      <c r="X343" s="8" t="s">
        <v>38</v>
      </c>
      <c r="Y343" s="15">
        <v>0.14000000000000001</v>
      </c>
      <c r="Z343">
        <v>3</v>
      </c>
      <c r="AA343">
        <v>2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 t="str">
        <f t="shared" si="27"/>
        <v>8-11</v>
      </c>
      <c r="AI343">
        <v>2</v>
      </c>
      <c r="AJ343" t="str">
        <f t="shared" si="28"/>
        <v>0-2</v>
      </c>
      <c r="AK343">
        <v>9</v>
      </c>
    </row>
    <row r="344" spans="1:37" x14ac:dyDescent="0.25">
      <c r="A344" s="8">
        <v>343</v>
      </c>
      <c r="B344" t="s">
        <v>52</v>
      </c>
      <c r="C344" t="s">
        <v>37</v>
      </c>
      <c r="D344" s="8">
        <v>31</v>
      </c>
      <c r="E344" t="str">
        <f t="shared" si="29"/>
        <v>26-35</v>
      </c>
      <c r="F344" t="s">
        <v>46</v>
      </c>
      <c r="G344" t="s">
        <v>39</v>
      </c>
      <c r="H344" s="8" t="s">
        <v>48</v>
      </c>
      <c r="I344" s="10">
        <v>7</v>
      </c>
      <c r="J344" t="str">
        <f t="shared" si="25"/>
        <v>Moderate</v>
      </c>
      <c r="K344">
        <v>4</v>
      </c>
      <c r="L344" t="s">
        <v>53</v>
      </c>
      <c r="M344">
        <v>3</v>
      </c>
      <c r="N344">
        <v>3</v>
      </c>
      <c r="O344">
        <v>3</v>
      </c>
      <c r="P344" t="s">
        <v>55</v>
      </c>
      <c r="Q344">
        <v>4</v>
      </c>
      <c r="R344" s="11">
        <v>1232</v>
      </c>
      <c r="S344" s="14">
        <v>39</v>
      </c>
      <c r="T344" s="13">
        <v>7143</v>
      </c>
      <c r="U344" s="13">
        <f t="shared" si="26"/>
        <v>85716</v>
      </c>
      <c r="V344" s="14">
        <v>25713</v>
      </c>
      <c r="W344">
        <v>1</v>
      </c>
      <c r="X344" s="8" t="s">
        <v>38</v>
      </c>
      <c r="Y344" s="15">
        <v>0.14000000000000001</v>
      </c>
      <c r="Z344">
        <v>3</v>
      </c>
      <c r="AA344">
        <v>3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 t="str">
        <f t="shared" si="27"/>
        <v>8-11</v>
      </c>
      <c r="AI344">
        <v>4</v>
      </c>
      <c r="AJ344" t="str">
        <f t="shared" si="28"/>
        <v>3-5</v>
      </c>
      <c r="AK344">
        <v>10</v>
      </c>
    </row>
    <row r="345" spans="1:37" x14ac:dyDescent="0.25">
      <c r="A345" s="8">
        <v>344</v>
      </c>
      <c r="B345" t="s">
        <v>52</v>
      </c>
      <c r="C345" t="s">
        <v>54</v>
      </c>
      <c r="D345" s="8">
        <v>29</v>
      </c>
      <c r="E345" t="str">
        <f t="shared" si="29"/>
        <v>26-35</v>
      </c>
      <c r="F345" t="s">
        <v>46</v>
      </c>
      <c r="G345" t="s">
        <v>39</v>
      </c>
      <c r="H345" s="8" t="s">
        <v>40</v>
      </c>
      <c r="I345" s="10">
        <v>10</v>
      </c>
      <c r="J345" t="str">
        <f t="shared" si="25"/>
        <v>Moderate</v>
      </c>
      <c r="K345">
        <v>1</v>
      </c>
      <c r="L345" t="s">
        <v>62</v>
      </c>
      <c r="M345">
        <v>4</v>
      </c>
      <c r="N345">
        <v>2</v>
      </c>
      <c r="O345">
        <v>2</v>
      </c>
      <c r="P345" t="s">
        <v>42</v>
      </c>
      <c r="Q345">
        <v>2</v>
      </c>
      <c r="R345" s="11">
        <v>144</v>
      </c>
      <c r="S345" s="14">
        <v>39</v>
      </c>
      <c r="T345" s="13">
        <v>8268</v>
      </c>
      <c r="U345" s="13">
        <f t="shared" si="26"/>
        <v>99216</v>
      </c>
      <c r="V345" s="14">
        <v>11866</v>
      </c>
      <c r="W345">
        <v>1</v>
      </c>
      <c r="X345" s="8" t="s">
        <v>38</v>
      </c>
      <c r="Y345" s="15">
        <v>0.14000000000000001</v>
      </c>
      <c r="Z345">
        <v>3</v>
      </c>
      <c r="AA345">
        <v>1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 t="str">
        <f t="shared" si="27"/>
        <v>4-7</v>
      </c>
      <c r="AI345">
        <v>1</v>
      </c>
      <c r="AJ345" t="str">
        <f t="shared" si="28"/>
        <v>0-2</v>
      </c>
      <c r="AK345">
        <v>7</v>
      </c>
    </row>
    <row r="346" spans="1:37" x14ac:dyDescent="0.25">
      <c r="A346" s="8">
        <v>345</v>
      </c>
      <c r="B346" t="s">
        <v>44</v>
      </c>
      <c r="C346" t="s">
        <v>37</v>
      </c>
      <c r="D346" s="8">
        <v>35</v>
      </c>
      <c r="E346" t="str">
        <f t="shared" si="29"/>
        <v>26-35</v>
      </c>
      <c r="F346" t="s">
        <v>46</v>
      </c>
      <c r="G346" t="s">
        <v>39</v>
      </c>
      <c r="H346" s="8" t="s">
        <v>48</v>
      </c>
      <c r="I346" s="10">
        <v>5</v>
      </c>
      <c r="J346" t="str">
        <f t="shared" si="25"/>
        <v>Near</v>
      </c>
      <c r="K346">
        <v>4</v>
      </c>
      <c r="L346" t="s">
        <v>63</v>
      </c>
      <c r="M346">
        <v>3</v>
      </c>
      <c r="N346">
        <v>3</v>
      </c>
      <c r="O346">
        <v>3</v>
      </c>
      <c r="P346" t="s">
        <v>55</v>
      </c>
      <c r="Q346">
        <v>2</v>
      </c>
      <c r="R346" s="11">
        <v>1296</v>
      </c>
      <c r="S346" s="14">
        <v>62</v>
      </c>
      <c r="T346" s="13">
        <v>8095</v>
      </c>
      <c r="U346" s="13">
        <f t="shared" si="26"/>
        <v>97140</v>
      </c>
      <c r="V346" s="14">
        <v>18264</v>
      </c>
      <c r="W346">
        <v>0</v>
      </c>
      <c r="X346" s="8" t="s">
        <v>46</v>
      </c>
      <c r="Y346" s="15">
        <v>0.13</v>
      </c>
      <c r="Z346">
        <v>3</v>
      </c>
      <c r="AA346">
        <v>4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 t="str">
        <f t="shared" si="27"/>
        <v>4-7</v>
      </c>
      <c r="AI346">
        <v>0</v>
      </c>
      <c r="AJ346" t="str">
        <f t="shared" si="28"/>
        <v>0-2</v>
      </c>
      <c r="AK346">
        <v>13</v>
      </c>
    </row>
    <row r="347" spans="1:37" x14ac:dyDescent="0.25">
      <c r="A347" s="8">
        <v>346</v>
      </c>
      <c r="B347" t="s">
        <v>44</v>
      </c>
      <c r="C347" t="s">
        <v>54</v>
      </c>
      <c r="D347" s="8">
        <v>23</v>
      </c>
      <c r="E347" t="str">
        <f t="shared" si="29"/>
        <v>18-25</v>
      </c>
      <c r="F347" t="s">
        <v>46</v>
      </c>
      <c r="G347" t="s">
        <v>39</v>
      </c>
      <c r="H347" s="8" t="s">
        <v>48</v>
      </c>
      <c r="I347" s="10">
        <v>26</v>
      </c>
      <c r="J347" t="str">
        <f t="shared" si="25"/>
        <v>Far</v>
      </c>
      <c r="K347">
        <v>1</v>
      </c>
      <c r="L347" t="s">
        <v>41</v>
      </c>
      <c r="M347">
        <v>3</v>
      </c>
      <c r="N347">
        <v>3</v>
      </c>
      <c r="O347">
        <v>1</v>
      </c>
      <c r="P347" t="s">
        <v>49</v>
      </c>
      <c r="Q347">
        <v>4</v>
      </c>
      <c r="R347" s="11">
        <v>1309</v>
      </c>
      <c r="S347" s="14">
        <v>83</v>
      </c>
      <c r="T347" s="13">
        <v>2904</v>
      </c>
      <c r="U347" s="13">
        <f t="shared" si="26"/>
        <v>34848</v>
      </c>
      <c r="V347" s="14">
        <v>16092</v>
      </c>
      <c r="W347">
        <v>1</v>
      </c>
      <c r="X347" s="8" t="s">
        <v>46</v>
      </c>
      <c r="Y347" s="15">
        <v>0.12</v>
      </c>
      <c r="Z347">
        <v>3</v>
      </c>
      <c r="AA347">
        <v>3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 t="str">
        <f t="shared" si="27"/>
        <v>0-3</v>
      </c>
      <c r="AI347">
        <v>0</v>
      </c>
      <c r="AJ347" t="str">
        <f t="shared" si="28"/>
        <v>0-2</v>
      </c>
      <c r="AK347">
        <v>2</v>
      </c>
    </row>
    <row r="348" spans="1:37" x14ac:dyDescent="0.25">
      <c r="A348" s="8">
        <v>347</v>
      </c>
      <c r="B348" t="s">
        <v>44</v>
      </c>
      <c r="C348" t="s">
        <v>37</v>
      </c>
      <c r="D348" s="8">
        <v>41</v>
      </c>
      <c r="E348" t="str">
        <f t="shared" si="29"/>
        <v>36-45</v>
      </c>
      <c r="F348" t="s">
        <v>46</v>
      </c>
      <c r="G348" t="s">
        <v>39</v>
      </c>
      <c r="H348" s="8" t="s">
        <v>48</v>
      </c>
      <c r="I348" s="10">
        <v>6</v>
      </c>
      <c r="J348" t="str">
        <f t="shared" si="25"/>
        <v>Moderate</v>
      </c>
      <c r="K348">
        <v>3</v>
      </c>
      <c r="L348" t="s">
        <v>53</v>
      </c>
      <c r="M348">
        <v>4</v>
      </c>
      <c r="N348">
        <v>2</v>
      </c>
      <c r="O348">
        <v>2</v>
      </c>
      <c r="P348" t="s">
        <v>55</v>
      </c>
      <c r="Q348">
        <v>2</v>
      </c>
      <c r="R348" s="11">
        <v>483</v>
      </c>
      <c r="S348" s="14">
        <v>95</v>
      </c>
      <c r="T348" s="13">
        <v>6032</v>
      </c>
      <c r="U348" s="13">
        <f t="shared" si="26"/>
        <v>72384</v>
      </c>
      <c r="V348" s="14">
        <v>10110</v>
      </c>
      <c r="W348">
        <v>6</v>
      </c>
      <c r="X348" s="8" t="s">
        <v>38</v>
      </c>
      <c r="Y348" s="15">
        <v>0.15</v>
      </c>
      <c r="Z348">
        <v>3</v>
      </c>
      <c r="AA348">
        <v>4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 t="str">
        <f t="shared" si="27"/>
        <v>4-7</v>
      </c>
      <c r="AI348">
        <v>1</v>
      </c>
      <c r="AJ348" t="str">
        <f t="shared" si="28"/>
        <v>0-2</v>
      </c>
      <c r="AK348">
        <v>2</v>
      </c>
    </row>
    <row r="349" spans="1:37" x14ac:dyDescent="0.25">
      <c r="A349" s="8">
        <v>348</v>
      </c>
      <c r="B349" t="s">
        <v>44</v>
      </c>
      <c r="C349" t="s">
        <v>37</v>
      </c>
      <c r="D349" s="8">
        <v>47</v>
      </c>
      <c r="E349" t="str">
        <f t="shared" si="29"/>
        <v>46-55</v>
      </c>
      <c r="F349" t="s">
        <v>46</v>
      </c>
      <c r="G349" t="s">
        <v>47</v>
      </c>
      <c r="H349" s="8" t="s">
        <v>40</v>
      </c>
      <c r="I349" s="10">
        <v>4</v>
      </c>
      <c r="J349" t="str">
        <f t="shared" si="25"/>
        <v>Near</v>
      </c>
      <c r="K349">
        <v>1</v>
      </c>
      <c r="L349" t="s">
        <v>53</v>
      </c>
      <c r="M349">
        <v>2</v>
      </c>
      <c r="N349">
        <v>3</v>
      </c>
      <c r="O349">
        <v>2</v>
      </c>
      <c r="P349" t="s">
        <v>60</v>
      </c>
      <c r="Q349">
        <v>3</v>
      </c>
      <c r="R349" s="11">
        <v>1309</v>
      </c>
      <c r="S349" s="14">
        <v>99</v>
      </c>
      <c r="T349" s="13">
        <v>2976</v>
      </c>
      <c r="U349" s="13">
        <f t="shared" si="26"/>
        <v>35712</v>
      </c>
      <c r="V349" s="14">
        <v>25751</v>
      </c>
      <c r="W349">
        <v>3</v>
      </c>
      <c r="X349" s="8" t="s">
        <v>46</v>
      </c>
      <c r="Y349" s="15">
        <v>0.19</v>
      </c>
      <c r="Z349">
        <v>3</v>
      </c>
      <c r="AA349">
        <v>1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 t="str">
        <f t="shared" si="27"/>
        <v>0-3</v>
      </c>
      <c r="AI349">
        <v>0</v>
      </c>
      <c r="AJ349" t="str">
        <f t="shared" si="28"/>
        <v>0-2</v>
      </c>
      <c r="AK349">
        <v>0</v>
      </c>
    </row>
    <row r="350" spans="1:37" x14ac:dyDescent="0.25">
      <c r="A350" s="8">
        <v>349</v>
      </c>
      <c r="B350" t="s">
        <v>52</v>
      </c>
      <c r="C350" t="s">
        <v>37</v>
      </c>
      <c r="D350" s="8">
        <v>42</v>
      </c>
      <c r="E350" t="str">
        <f t="shared" si="29"/>
        <v>36-45</v>
      </c>
      <c r="F350" t="s">
        <v>46</v>
      </c>
      <c r="G350" t="s">
        <v>39</v>
      </c>
      <c r="H350" s="8" t="s">
        <v>48</v>
      </c>
      <c r="I350" s="10">
        <v>23</v>
      </c>
      <c r="J350" t="str">
        <f t="shared" si="25"/>
        <v>Far</v>
      </c>
      <c r="K350">
        <v>5</v>
      </c>
      <c r="L350" t="s">
        <v>41</v>
      </c>
      <c r="M350">
        <v>1</v>
      </c>
      <c r="N350">
        <v>3</v>
      </c>
      <c r="O350">
        <v>4</v>
      </c>
      <c r="P350" t="s">
        <v>61</v>
      </c>
      <c r="Q350">
        <v>4</v>
      </c>
      <c r="R350" s="11">
        <v>810</v>
      </c>
      <c r="S350" s="14">
        <v>44</v>
      </c>
      <c r="T350" s="13">
        <v>15992</v>
      </c>
      <c r="U350" s="13">
        <f t="shared" si="26"/>
        <v>191904</v>
      </c>
      <c r="V350" s="14">
        <v>15901</v>
      </c>
      <c r="W350">
        <v>2</v>
      </c>
      <c r="X350" s="8" t="s">
        <v>46</v>
      </c>
      <c r="Y350" s="15">
        <v>0.14000000000000001</v>
      </c>
      <c r="Z350">
        <v>3</v>
      </c>
      <c r="AA350">
        <v>2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 t="str">
        <f t="shared" si="27"/>
        <v>0-3</v>
      </c>
      <c r="AI350">
        <v>0</v>
      </c>
      <c r="AJ350" t="str">
        <f t="shared" si="28"/>
        <v>0-2</v>
      </c>
      <c r="AK350">
        <v>0</v>
      </c>
    </row>
    <row r="351" spans="1:37" x14ac:dyDescent="0.25">
      <c r="A351" s="8">
        <v>350</v>
      </c>
      <c r="B351" t="s">
        <v>44</v>
      </c>
      <c r="C351" t="s">
        <v>45</v>
      </c>
      <c r="D351" s="8">
        <v>29</v>
      </c>
      <c r="E351" t="str">
        <f t="shared" si="29"/>
        <v>26-35</v>
      </c>
      <c r="F351" t="s">
        <v>46</v>
      </c>
      <c r="G351" t="s">
        <v>58</v>
      </c>
      <c r="H351" s="8" t="s">
        <v>40</v>
      </c>
      <c r="I351" s="10">
        <v>2</v>
      </c>
      <c r="J351" t="str">
        <f t="shared" si="25"/>
        <v>Near</v>
      </c>
      <c r="K351">
        <v>3</v>
      </c>
      <c r="L351" t="s">
        <v>41</v>
      </c>
      <c r="M351">
        <v>4</v>
      </c>
      <c r="N351">
        <v>3</v>
      </c>
      <c r="O351">
        <v>2</v>
      </c>
      <c r="P351" t="s">
        <v>42</v>
      </c>
      <c r="Q351">
        <v>3</v>
      </c>
      <c r="R351" s="11">
        <v>746</v>
      </c>
      <c r="S351" s="14">
        <v>61</v>
      </c>
      <c r="T351" s="13">
        <v>4649</v>
      </c>
      <c r="U351" s="13">
        <f t="shared" si="26"/>
        <v>55788</v>
      </c>
      <c r="V351" s="14">
        <v>16928</v>
      </c>
      <c r="W351">
        <v>1</v>
      </c>
      <c r="X351" s="8" t="s">
        <v>46</v>
      </c>
      <c r="Y351" s="15">
        <v>0.14000000000000001</v>
      </c>
      <c r="Z351">
        <v>3</v>
      </c>
      <c r="AA351">
        <v>1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 t="str">
        <f t="shared" si="27"/>
        <v>0-3</v>
      </c>
      <c r="AI351">
        <v>0</v>
      </c>
      <c r="AJ351" t="str">
        <f t="shared" si="28"/>
        <v>0-2</v>
      </c>
      <c r="AK351">
        <v>2</v>
      </c>
    </row>
    <row r="352" spans="1:37" x14ac:dyDescent="0.25">
      <c r="A352" s="8">
        <v>351</v>
      </c>
      <c r="B352" t="s">
        <v>44</v>
      </c>
      <c r="C352" t="s">
        <v>54</v>
      </c>
      <c r="D352" s="8">
        <v>42</v>
      </c>
      <c r="E352" t="str">
        <f t="shared" si="29"/>
        <v>36-45</v>
      </c>
      <c r="F352" t="s">
        <v>46</v>
      </c>
      <c r="G352" t="s">
        <v>39</v>
      </c>
      <c r="H352" s="8" t="s">
        <v>64</v>
      </c>
      <c r="I352" s="10">
        <v>2</v>
      </c>
      <c r="J352" t="str">
        <f t="shared" si="25"/>
        <v>Near</v>
      </c>
      <c r="K352">
        <v>1</v>
      </c>
      <c r="L352" t="s">
        <v>63</v>
      </c>
      <c r="M352">
        <v>3</v>
      </c>
      <c r="N352">
        <v>3</v>
      </c>
      <c r="O352">
        <v>1</v>
      </c>
      <c r="P352" t="s">
        <v>64</v>
      </c>
      <c r="Q352">
        <v>3</v>
      </c>
      <c r="R352" s="11">
        <v>544</v>
      </c>
      <c r="S352" s="14">
        <v>52</v>
      </c>
      <c r="T352" s="13">
        <v>2696</v>
      </c>
      <c r="U352" s="13">
        <f t="shared" si="26"/>
        <v>32352</v>
      </c>
      <c r="V352" s="14">
        <v>24017</v>
      </c>
      <c r="W352">
        <v>0</v>
      </c>
      <c r="X352" s="8" t="s">
        <v>38</v>
      </c>
      <c r="Y352" s="15">
        <v>0.11</v>
      </c>
      <c r="Z352">
        <v>3</v>
      </c>
      <c r="AA352">
        <v>3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 t="str">
        <f t="shared" si="27"/>
        <v>0-3</v>
      </c>
      <c r="AI352">
        <v>1</v>
      </c>
      <c r="AJ352" t="str">
        <f t="shared" si="28"/>
        <v>0-2</v>
      </c>
      <c r="AK352">
        <v>0</v>
      </c>
    </row>
    <row r="353" spans="1:37" x14ac:dyDescent="0.25">
      <c r="A353" s="8">
        <v>352</v>
      </c>
      <c r="B353" t="s">
        <v>52</v>
      </c>
      <c r="C353" t="s">
        <v>45</v>
      </c>
      <c r="D353" s="8">
        <v>32</v>
      </c>
      <c r="E353" t="str">
        <f t="shared" si="29"/>
        <v>26-35</v>
      </c>
      <c r="F353" t="s">
        <v>46</v>
      </c>
      <c r="G353" t="s">
        <v>39</v>
      </c>
      <c r="H353" s="8" t="s">
        <v>48</v>
      </c>
      <c r="I353" s="10">
        <v>2</v>
      </c>
      <c r="J353" t="str">
        <f t="shared" si="25"/>
        <v>Near</v>
      </c>
      <c r="K353">
        <v>3</v>
      </c>
      <c r="L353" t="s">
        <v>53</v>
      </c>
      <c r="M353">
        <v>3</v>
      </c>
      <c r="N353">
        <v>3</v>
      </c>
      <c r="O353">
        <v>1</v>
      </c>
      <c r="P353" t="s">
        <v>51</v>
      </c>
      <c r="Q353">
        <v>2</v>
      </c>
      <c r="R353" s="11">
        <v>1062</v>
      </c>
      <c r="S353" s="14">
        <v>75</v>
      </c>
      <c r="T353" s="13">
        <v>2370</v>
      </c>
      <c r="U353" s="13">
        <f t="shared" si="26"/>
        <v>28440</v>
      </c>
      <c r="V353" s="14">
        <v>3956</v>
      </c>
      <c r="W353">
        <v>1</v>
      </c>
      <c r="X353" s="8" t="s">
        <v>46</v>
      </c>
      <c r="Y353" s="15">
        <v>0.13</v>
      </c>
      <c r="Z353">
        <v>3</v>
      </c>
      <c r="AA353">
        <v>3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 t="str">
        <f t="shared" si="27"/>
        <v>0-3</v>
      </c>
      <c r="AI353">
        <v>0</v>
      </c>
      <c r="AJ353" t="str">
        <f t="shared" si="28"/>
        <v>0-2</v>
      </c>
      <c r="AK353">
        <v>7</v>
      </c>
    </row>
    <row r="354" spans="1:37" x14ac:dyDescent="0.25">
      <c r="A354" s="8">
        <v>353</v>
      </c>
      <c r="B354" t="s">
        <v>52</v>
      </c>
      <c r="C354" t="s">
        <v>45</v>
      </c>
      <c r="D354" s="8">
        <v>48</v>
      </c>
      <c r="E354" t="str">
        <f t="shared" si="29"/>
        <v>46-55</v>
      </c>
      <c r="F354" t="s">
        <v>46</v>
      </c>
      <c r="G354" t="s">
        <v>39</v>
      </c>
      <c r="H354" s="8" t="s">
        <v>40</v>
      </c>
      <c r="I354" s="10">
        <v>29</v>
      </c>
      <c r="J354" t="str">
        <f t="shared" si="25"/>
        <v>Far</v>
      </c>
      <c r="K354">
        <v>1</v>
      </c>
      <c r="L354" t="s">
        <v>53</v>
      </c>
      <c r="M354">
        <v>1</v>
      </c>
      <c r="N354">
        <v>3</v>
      </c>
      <c r="O354">
        <v>3</v>
      </c>
      <c r="P354" t="s">
        <v>59</v>
      </c>
      <c r="Q354">
        <v>3</v>
      </c>
      <c r="R354" s="11">
        <v>530</v>
      </c>
      <c r="S354" s="14">
        <v>91</v>
      </c>
      <c r="T354" s="13">
        <v>12504</v>
      </c>
      <c r="U354" s="13">
        <f t="shared" si="26"/>
        <v>150048</v>
      </c>
      <c r="V354" s="14">
        <v>23978</v>
      </c>
      <c r="W354">
        <v>3</v>
      </c>
      <c r="X354" s="8" t="s">
        <v>46</v>
      </c>
      <c r="Y354" s="15">
        <v>0.21</v>
      </c>
      <c r="Z354">
        <v>4</v>
      </c>
      <c r="AA354">
        <v>2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 t="str">
        <f t="shared" si="27"/>
        <v>0-3</v>
      </c>
      <c r="AI354">
        <v>0</v>
      </c>
      <c r="AJ354" t="str">
        <f t="shared" si="28"/>
        <v>0-2</v>
      </c>
      <c r="AK354">
        <v>0</v>
      </c>
    </row>
    <row r="355" spans="1:37" x14ac:dyDescent="0.25">
      <c r="A355" s="8">
        <v>354</v>
      </c>
      <c r="B355" t="s">
        <v>44</v>
      </c>
      <c r="C355" t="s">
        <v>54</v>
      </c>
      <c r="D355" s="8">
        <v>37</v>
      </c>
      <c r="E355" t="str">
        <f t="shared" si="29"/>
        <v>36-45</v>
      </c>
      <c r="F355" t="s">
        <v>46</v>
      </c>
      <c r="G355" t="s">
        <v>39</v>
      </c>
      <c r="H355" s="8" t="s">
        <v>48</v>
      </c>
      <c r="I355" s="10">
        <v>6</v>
      </c>
      <c r="J355" t="str">
        <f t="shared" si="25"/>
        <v>Moderate</v>
      </c>
      <c r="K355">
        <v>3</v>
      </c>
      <c r="L355" t="s">
        <v>53</v>
      </c>
      <c r="M355">
        <v>3</v>
      </c>
      <c r="N355">
        <v>4</v>
      </c>
      <c r="O355">
        <v>2</v>
      </c>
      <c r="P355" t="s">
        <v>49</v>
      </c>
      <c r="Q355">
        <v>1</v>
      </c>
      <c r="R355" s="11">
        <v>1319</v>
      </c>
      <c r="S355" s="14">
        <v>51</v>
      </c>
      <c r="T355" s="13">
        <v>5974</v>
      </c>
      <c r="U355" s="13">
        <f t="shared" si="26"/>
        <v>71688</v>
      </c>
      <c r="V355" s="14">
        <v>17001</v>
      </c>
      <c r="W355">
        <v>4</v>
      </c>
      <c r="X355" s="8" t="s">
        <v>38</v>
      </c>
      <c r="Y355" s="15">
        <v>0.13</v>
      </c>
      <c r="Z355">
        <v>3</v>
      </c>
      <c r="AA355">
        <v>1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 t="str">
        <f t="shared" si="27"/>
        <v>4-7</v>
      </c>
      <c r="AI355">
        <v>6</v>
      </c>
      <c r="AJ355" t="str">
        <f t="shared" si="28"/>
        <v>6-8</v>
      </c>
      <c r="AK355">
        <v>7</v>
      </c>
    </row>
    <row r="356" spans="1:37" x14ac:dyDescent="0.25">
      <c r="A356" s="8">
        <v>355</v>
      </c>
      <c r="B356" t="s">
        <v>52</v>
      </c>
      <c r="C356" t="s">
        <v>45</v>
      </c>
      <c r="D356" s="8">
        <v>30</v>
      </c>
      <c r="E356" t="str">
        <f t="shared" si="29"/>
        <v>26-35</v>
      </c>
      <c r="F356" t="s">
        <v>46</v>
      </c>
      <c r="G356" t="s">
        <v>58</v>
      </c>
      <c r="H356" s="8" t="s">
        <v>40</v>
      </c>
      <c r="I356" s="10">
        <v>25</v>
      </c>
      <c r="J356" t="str">
        <f t="shared" si="25"/>
        <v>Far</v>
      </c>
      <c r="K356">
        <v>2</v>
      </c>
      <c r="L356" t="s">
        <v>63</v>
      </c>
      <c r="M356">
        <v>4</v>
      </c>
      <c r="N356">
        <v>3</v>
      </c>
      <c r="O356">
        <v>2</v>
      </c>
      <c r="P356" t="s">
        <v>42</v>
      </c>
      <c r="Q356">
        <v>3</v>
      </c>
      <c r="R356" s="11">
        <v>641</v>
      </c>
      <c r="S356" s="14">
        <v>85</v>
      </c>
      <c r="T356" s="13">
        <v>4736</v>
      </c>
      <c r="U356" s="13">
        <f t="shared" si="26"/>
        <v>56832</v>
      </c>
      <c r="V356" s="14">
        <v>6069</v>
      </c>
      <c r="W356">
        <v>7</v>
      </c>
      <c r="X356" s="8" t="s">
        <v>38</v>
      </c>
      <c r="Y356" s="15">
        <v>0.12</v>
      </c>
      <c r="Z356">
        <v>3</v>
      </c>
      <c r="AA356">
        <v>2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 t="str">
        <f t="shared" si="27"/>
        <v>0-3</v>
      </c>
      <c r="AI356">
        <v>2</v>
      </c>
      <c r="AJ356" t="str">
        <f t="shared" si="28"/>
        <v>0-2</v>
      </c>
      <c r="AK356">
        <v>2</v>
      </c>
    </row>
    <row r="357" spans="1:37" x14ac:dyDescent="0.25">
      <c r="A357" s="8">
        <v>356</v>
      </c>
      <c r="B357" t="s">
        <v>44</v>
      </c>
      <c r="C357" t="s">
        <v>45</v>
      </c>
      <c r="D357" s="8">
        <v>26</v>
      </c>
      <c r="E357" t="str">
        <f t="shared" si="29"/>
        <v>26-35</v>
      </c>
      <c r="F357" t="s">
        <v>46</v>
      </c>
      <c r="G357" t="s">
        <v>39</v>
      </c>
      <c r="H357" s="8" t="s">
        <v>40</v>
      </c>
      <c r="I357" s="10">
        <v>1</v>
      </c>
      <c r="J357" t="str">
        <f t="shared" si="25"/>
        <v>Near</v>
      </c>
      <c r="K357">
        <v>3</v>
      </c>
      <c r="L357" t="s">
        <v>41</v>
      </c>
      <c r="M357">
        <v>3</v>
      </c>
      <c r="N357">
        <v>3</v>
      </c>
      <c r="O357">
        <v>2</v>
      </c>
      <c r="P357" t="s">
        <v>42</v>
      </c>
      <c r="Q357">
        <v>3</v>
      </c>
      <c r="R357" s="11">
        <v>933</v>
      </c>
      <c r="S357" s="14">
        <v>57</v>
      </c>
      <c r="T357" s="13">
        <v>5296</v>
      </c>
      <c r="U357" s="13">
        <f t="shared" si="26"/>
        <v>63552</v>
      </c>
      <c r="V357" s="14">
        <v>20156</v>
      </c>
      <c r="W357">
        <v>1</v>
      </c>
      <c r="X357" s="8" t="s">
        <v>46</v>
      </c>
      <c r="Y357" s="15">
        <v>0.17</v>
      </c>
      <c r="Z357">
        <v>3</v>
      </c>
      <c r="AA357">
        <v>2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 t="str">
        <f t="shared" si="27"/>
        <v>4-7</v>
      </c>
      <c r="AI357">
        <v>7</v>
      </c>
      <c r="AJ357" t="str">
        <f t="shared" si="28"/>
        <v>6-8</v>
      </c>
      <c r="AK357">
        <v>7</v>
      </c>
    </row>
    <row r="358" spans="1:37" x14ac:dyDescent="0.25">
      <c r="A358" s="8">
        <v>357</v>
      </c>
      <c r="B358" t="s">
        <v>44</v>
      </c>
      <c r="C358" t="s">
        <v>37</v>
      </c>
      <c r="D358" s="8">
        <v>42</v>
      </c>
      <c r="E358" t="str">
        <f t="shared" si="29"/>
        <v>36-45</v>
      </c>
      <c r="F358" t="s">
        <v>46</v>
      </c>
      <c r="G358" t="s">
        <v>39</v>
      </c>
      <c r="H358" s="8" t="s">
        <v>48</v>
      </c>
      <c r="I358" s="10">
        <v>2</v>
      </c>
      <c r="J358" t="str">
        <f t="shared" si="25"/>
        <v>Near</v>
      </c>
      <c r="K358">
        <v>4</v>
      </c>
      <c r="L358" t="s">
        <v>50</v>
      </c>
      <c r="M358">
        <v>1</v>
      </c>
      <c r="N358">
        <v>2</v>
      </c>
      <c r="O358">
        <v>2</v>
      </c>
      <c r="P358" t="s">
        <v>56</v>
      </c>
      <c r="Q358">
        <v>4</v>
      </c>
      <c r="R358" s="11">
        <v>1332</v>
      </c>
      <c r="S358" s="14">
        <v>98</v>
      </c>
      <c r="T358" s="13">
        <v>6781</v>
      </c>
      <c r="U358" s="13">
        <f t="shared" si="26"/>
        <v>81372</v>
      </c>
      <c r="V358" s="14">
        <v>17078</v>
      </c>
      <c r="W358">
        <v>3</v>
      </c>
      <c r="X358" s="8" t="s">
        <v>46</v>
      </c>
      <c r="Y358" s="15">
        <v>0.23</v>
      </c>
      <c r="Z358">
        <v>4</v>
      </c>
      <c r="AA358">
        <v>2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 t="str">
        <f t="shared" si="27"/>
        <v>0-3</v>
      </c>
      <c r="AI358">
        <v>0</v>
      </c>
      <c r="AJ358" t="str">
        <f t="shared" si="28"/>
        <v>0-2</v>
      </c>
      <c r="AK358">
        <v>0</v>
      </c>
    </row>
    <row r="359" spans="1:37" x14ac:dyDescent="0.25">
      <c r="A359" s="8">
        <v>358</v>
      </c>
      <c r="B359" t="s">
        <v>52</v>
      </c>
      <c r="C359" t="s">
        <v>37</v>
      </c>
      <c r="D359" s="8">
        <v>21</v>
      </c>
      <c r="E359" t="str">
        <f t="shared" si="29"/>
        <v>18-25</v>
      </c>
      <c r="F359" t="s">
        <v>38</v>
      </c>
      <c r="G359" t="s">
        <v>47</v>
      </c>
      <c r="H359" s="8" t="s">
        <v>40</v>
      </c>
      <c r="I359" s="10">
        <v>1</v>
      </c>
      <c r="J359" t="str">
        <f t="shared" si="25"/>
        <v>Near</v>
      </c>
      <c r="K359">
        <v>1</v>
      </c>
      <c r="L359" t="s">
        <v>63</v>
      </c>
      <c r="M359">
        <v>1</v>
      </c>
      <c r="N359">
        <v>2</v>
      </c>
      <c r="O359">
        <v>1</v>
      </c>
      <c r="P359" t="s">
        <v>60</v>
      </c>
      <c r="Q359">
        <v>2</v>
      </c>
      <c r="R359" s="11">
        <v>756</v>
      </c>
      <c r="S359" s="14">
        <v>99</v>
      </c>
      <c r="T359" s="13">
        <v>2174</v>
      </c>
      <c r="U359" s="13">
        <f t="shared" si="26"/>
        <v>26088</v>
      </c>
      <c r="V359" s="14">
        <v>9150</v>
      </c>
      <c r="W359">
        <v>1</v>
      </c>
      <c r="X359" s="8" t="s">
        <v>38</v>
      </c>
      <c r="Y359" s="15">
        <v>0.11</v>
      </c>
      <c r="Z359">
        <v>3</v>
      </c>
      <c r="AA359">
        <v>3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 t="str">
        <f t="shared" si="27"/>
        <v>0-3</v>
      </c>
      <c r="AI359">
        <v>1</v>
      </c>
      <c r="AJ359" t="str">
        <f t="shared" si="28"/>
        <v>0-2</v>
      </c>
      <c r="AK359">
        <v>2</v>
      </c>
    </row>
    <row r="360" spans="1:37" x14ac:dyDescent="0.25">
      <c r="A360" s="8">
        <v>359</v>
      </c>
      <c r="B360" t="s">
        <v>52</v>
      </c>
      <c r="C360" t="s">
        <v>37</v>
      </c>
      <c r="D360" s="8">
        <v>36</v>
      </c>
      <c r="E360" t="str">
        <f t="shared" si="29"/>
        <v>36-45</v>
      </c>
      <c r="F360" t="s">
        <v>46</v>
      </c>
      <c r="G360" t="s">
        <v>58</v>
      </c>
      <c r="H360" s="8" t="s">
        <v>40</v>
      </c>
      <c r="I360" s="10">
        <v>1</v>
      </c>
      <c r="J360" t="str">
        <f t="shared" si="25"/>
        <v>Near</v>
      </c>
      <c r="K360">
        <v>5</v>
      </c>
      <c r="L360" t="s">
        <v>53</v>
      </c>
      <c r="M360">
        <v>4</v>
      </c>
      <c r="N360">
        <v>3</v>
      </c>
      <c r="O360">
        <v>2</v>
      </c>
      <c r="P360" t="s">
        <v>42</v>
      </c>
      <c r="Q360">
        <v>4</v>
      </c>
      <c r="R360" s="11">
        <v>845</v>
      </c>
      <c r="S360" s="14">
        <v>45</v>
      </c>
      <c r="T360" s="13">
        <v>6653</v>
      </c>
      <c r="U360" s="13">
        <f t="shared" si="26"/>
        <v>79836</v>
      </c>
      <c r="V360" s="14">
        <v>15276</v>
      </c>
      <c r="W360">
        <v>4</v>
      </c>
      <c r="X360" s="8" t="s">
        <v>46</v>
      </c>
      <c r="Y360" s="15">
        <v>0.15</v>
      </c>
      <c r="Z360">
        <v>3</v>
      </c>
      <c r="AA360">
        <v>2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 t="str">
        <f t="shared" si="27"/>
        <v>0-3</v>
      </c>
      <c r="AI360">
        <v>0</v>
      </c>
      <c r="AJ360" t="str">
        <f t="shared" si="28"/>
        <v>0-2</v>
      </c>
      <c r="AK360">
        <v>0</v>
      </c>
    </row>
    <row r="361" spans="1:37" x14ac:dyDescent="0.25">
      <c r="A361" s="8">
        <v>360</v>
      </c>
      <c r="B361" t="s">
        <v>44</v>
      </c>
      <c r="C361" t="s">
        <v>45</v>
      </c>
      <c r="D361" s="8">
        <v>36</v>
      </c>
      <c r="E361" t="str">
        <f t="shared" si="29"/>
        <v>36-45</v>
      </c>
      <c r="F361" t="s">
        <v>46</v>
      </c>
      <c r="G361" t="s">
        <v>47</v>
      </c>
      <c r="H361" s="8" t="s">
        <v>40</v>
      </c>
      <c r="I361" s="10">
        <v>3</v>
      </c>
      <c r="J361" t="str">
        <f t="shared" si="25"/>
        <v>Near</v>
      </c>
      <c r="K361">
        <v>4</v>
      </c>
      <c r="L361" t="s">
        <v>53</v>
      </c>
      <c r="M361">
        <v>1</v>
      </c>
      <c r="N361">
        <v>2</v>
      </c>
      <c r="O361">
        <v>3</v>
      </c>
      <c r="P361" t="s">
        <v>42</v>
      </c>
      <c r="Q361">
        <v>4</v>
      </c>
      <c r="R361" s="11">
        <v>541</v>
      </c>
      <c r="S361" s="14">
        <v>48</v>
      </c>
      <c r="T361" s="13">
        <v>9699</v>
      </c>
      <c r="U361" s="13">
        <f t="shared" si="26"/>
        <v>116388</v>
      </c>
      <c r="V361" s="14">
        <v>7246</v>
      </c>
      <c r="W361">
        <v>4</v>
      </c>
      <c r="X361" s="8" t="s">
        <v>46</v>
      </c>
      <c r="Y361" s="15">
        <v>0.11</v>
      </c>
      <c r="Z361">
        <v>3</v>
      </c>
      <c r="AA361">
        <v>1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 t="str">
        <f t="shared" si="27"/>
        <v>8-11</v>
      </c>
      <c r="AI361">
        <v>1</v>
      </c>
      <c r="AJ361" t="str">
        <f t="shared" si="28"/>
        <v>0-2</v>
      </c>
      <c r="AK361">
        <v>12</v>
      </c>
    </row>
    <row r="362" spans="1:37" x14ac:dyDescent="0.25">
      <c r="A362" s="8">
        <v>361</v>
      </c>
      <c r="B362" t="s">
        <v>44</v>
      </c>
      <c r="C362" t="s">
        <v>45</v>
      </c>
      <c r="D362" s="8">
        <v>57</v>
      </c>
      <c r="E362" t="str">
        <f t="shared" si="29"/>
        <v>55+</v>
      </c>
      <c r="F362" t="s">
        <v>46</v>
      </c>
      <c r="G362" t="s">
        <v>39</v>
      </c>
      <c r="H362" s="8" t="s">
        <v>48</v>
      </c>
      <c r="I362" s="10">
        <v>1</v>
      </c>
      <c r="J362" t="str">
        <f t="shared" si="25"/>
        <v>Near</v>
      </c>
      <c r="K362">
        <v>4</v>
      </c>
      <c r="L362" t="s">
        <v>53</v>
      </c>
      <c r="M362">
        <v>4</v>
      </c>
      <c r="N362">
        <v>3</v>
      </c>
      <c r="O362">
        <v>2</v>
      </c>
      <c r="P362" t="s">
        <v>56</v>
      </c>
      <c r="Q362">
        <v>3</v>
      </c>
      <c r="R362" s="11">
        <v>593</v>
      </c>
      <c r="S362" s="14">
        <v>88</v>
      </c>
      <c r="T362" s="13">
        <v>6755</v>
      </c>
      <c r="U362" s="13">
        <f t="shared" si="26"/>
        <v>81060</v>
      </c>
      <c r="V362" s="14">
        <v>2967</v>
      </c>
      <c r="W362">
        <v>2</v>
      </c>
      <c r="X362" s="8" t="s">
        <v>46</v>
      </c>
      <c r="Y362" s="15">
        <v>0.11</v>
      </c>
      <c r="Z362">
        <v>3</v>
      </c>
      <c r="AA362">
        <v>3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 t="str">
        <f t="shared" si="27"/>
        <v>0-3</v>
      </c>
      <c r="AI362">
        <v>1</v>
      </c>
      <c r="AJ362" t="str">
        <f t="shared" si="28"/>
        <v>0-2</v>
      </c>
      <c r="AK362">
        <v>2</v>
      </c>
    </row>
    <row r="363" spans="1:37" x14ac:dyDescent="0.25">
      <c r="A363" s="8">
        <v>362</v>
      </c>
      <c r="B363" t="s">
        <v>52</v>
      </c>
      <c r="C363" t="s">
        <v>45</v>
      </c>
      <c r="D363" s="8">
        <v>40</v>
      </c>
      <c r="E363" t="str">
        <f t="shared" si="29"/>
        <v>36-45</v>
      </c>
      <c r="F363" t="s">
        <v>46</v>
      </c>
      <c r="G363" t="s">
        <v>39</v>
      </c>
      <c r="H363" s="8" t="s">
        <v>48</v>
      </c>
      <c r="I363" s="10">
        <v>10</v>
      </c>
      <c r="J363" t="str">
        <f t="shared" si="25"/>
        <v>Moderate</v>
      </c>
      <c r="K363">
        <v>4</v>
      </c>
      <c r="L363" t="s">
        <v>41</v>
      </c>
      <c r="M363">
        <v>4</v>
      </c>
      <c r="N363">
        <v>4</v>
      </c>
      <c r="O363">
        <v>1</v>
      </c>
      <c r="P363" t="s">
        <v>51</v>
      </c>
      <c r="Q363">
        <v>3</v>
      </c>
      <c r="R363" s="11">
        <v>1171</v>
      </c>
      <c r="S363" s="14">
        <v>46</v>
      </c>
      <c r="T363" s="13">
        <v>2213</v>
      </c>
      <c r="U363" s="13">
        <f t="shared" si="26"/>
        <v>26556</v>
      </c>
      <c r="V363" s="14">
        <v>22495</v>
      </c>
      <c r="W363">
        <v>3</v>
      </c>
      <c r="X363" s="8" t="s">
        <v>38</v>
      </c>
      <c r="Y363" s="15">
        <v>0.13</v>
      </c>
      <c r="Z363">
        <v>3</v>
      </c>
      <c r="AA363">
        <v>3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 t="str">
        <f t="shared" si="27"/>
        <v>4-7</v>
      </c>
      <c r="AI363">
        <v>1</v>
      </c>
      <c r="AJ363" t="str">
        <f t="shared" si="28"/>
        <v>0-2</v>
      </c>
      <c r="AK363">
        <v>7</v>
      </c>
    </row>
    <row r="364" spans="1:37" x14ac:dyDescent="0.25">
      <c r="A364" s="8">
        <v>363</v>
      </c>
      <c r="B364" t="s">
        <v>44</v>
      </c>
      <c r="C364" t="s">
        <v>37</v>
      </c>
      <c r="D364" s="8">
        <v>21</v>
      </c>
      <c r="E364" t="str">
        <f t="shared" si="29"/>
        <v>18-25</v>
      </c>
      <c r="F364" t="s">
        <v>46</v>
      </c>
      <c r="G364" t="s">
        <v>58</v>
      </c>
      <c r="H364" s="8" t="s">
        <v>40</v>
      </c>
      <c r="I364" s="10">
        <v>9</v>
      </c>
      <c r="J364" t="str">
        <f t="shared" si="25"/>
        <v>Moderate</v>
      </c>
      <c r="K364">
        <v>2</v>
      </c>
      <c r="L364" t="s">
        <v>53</v>
      </c>
      <c r="M364">
        <v>1</v>
      </c>
      <c r="N364">
        <v>3</v>
      </c>
      <c r="O364">
        <v>1</v>
      </c>
      <c r="P364" t="s">
        <v>60</v>
      </c>
      <c r="Q364">
        <v>4</v>
      </c>
      <c r="R364" s="11">
        <v>895</v>
      </c>
      <c r="S364" s="14">
        <v>39</v>
      </c>
      <c r="T364" s="13">
        <v>2610</v>
      </c>
      <c r="U364" s="13">
        <f t="shared" si="26"/>
        <v>31320</v>
      </c>
      <c r="V364" s="14">
        <v>2851</v>
      </c>
      <c r="W364">
        <v>1</v>
      </c>
      <c r="X364" s="8" t="s">
        <v>46</v>
      </c>
      <c r="Y364" s="15">
        <v>0.24</v>
      </c>
      <c r="Z364">
        <v>4</v>
      </c>
      <c r="AA364">
        <v>3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 t="str">
        <f t="shared" si="27"/>
        <v>0-3</v>
      </c>
      <c r="AI364">
        <v>2</v>
      </c>
      <c r="AJ364" t="str">
        <f t="shared" si="28"/>
        <v>0-2</v>
      </c>
      <c r="AK364">
        <v>2</v>
      </c>
    </row>
    <row r="365" spans="1:37" x14ac:dyDescent="0.25">
      <c r="A365" s="8">
        <v>364</v>
      </c>
      <c r="B365" t="s">
        <v>52</v>
      </c>
      <c r="C365" t="s">
        <v>37</v>
      </c>
      <c r="D365" s="8">
        <v>33</v>
      </c>
      <c r="E365" t="str">
        <f t="shared" si="29"/>
        <v>26-35</v>
      </c>
      <c r="F365" t="s">
        <v>38</v>
      </c>
      <c r="G365" t="s">
        <v>39</v>
      </c>
      <c r="H365" s="8" t="s">
        <v>40</v>
      </c>
      <c r="I365" s="10">
        <v>5</v>
      </c>
      <c r="J365" t="str">
        <f t="shared" si="25"/>
        <v>Near</v>
      </c>
      <c r="K365">
        <v>3</v>
      </c>
      <c r="L365" t="s">
        <v>62</v>
      </c>
      <c r="M365">
        <v>4</v>
      </c>
      <c r="N365">
        <v>3</v>
      </c>
      <c r="O365">
        <v>1</v>
      </c>
      <c r="P365" t="s">
        <v>60</v>
      </c>
      <c r="Q365">
        <v>3</v>
      </c>
      <c r="R365" s="11">
        <v>350</v>
      </c>
      <c r="S365" s="14">
        <v>34</v>
      </c>
      <c r="T365" s="13">
        <v>2851</v>
      </c>
      <c r="U365" s="13">
        <f t="shared" si="26"/>
        <v>34212</v>
      </c>
      <c r="V365" s="14">
        <v>9150</v>
      </c>
      <c r="W365">
        <v>1</v>
      </c>
      <c r="X365" s="8" t="s">
        <v>38</v>
      </c>
      <c r="Y365" s="15">
        <v>0.13</v>
      </c>
      <c r="Z365">
        <v>3</v>
      </c>
      <c r="AA365">
        <v>2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 t="str">
        <f t="shared" si="27"/>
        <v>0-3</v>
      </c>
      <c r="AI365">
        <v>0</v>
      </c>
      <c r="AJ365" t="str">
        <f t="shared" si="28"/>
        <v>0-2</v>
      </c>
      <c r="AK365">
        <v>0</v>
      </c>
    </row>
    <row r="366" spans="1:37" x14ac:dyDescent="0.25">
      <c r="A366" s="8">
        <v>365</v>
      </c>
      <c r="B366" t="s">
        <v>52</v>
      </c>
      <c r="C366" t="s">
        <v>45</v>
      </c>
      <c r="D366" s="8">
        <v>37</v>
      </c>
      <c r="E366" t="str">
        <f t="shared" si="29"/>
        <v>36-45</v>
      </c>
      <c r="F366" t="s">
        <v>46</v>
      </c>
      <c r="G366" t="s">
        <v>39</v>
      </c>
      <c r="H366" s="8" t="s">
        <v>48</v>
      </c>
      <c r="I366" s="10">
        <v>10</v>
      </c>
      <c r="J366" t="str">
        <f t="shared" si="25"/>
        <v>Moderate</v>
      </c>
      <c r="K366">
        <v>3</v>
      </c>
      <c r="L366" t="s">
        <v>53</v>
      </c>
      <c r="M366">
        <v>3</v>
      </c>
      <c r="N366">
        <v>3</v>
      </c>
      <c r="O366">
        <v>1</v>
      </c>
      <c r="P366" t="s">
        <v>51</v>
      </c>
      <c r="Q366">
        <v>1</v>
      </c>
      <c r="R366" s="11">
        <v>921</v>
      </c>
      <c r="S366" s="14">
        <v>98</v>
      </c>
      <c r="T366" s="13">
        <v>3452</v>
      </c>
      <c r="U366" s="13">
        <f t="shared" si="26"/>
        <v>41424</v>
      </c>
      <c r="V366" s="14">
        <v>17663</v>
      </c>
      <c r="W366">
        <v>6</v>
      </c>
      <c r="X366" s="8" t="s">
        <v>46</v>
      </c>
      <c r="Y366" s="15">
        <v>0.2</v>
      </c>
      <c r="Z366">
        <v>4</v>
      </c>
      <c r="AA366">
        <v>2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 t="str">
        <f t="shared" si="27"/>
        <v>4-7</v>
      </c>
      <c r="AI366">
        <v>0</v>
      </c>
      <c r="AJ366" t="str">
        <f t="shared" si="28"/>
        <v>0-2</v>
      </c>
      <c r="AK366">
        <v>3</v>
      </c>
    </row>
    <row r="367" spans="1:37" x14ac:dyDescent="0.25">
      <c r="A367" s="8">
        <v>366</v>
      </c>
      <c r="B367" t="s">
        <v>52</v>
      </c>
      <c r="C367" t="s">
        <v>45</v>
      </c>
      <c r="D367" s="8">
        <v>46</v>
      </c>
      <c r="E367" t="str">
        <f t="shared" si="29"/>
        <v>46-55</v>
      </c>
      <c r="F367" t="s">
        <v>46</v>
      </c>
      <c r="G367" t="s">
        <v>58</v>
      </c>
      <c r="H367" s="8" t="s">
        <v>48</v>
      </c>
      <c r="I367" s="10">
        <v>7</v>
      </c>
      <c r="J367" t="str">
        <f t="shared" si="25"/>
        <v>Moderate</v>
      </c>
      <c r="K367">
        <v>4</v>
      </c>
      <c r="L367" t="s">
        <v>53</v>
      </c>
      <c r="M367">
        <v>3</v>
      </c>
      <c r="N367">
        <v>3</v>
      </c>
      <c r="O367">
        <v>2</v>
      </c>
      <c r="P367" t="s">
        <v>55</v>
      </c>
      <c r="Q367">
        <v>3</v>
      </c>
      <c r="R367" s="11">
        <v>1144</v>
      </c>
      <c r="S367" s="14">
        <v>30</v>
      </c>
      <c r="T367" s="13">
        <v>5258</v>
      </c>
      <c r="U367" s="13">
        <f t="shared" si="26"/>
        <v>63096</v>
      </c>
      <c r="V367" s="14">
        <v>16044</v>
      </c>
      <c r="W367">
        <v>2</v>
      </c>
      <c r="X367" s="8" t="s">
        <v>46</v>
      </c>
      <c r="Y367" s="15">
        <v>0.14000000000000001</v>
      </c>
      <c r="Z367">
        <v>3</v>
      </c>
      <c r="AA367">
        <v>3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 t="str">
        <f t="shared" si="27"/>
        <v>0-3</v>
      </c>
      <c r="AI367">
        <v>0</v>
      </c>
      <c r="AJ367" t="str">
        <f t="shared" si="28"/>
        <v>0-2</v>
      </c>
      <c r="AK367">
        <v>0</v>
      </c>
    </row>
    <row r="368" spans="1:37" x14ac:dyDescent="0.25">
      <c r="A368" s="8">
        <v>367</v>
      </c>
      <c r="B368" t="s">
        <v>44</v>
      </c>
      <c r="C368" t="s">
        <v>37</v>
      </c>
      <c r="D368" s="8">
        <v>41</v>
      </c>
      <c r="E368" t="str">
        <f t="shared" si="29"/>
        <v>36-45</v>
      </c>
      <c r="F368" t="s">
        <v>38</v>
      </c>
      <c r="G368" t="s">
        <v>47</v>
      </c>
      <c r="H368" s="8" t="s">
        <v>40</v>
      </c>
      <c r="I368" s="10">
        <v>4</v>
      </c>
      <c r="J368" t="str">
        <f t="shared" si="25"/>
        <v>Near</v>
      </c>
      <c r="K368">
        <v>3</v>
      </c>
      <c r="L368" t="s">
        <v>62</v>
      </c>
      <c r="M368">
        <v>1</v>
      </c>
      <c r="N368">
        <v>3</v>
      </c>
      <c r="O368">
        <v>2</v>
      </c>
      <c r="P368" t="s">
        <v>42</v>
      </c>
      <c r="Q368">
        <v>2</v>
      </c>
      <c r="R368" s="11">
        <v>143</v>
      </c>
      <c r="S368" s="14">
        <v>56</v>
      </c>
      <c r="T368" s="13">
        <v>9355</v>
      </c>
      <c r="U368" s="13">
        <f t="shared" si="26"/>
        <v>112260</v>
      </c>
      <c r="V368" s="14">
        <v>9558</v>
      </c>
      <c r="W368">
        <v>1</v>
      </c>
      <c r="X368" s="8" t="s">
        <v>46</v>
      </c>
      <c r="Y368" s="15">
        <v>0.18</v>
      </c>
      <c r="Z368">
        <v>3</v>
      </c>
      <c r="AA368">
        <v>3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 t="str">
        <f t="shared" si="27"/>
        <v>4-7</v>
      </c>
      <c r="AI368">
        <v>7</v>
      </c>
      <c r="AJ368" t="str">
        <f t="shared" si="28"/>
        <v>6-8</v>
      </c>
      <c r="AK368">
        <v>7</v>
      </c>
    </row>
    <row r="369" spans="1:37" x14ac:dyDescent="0.25">
      <c r="A369" s="8">
        <v>368</v>
      </c>
      <c r="B369" t="s">
        <v>44</v>
      </c>
      <c r="C369" t="s">
        <v>37</v>
      </c>
      <c r="D369" s="8">
        <v>50</v>
      </c>
      <c r="E369" t="str">
        <f t="shared" si="29"/>
        <v>46-55</v>
      </c>
      <c r="F369" t="s">
        <v>46</v>
      </c>
      <c r="G369" t="s">
        <v>39</v>
      </c>
      <c r="H369" s="8" t="s">
        <v>48</v>
      </c>
      <c r="I369" s="10">
        <v>10</v>
      </c>
      <c r="J369" t="str">
        <f t="shared" si="25"/>
        <v>Moderate</v>
      </c>
      <c r="K369">
        <v>3</v>
      </c>
      <c r="L369" t="s">
        <v>63</v>
      </c>
      <c r="M369">
        <v>4</v>
      </c>
      <c r="N369">
        <v>2</v>
      </c>
      <c r="O369">
        <v>3</v>
      </c>
      <c r="P369" t="s">
        <v>56</v>
      </c>
      <c r="Q369">
        <v>4</v>
      </c>
      <c r="R369" s="11">
        <v>1046</v>
      </c>
      <c r="S369" s="14">
        <v>100</v>
      </c>
      <c r="T369" s="13">
        <v>10496</v>
      </c>
      <c r="U369" s="13">
        <f t="shared" si="26"/>
        <v>125952</v>
      </c>
      <c r="V369" s="14">
        <v>2755</v>
      </c>
      <c r="W369">
        <v>6</v>
      </c>
      <c r="X369" s="8" t="s">
        <v>46</v>
      </c>
      <c r="Y369" s="15">
        <v>0.15</v>
      </c>
      <c r="Z369">
        <v>3</v>
      </c>
      <c r="AA369">
        <v>4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 t="str">
        <f t="shared" si="27"/>
        <v>0-3</v>
      </c>
      <c r="AI369">
        <v>1</v>
      </c>
      <c r="AJ369" t="str">
        <f t="shared" si="28"/>
        <v>0-2</v>
      </c>
      <c r="AK369">
        <v>3</v>
      </c>
    </row>
    <row r="370" spans="1:37" x14ac:dyDescent="0.25">
      <c r="A370" s="8">
        <v>369</v>
      </c>
      <c r="B370" t="s">
        <v>44</v>
      </c>
      <c r="C370" t="s">
        <v>45</v>
      </c>
      <c r="D370" s="8">
        <v>40</v>
      </c>
      <c r="E370" t="str">
        <f t="shared" si="29"/>
        <v>36-45</v>
      </c>
      <c r="F370" t="s">
        <v>38</v>
      </c>
      <c r="G370" t="s">
        <v>39</v>
      </c>
      <c r="H370" s="8" t="s">
        <v>40</v>
      </c>
      <c r="I370" s="10">
        <v>22</v>
      </c>
      <c r="J370" t="str">
        <f t="shared" si="25"/>
        <v>Far</v>
      </c>
      <c r="K370">
        <v>2</v>
      </c>
      <c r="L370" t="s">
        <v>62</v>
      </c>
      <c r="M370">
        <v>3</v>
      </c>
      <c r="N370">
        <v>2</v>
      </c>
      <c r="O370">
        <v>2</v>
      </c>
      <c r="P370" t="s">
        <v>42</v>
      </c>
      <c r="Q370">
        <v>3</v>
      </c>
      <c r="R370" s="11">
        <v>575</v>
      </c>
      <c r="S370" s="14">
        <v>68</v>
      </c>
      <c r="T370" s="13">
        <v>6380</v>
      </c>
      <c r="U370" s="13">
        <f t="shared" si="26"/>
        <v>76560</v>
      </c>
      <c r="V370" s="14">
        <v>6110</v>
      </c>
      <c r="W370">
        <v>2</v>
      </c>
      <c r="X370" s="8" t="s">
        <v>38</v>
      </c>
      <c r="Y370" s="15">
        <v>0.12</v>
      </c>
      <c r="Z370">
        <v>3</v>
      </c>
      <c r="AA370">
        <v>1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 t="str">
        <f t="shared" si="27"/>
        <v>4-7</v>
      </c>
      <c r="AI370">
        <v>1</v>
      </c>
      <c r="AJ370" t="str">
        <f t="shared" si="28"/>
        <v>0-2</v>
      </c>
      <c r="AK370">
        <v>0</v>
      </c>
    </row>
    <row r="371" spans="1:37" x14ac:dyDescent="0.25">
      <c r="A371" s="8">
        <v>370</v>
      </c>
      <c r="B371" t="s">
        <v>44</v>
      </c>
      <c r="C371" t="s">
        <v>37</v>
      </c>
      <c r="D371" s="8">
        <v>31</v>
      </c>
      <c r="E371" t="str">
        <f t="shared" si="29"/>
        <v>26-35</v>
      </c>
      <c r="F371" t="s">
        <v>46</v>
      </c>
      <c r="G371" t="s">
        <v>39</v>
      </c>
      <c r="H371" s="8" t="s">
        <v>48</v>
      </c>
      <c r="I371" s="10">
        <v>9</v>
      </c>
      <c r="J371" t="str">
        <f t="shared" si="25"/>
        <v>Moderate</v>
      </c>
      <c r="K371">
        <v>4</v>
      </c>
      <c r="L371" t="s">
        <v>41</v>
      </c>
      <c r="M371">
        <v>3</v>
      </c>
      <c r="N371">
        <v>2</v>
      </c>
      <c r="O371">
        <v>1</v>
      </c>
      <c r="P371" t="s">
        <v>49</v>
      </c>
      <c r="Q371">
        <v>2</v>
      </c>
      <c r="R371" s="11">
        <v>408</v>
      </c>
      <c r="S371" s="14">
        <v>42</v>
      </c>
      <c r="T371" s="13">
        <v>2657</v>
      </c>
      <c r="U371" s="13">
        <f t="shared" si="26"/>
        <v>31884</v>
      </c>
      <c r="V371" s="14">
        <v>7551</v>
      </c>
      <c r="W371">
        <v>0</v>
      </c>
      <c r="X371" s="8" t="s">
        <v>38</v>
      </c>
      <c r="Y371" s="15">
        <v>0.16</v>
      </c>
      <c r="Z371">
        <v>3</v>
      </c>
      <c r="AA371">
        <v>4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 t="str">
        <f t="shared" si="27"/>
        <v>0-3</v>
      </c>
      <c r="AI371">
        <v>2</v>
      </c>
      <c r="AJ371" t="str">
        <f t="shared" si="28"/>
        <v>0-2</v>
      </c>
      <c r="AK371">
        <v>2</v>
      </c>
    </row>
    <row r="372" spans="1:37" x14ac:dyDescent="0.25">
      <c r="A372" s="8">
        <v>371</v>
      </c>
      <c r="B372" t="s">
        <v>52</v>
      </c>
      <c r="C372" t="s">
        <v>37</v>
      </c>
      <c r="D372" s="8">
        <v>21</v>
      </c>
      <c r="E372" t="str">
        <f t="shared" si="29"/>
        <v>18-25</v>
      </c>
      <c r="F372" t="s">
        <v>38</v>
      </c>
      <c r="G372" t="s">
        <v>39</v>
      </c>
      <c r="H372" s="8" t="s">
        <v>40</v>
      </c>
      <c r="I372" s="10">
        <v>12</v>
      </c>
      <c r="J372" t="str">
        <f t="shared" si="25"/>
        <v>Moderate</v>
      </c>
      <c r="K372">
        <v>3</v>
      </c>
      <c r="L372" t="s">
        <v>41</v>
      </c>
      <c r="M372">
        <v>3</v>
      </c>
      <c r="N372">
        <v>4</v>
      </c>
      <c r="O372">
        <v>1</v>
      </c>
      <c r="P372" t="s">
        <v>60</v>
      </c>
      <c r="Q372">
        <v>2</v>
      </c>
      <c r="R372" s="11">
        <v>156</v>
      </c>
      <c r="S372" s="14">
        <v>90</v>
      </c>
      <c r="T372" s="13">
        <v>2716</v>
      </c>
      <c r="U372" s="13">
        <f t="shared" si="26"/>
        <v>32592</v>
      </c>
      <c r="V372" s="14">
        <v>25422</v>
      </c>
      <c r="W372">
        <v>1</v>
      </c>
      <c r="X372" s="8" t="s">
        <v>46</v>
      </c>
      <c r="Y372" s="15">
        <v>0.15</v>
      </c>
      <c r="Z372">
        <v>3</v>
      </c>
      <c r="AA372">
        <v>4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 t="str">
        <f t="shared" si="27"/>
        <v>0-3</v>
      </c>
      <c r="AI372">
        <v>0</v>
      </c>
      <c r="AJ372" t="str">
        <f t="shared" si="28"/>
        <v>0-2</v>
      </c>
      <c r="AK372">
        <v>0</v>
      </c>
    </row>
    <row r="373" spans="1:37" x14ac:dyDescent="0.25">
      <c r="A373" s="8">
        <v>372</v>
      </c>
      <c r="B373" t="s">
        <v>44</v>
      </c>
      <c r="C373" t="s">
        <v>37</v>
      </c>
      <c r="D373" s="8">
        <v>29</v>
      </c>
      <c r="E373" t="str">
        <f t="shared" si="29"/>
        <v>26-35</v>
      </c>
      <c r="F373" t="s">
        <v>46</v>
      </c>
      <c r="G373" t="s">
        <v>39</v>
      </c>
      <c r="H373" s="8" t="s">
        <v>48</v>
      </c>
      <c r="I373" s="10">
        <v>23</v>
      </c>
      <c r="J373" t="str">
        <f t="shared" si="25"/>
        <v>Far</v>
      </c>
      <c r="K373">
        <v>3</v>
      </c>
      <c r="L373" t="s">
        <v>41</v>
      </c>
      <c r="M373">
        <v>4</v>
      </c>
      <c r="N373">
        <v>3</v>
      </c>
      <c r="O373">
        <v>1</v>
      </c>
      <c r="P373" t="s">
        <v>49</v>
      </c>
      <c r="Q373">
        <v>4</v>
      </c>
      <c r="R373" s="11">
        <v>1283</v>
      </c>
      <c r="S373" s="14">
        <v>54</v>
      </c>
      <c r="T373" s="13">
        <v>2201</v>
      </c>
      <c r="U373" s="13">
        <f t="shared" si="26"/>
        <v>26412</v>
      </c>
      <c r="V373" s="14">
        <v>18168</v>
      </c>
      <c r="W373">
        <v>9</v>
      </c>
      <c r="X373" s="8" t="s">
        <v>46</v>
      </c>
      <c r="Y373" s="15">
        <v>0.16</v>
      </c>
      <c r="Z373">
        <v>3</v>
      </c>
      <c r="AA373">
        <v>4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 t="str">
        <f t="shared" si="27"/>
        <v>0-3</v>
      </c>
      <c r="AI373">
        <v>1</v>
      </c>
      <c r="AJ373" t="str">
        <f t="shared" si="28"/>
        <v>0-2</v>
      </c>
      <c r="AK373">
        <v>2</v>
      </c>
    </row>
    <row r="374" spans="1:37" x14ac:dyDescent="0.25">
      <c r="A374" s="8">
        <v>373</v>
      </c>
      <c r="B374" t="s">
        <v>44</v>
      </c>
      <c r="C374" t="s">
        <v>37</v>
      </c>
      <c r="D374" s="8">
        <v>35</v>
      </c>
      <c r="E374" t="str">
        <f t="shared" si="29"/>
        <v>26-35</v>
      </c>
      <c r="F374" t="s">
        <v>46</v>
      </c>
      <c r="G374" t="s">
        <v>39</v>
      </c>
      <c r="H374" s="8" t="s">
        <v>48</v>
      </c>
      <c r="I374" s="10">
        <v>9</v>
      </c>
      <c r="J374" t="str">
        <f t="shared" si="25"/>
        <v>Moderate</v>
      </c>
      <c r="K374">
        <v>4</v>
      </c>
      <c r="L374" t="s">
        <v>41</v>
      </c>
      <c r="M374">
        <v>3</v>
      </c>
      <c r="N374">
        <v>2</v>
      </c>
      <c r="O374">
        <v>2</v>
      </c>
      <c r="P374" t="s">
        <v>56</v>
      </c>
      <c r="Q374">
        <v>2</v>
      </c>
      <c r="R374" s="11">
        <v>755</v>
      </c>
      <c r="S374" s="14">
        <v>97</v>
      </c>
      <c r="T374" s="13">
        <v>6540</v>
      </c>
      <c r="U374" s="13">
        <f t="shared" si="26"/>
        <v>78480</v>
      </c>
      <c r="V374" s="14">
        <v>19394</v>
      </c>
      <c r="W374">
        <v>9</v>
      </c>
      <c r="X374" s="8" t="s">
        <v>46</v>
      </c>
      <c r="Y374" s="15">
        <v>0.19</v>
      </c>
      <c r="Z374">
        <v>3</v>
      </c>
      <c r="AA374">
        <v>3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 t="str">
        <f t="shared" si="27"/>
        <v>0-3</v>
      </c>
      <c r="AI374">
        <v>0</v>
      </c>
      <c r="AJ374" t="str">
        <f t="shared" si="28"/>
        <v>0-2</v>
      </c>
      <c r="AK374">
        <v>0</v>
      </c>
    </row>
    <row r="375" spans="1:37" x14ac:dyDescent="0.25">
      <c r="A375" s="8">
        <v>374</v>
      </c>
      <c r="B375" t="s">
        <v>44</v>
      </c>
      <c r="C375" t="s">
        <v>54</v>
      </c>
      <c r="D375" s="8">
        <v>27</v>
      </c>
      <c r="E375" t="str">
        <f t="shared" si="29"/>
        <v>26-35</v>
      </c>
      <c r="F375" t="s">
        <v>46</v>
      </c>
      <c r="G375" t="s">
        <v>39</v>
      </c>
      <c r="H375" s="8" t="s">
        <v>48</v>
      </c>
      <c r="I375" s="10">
        <v>1</v>
      </c>
      <c r="J375" t="str">
        <f t="shared" si="25"/>
        <v>Near</v>
      </c>
      <c r="K375">
        <v>2</v>
      </c>
      <c r="L375" t="s">
        <v>53</v>
      </c>
      <c r="M375">
        <v>4</v>
      </c>
      <c r="N375">
        <v>3</v>
      </c>
      <c r="O375">
        <v>1</v>
      </c>
      <c r="P375" t="s">
        <v>51</v>
      </c>
      <c r="Q375">
        <v>2</v>
      </c>
      <c r="R375" s="11">
        <v>1469</v>
      </c>
      <c r="S375" s="14">
        <v>82</v>
      </c>
      <c r="T375" s="13">
        <v>3816</v>
      </c>
      <c r="U375" s="13">
        <f t="shared" si="26"/>
        <v>45792</v>
      </c>
      <c r="V375" s="14">
        <v>17881</v>
      </c>
      <c r="W375">
        <v>1</v>
      </c>
      <c r="X375" s="8" t="s">
        <v>46</v>
      </c>
      <c r="Y375" s="15">
        <v>0.11</v>
      </c>
      <c r="Z375">
        <v>3</v>
      </c>
      <c r="AA375">
        <v>2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 t="str">
        <f t="shared" si="27"/>
        <v>0-3</v>
      </c>
      <c r="AI375">
        <v>0</v>
      </c>
      <c r="AJ375" t="str">
        <f t="shared" si="28"/>
        <v>0-2</v>
      </c>
      <c r="AK375">
        <v>4</v>
      </c>
    </row>
    <row r="376" spans="1:37" x14ac:dyDescent="0.25">
      <c r="A376" s="8">
        <v>375</v>
      </c>
      <c r="B376" t="s">
        <v>44</v>
      </c>
      <c r="C376" t="s">
        <v>37</v>
      </c>
      <c r="D376" s="8">
        <v>28</v>
      </c>
      <c r="E376" t="str">
        <f t="shared" si="29"/>
        <v>26-35</v>
      </c>
      <c r="F376" t="s">
        <v>46</v>
      </c>
      <c r="G376" t="s">
        <v>39</v>
      </c>
      <c r="H376" s="8" t="s">
        <v>40</v>
      </c>
      <c r="I376" s="10">
        <v>9</v>
      </c>
      <c r="J376" t="str">
        <f t="shared" si="25"/>
        <v>Moderate</v>
      </c>
      <c r="K376">
        <v>4</v>
      </c>
      <c r="L376" t="s">
        <v>41</v>
      </c>
      <c r="M376">
        <v>2</v>
      </c>
      <c r="N376">
        <v>3</v>
      </c>
      <c r="O376">
        <v>2</v>
      </c>
      <c r="P376" t="s">
        <v>42</v>
      </c>
      <c r="Q376">
        <v>4</v>
      </c>
      <c r="R376" s="11">
        <v>304</v>
      </c>
      <c r="S376" s="14">
        <v>92</v>
      </c>
      <c r="T376" s="13">
        <v>5253</v>
      </c>
      <c r="U376" s="13">
        <f t="shared" si="26"/>
        <v>63036</v>
      </c>
      <c r="V376" s="14">
        <v>20750</v>
      </c>
      <c r="W376">
        <v>1</v>
      </c>
      <c r="X376" s="8" t="s">
        <v>46</v>
      </c>
      <c r="Y376" s="15">
        <v>0.16</v>
      </c>
      <c r="Z376">
        <v>3</v>
      </c>
      <c r="AA376">
        <v>4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 t="str">
        <f t="shared" si="27"/>
        <v>4-7</v>
      </c>
      <c r="AI376">
        <v>0</v>
      </c>
      <c r="AJ376" t="str">
        <f t="shared" si="28"/>
        <v>0-2</v>
      </c>
      <c r="AK376">
        <v>7</v>
      </c>
    </row>
    <row r="377" spans="1:37" x14ac:dyDescent="0.25">
      <c r="A377" s="8">
        <v>376</v>
      </c>
      <c r="B377" t="s">
        <v>44</v>
      </c>
      <c r="C377" t="s">
        <v>37</v>
      </c>
      <c r="D377" s="8">
        <v>49</v>
      </c>
      <c r="E377" t="str">
        <f t="shared" si="29"/>
        <v>46-55</v>
      </c>
      <c r="F377" t="s">
        <v>46</v>
      </c>
      <c r="G377" t="s">
        <v>39</v>
      </c>
      <c r="H377" s="8" t="s">
        <v>48</v>
      </c>
      <c r="I377" s="10">
        <v>7</v>
      </c>
      <c r="J377" t="str">
        <f t="shared" si="25"/>
        <v>Moderate</v>
      </c>
      <c r="K377">
        <v>3</v>
      </c>
      <c r="L377" t="s">
        <v>50</v>
      </c>
      <c r="M377">
        <v>2</v>
      </c>
      <c r="N377">
        <v>2</v>
      </c>
      <c r="O377">
        <v>3</v>
      </c>
      <c r="P377" t="s">
        <v>56</v>
      </c>
      <c r="Q377">
        <v>3</v>
      </c>
      <c r="R377" s="11">
        <v>1261</v>
      </c>
      <c r="S377" s="14">
        <v>31</v>
      </c>
      <c r="T377" s="13">
        <v>10965</v>
      </c>
      <c r="U377" s="13">
        <f t="shared" si="26"/>
        <v>131580</v>
      </c>
      <c r="V377" s="14">
        <v>12066</v>
      </c>
      <c r="W377">
        <v>8</v>
      </c>
      <c r="X377" s="8" t="s">
        <v>46</v>
      </c>
      <c r="Y377" s="15">
        <v>0.24</v>
      </c>
      <c r="Z377">
        <v>4</v>
      </c>
      <c r="AA377">
        <v>3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 t="str">
        <f t="shared" si="27"/>
        <v>0-3</v>
      </c>
      <c r="AI377">
        <v>0</v>
      </c>
      <c r="AJ377" t="str">
        <f t="shared" si="28"/>
        <v>0-2</v>
      </c>
      <c r="AK377">
        <v>0</v>
      </c>
    </row>
    <row r="378" spans="1:37" x14ac:dyDescent="0.25">
      <c r="A378" s="8">
        <v>377</v>
      </c>
      <c r="B378" t="s">
        <v>52</v>
      </c>
      <c r="C378" t="s">
        <v>45</v>
      </c>
      <c r="D378" s="8">
        <v>51</v>
      </c>
      <c r="E378" t="str">
        <f t="shared" si="29"/>
        <v>46-55</v>
      </c>
      <c r="F378" t="s">
        <v>46</v>
      </c>
      <c r="G378" t="s">
        <v>39</v>
      </c>
      <c r="H378" s="8" t="s">
        <v>40</v>
      </c>
      <c r="I378" s="10">
        <v>14</v>
      </c>
      <c r="J378" t="str">
        <f t="shared" si="25"/>
        <v>Moderate</v>
      </c>
      <c r="K378">
        <v>2</v>
      </c>
      <c r="L378" t="s">
        <v>41</v>
      </c>
      <c r="M378">
        <v>3</v>
      </c>
      <c r="N378">
        <v>3</v>
      </c>
      <c r="O378">
        <v>2</v>
      </c>
      <c r="P378" t="s">
        <v>42</v>
      </c>
      <c r="Q378">
        <v>4</v>
      </c>
      <c r="R378" s="11">
        <v>1178</v>
      </c>
      <c r="S378" s="14">
        <v>87</v>
      </c>
      <c r="T378" s="13">
        <v>4936</v>
      </c>
      <c r="U378" s="13">
        <f t="shared" si="26"/>
        <v>59232</v>
      </c>
      <c r="V378" s="14">
        <v>14862</v>
      </c>
      <c r="W378">
        <v>4</v>
      </c>
      <c r="X378" s="8" t="s">
        <v>46</v>
      </c>
      <c r="Y378" s="15">
        <v>0.11</v>
      </c>
      <c r="Z378">
        <v>3</v>
      </c>
      <c r="AA378">
        <v>3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 t="str">
        <f t="shared" si="27"/>
        <v>4-7</v>
      </c>
      <c r="AI378">
        <v>0</v>
      </c>
      <c r="AJ378" t="str">
        <f t="shared" si="28"/>
        <v>0-2</v>
      </c>
      <c r="AK378">
        <v>7</v>
      </c>
    </row>
    <row r="379" spans="1:37" x14ac:dyDescent="0.25">
      <c r="A379" s="8">
        <v>378</v>
      </c>
      <c r="B379" t="s">
        <v>52</v>
      </c>
      <c r="C379" t="s">
        <v>45</v>
      </c>
      <c r="D379" s="8">
        <v>36</v>
      </c>
      <c r="E379" t="str">
        <f t="shared" si="29"/>
        <v>36-45</v>
      </c>
      <c r="F379" t="s">
        <v>46</v>
      </c>
      <c r="G379" t="s">
        <v>39</v>
      </c>
      <c r="H379" s="8" t="s">
        <v>48</v>
      </c>
      <c r="I379" s="10">
        <v>2</v>
      </c>
      <c r="J379" t="str">
        <f t="shared" si="25"/>
        <v>Near</v>
      </c>
      <c r="K379">
        <v>3</v>
      </c>
      <c r="L379" t="s">
        <v>41</v>
      </c>
      <c r="M379">
        <v>4</v>
      </c>
      <c r="N379">
        <v>3</v>
      </c>
      <c r="O379">
        <v>1</v>
      </c>
      <c r="P379" t="s">
        <v>49</v>
      </c>
      <c r="Q379">
        <v>3</v>
      </c>
      <c r="R379" s="11">
        <v>329</v>
      </c>
      <c r="S379" s="14">
        <v>96</v>
      </c>
      <c r="T379" s="13">
        <v>2543</v>
      </c>
      <c r="U379" s="13">
        <f t="shared" si="26"/>
        <v>30516</v>
      </c>
      <c r="V379" s="14">
        <v>11868</v>
      </c>
      <c r="W379">
        <v>4</v>
      </c>
      <c r="X379" s="8" t="s">
        <v>46</v>
      </c>
      <c r="Y379" s="15">
        <v>0.13</v>
      </c>
      <c r="Z379">
        <v>3</v>
      </c>
      <c r="AA379">
        <v>2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 t="str">
        <f t="shared" si="27"/>
        <v>0-3</v>
      </c>
      <c r="AI379">
        <v>2</v>
      </c>
      <c r="AJ379" t="str">
        <f t="shared" si="28"/>
        <v>0-2</v>
      </c>
      <c r="AK379">
        <v>2</v>
      </c>
    </row>
    <row r="380" spans="1:37" x14ac:dyDescent="0.25">
      <c r="A380" s="8">
        <v>379</v>
      </c>
      <c r="B380" t="s">
        <v>44</v>
      </c>
      <c r="C380" t="s">
        <v>37</v>
      </c>
      <c r="D380" s="8">
        <v>34</v>
      </c>
      <c r="E380" t="str">
        <f t="shared" si="29"/>
        <v>26-35</v>
      </c>
      <c r="F380" t="s">
        <v>38</v>
      </c>
      <c r="G380" t="s">
        <v>58</v>
      </c>
      <c r="H380" s="8" t="s">
        <v>40</v>
      </c>
      <c r="I380" s="10">
        <v>19</v>
      </c>
      <c r="J380" t="str">
        <f t="shared" si="25"/>
        <v>Far</v>
      </c>
      <c r="K380">
        <v>3</v>
      </c>
      <c r="L380" t="s">
        <v>62</v>
      </c>
      <c r="M380">
        <v>1</v>
      </c>
      <c r="N380">
        <v>4</v>
      </c>
      <c r="O380">
        <v>2</v>
      </c>
      <c r="P380" t="s">
        <v>42</v>
      </c>
      <c r="Q380">
        <v>4</v>
      </c>
      <c r="R380" s="11">
        <v>1362</v>
      </c>
      <c r="S380" s="14">
        <v>67</v>
      </c>
      <c r="T380" s="13">
        <v>5304</v>
      </c>
      <c r="U380" s="13">
        <f t="shared" si="26"/>
        <v>63648</v>
      </c>
      <c r="V380" s="14">
        <v>4652</v>
      </c>
      <c r="W380">
        <v>8</v>
      </c>
      <c r="X380" s="8" t="s">
        <v>38</v>
      </c>
      <c r="Y380" s="15">
        <v>0.13</v>
      </c>
      <c r="Z380">
        <v>3</v>
      </c>
      <c r="AA380">
        <v>2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 t="str">
        <f t="shared" si="27"/>
        <v>0-3</v>
      </c>
      <c r="AI380">
        <v>0</v>
      </c>
      <c r="AJ380" t="str">
        <f t="shared" si="28"/>
        <v>0-2</v>
      </c>
      <c r="AK380">
        <v>4</v>
      </c>
    </row>
    <row r="381" spans="1:37" x14ac:dyDescent="0.25">
      <c r="A381" s="8">
        <v>380</v>
      </c>
      <c r="B381" t="s">
        <v>52</v>
      </c>
      <c r="C381" t="s">
        <v>37</v>
      </c>
      <c r="D381" s="8">
        <v>55</v>
      </c>
      <c r="E381" t="str">
        <f t="shared" si="29"/>
        <v>46-55</v>
      </c>
      <c r="F381" t="s">
        <v>46</v>
      </c>
      <c r="G381" t="s">
        <v>39</v>
      </c>
      <c r="H381" s="8" t="s">
        <v>48</v>
      </c>
      <c r="I381" s="10">
        <v>2</v>
      </c>
      <c r="J381" t="str">
        <f t="shared" si="25"/>
        <v>Near</v>
      </c>
      <c r="K381">
        <v>3</v>
      </c>
      <c r="L381" t="s">
        <v>41</v>
      </c>
      <c r="M381">
        <v>3</v>
      </c>
      <c r="N381">
        <v>3</v>
      </c>
      <c r="O381">
        <v>4</v>
      </c>
      <c r="P381" t="s">
        <v>59</v>
      </c>
      <c r="Q381">
        <v>4</v>
      </c>
      <c r="R381" s="11">
        <v>1311</v>
      </c>
      <c r="S381" s="14">
        <v>97</v>
      </c>
      <c r="T381" s="13">
        <v>16659</v>
      </c>
      <c r="U381" s="13">
        <f t="shared" si="26"/>
        <v>199908</v>
      </c>
      <c r="V381" s="14">
        <v>23258</v>
      </c>
      <c r="W381">
        <v>2</v>
      </c>
      <c r="X381" s="8" t="s">
        <v>38</v>
      </c>
      <c r="Y381" s="15">
        <v>0.13</v>
      </c>
      <c r="Z381">
        <v>3</v>
      </c>
      <c r="AA381">
        <v>3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 t="str">
        <f t="shared" si="27"/>
        <v>4-7</v>
      </c>
      <c r="AI381">
        <v>1</v>
      </c>
      <c r="AJ381" t="str">
        <f t="shared" si="28"/>
        <v>0-2</v>
      </c>
      <c r="AK381">
        <v>2</v>
      </c>
    </row>
    <row r="382" spans="1:37" x14ac:dyDescent="0.25">
      <c r="A382" s="8">
        <v>381</v>
      </c>
      <c r="B382" t="s">
        <v>52</v>
      </c>
      <c r="C382" t="s">
        <v>54</v>
      </c>
      <c r="D382" s="8">
        <v>24</v>
      </c>
      <c r="E382" t="str">
        <f t="shared" si="29"/>
        <v>18-25</v>
      </c>
      <c r="F382" t="s">
        <v>46</v>
      </c>
      <c r="G382" t="s">
        <v>39</v>
      </c>
      <c r="H382" s="8" t="s">
        <v>40</v>
      </c>
      <c r="I382" s="10">
        <v>10</v>
      </c>
      <c r="J382" t="str">
        <f t="shared" si="25"/>
        <v>Moderate</v>
      </c>
      <c r="K382">
        <v>4</v>
      </c>
      <c r="L382" t="s">
        <v>62</v>
      </c>
      <c r="M382">
        <v>4</v>
      </c>
      <c r="N382">
        <v>3</v>
      </c>
      <c r="O382">
        <v>2</v>
      </c>
      <c r="P382" t="s">
        <v>42</v>
      </c>
      <c r="Q382">
        <v>3</v>
      </c>
      <c r="R382" s="11">
        <v>1371</v>
      </c>
      <c r="S382" s="14">
        <v>77</v>
      </c>
      <c r="T382" s="13">
        <v>4260</v>
      </c>
      <c r="U382" s="13">
        <f t="shared" si="26"/>
        <v>51120</v>
      </c>
      <c r="V382" s="14">
        <v>5915</v>
      </c>
      <c r="W382">
        <v>1</v>
      </c>
      <c r="X382" s="8" t="s">
        <v>38</v>
      </c>
      <c r="Y382" s="15">
        <v>0.12</v>
      </c>
      <c r="Z382">
        <v>3</v>
      </c>
      <c r="AA382">
        <v>4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 t="str">
        <f t="shared" si="27"/>
        <v>0-3</v>
      </c>
      <c r="AI382">
        <v>0</v>
      </c>
      <c r="AJ382" t="str">
        <f t="shared" si="28"/>
        <v>0-2</v>
      </c>
      <c r="AK382">
        <v>3</v>
      </c>
    </row>
    <row r="383" spans="1:37" x14ac:dyDescent="0.25">
      <c r="A383" s="8">
        <v>382</v>
      </c>
      <c r="B383" t="s">
        <v>44</v>
      </c>
      <c r="C383" t="s">
        <v>45</v>
      </c>
      <c r="D383" s="8">
        <v>30</v>
      </c>
      <c r="E383" t="str">
        <f t="shared" si="29"/>
        <v>26-35</v>
      </c>
      <c r="F383" t="s">
        <v>46</v>
      </c>
      <c r="G383" t="s">
        <v>39</v>
      </c>
      <c r="H383" s="8" t="s">
        <v>40</v>
      </c>
      <c r="I383" s="10">
        <v>2</v>
      </c>
      <c r="J383" t="str">
        <f t="shared" si="25"/>
        <v>Near</v>
      </c>
      <c r="K383">
        <v>1</v>
      </c>
      <c r="L383" t="s">
        <v>63</v>
      </c>
      <c r="M383">
        <v>3</v>
      </c>
      <c r="N383">
        <v>3</v>
      </c>
      <c r="O383">
        <v>1</v>
      </c>
      <c r="P383" t="s">
        <v>60</v>
      </c>
      <c r="Q383">
        <v>2</v>
      </c>
      <c r="R383" s="11">
        <v>202</v>
      </c>
      <c r="S383" s="14">
        <v>72</v>
      </c>
      <c r="T383" s="13">
        <v>2476</v>
      </c>
      <c r="U383" s="13">
        <f t="shared" si="26"/>
        <v>29712</v>
      </c>
      <c r="V383" s="14">
        <v>17434</v>
      </c>
      <c r="W383">
        <v>1</v>
      </c>
      <c r="X383" s="8" t="s">
        <v>46</v>
      </c>
      <c r="Y383" s="15">
        <v>0.18</v>
      </c>
      <c r="Z383">
        <v>3</v>
      </c>
      <c r="AA383">
        <v>1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 t="str">
        <f t="shared" si="27"/>
        <v>0-3</v>
      </c>
      <c r="AI383">
        <v>0</v>
      </c>
      <c r="AJ383" t="str">
        <f t="shared" si="28"/>
        <v>0-2</v>
      </c>
      <c r="AK383">
        <v>0</v>
      </c>
    </row>
    <row r="384" spans="1:37" x14ac:dyDescent="0.25">
      <c r="A384" s="8">
        <v>383</v>
      </c>
      <c r="B384" t="s">
        <v>44</v>
      </c>
      <c r="C384" t="s">
        <v>37</v>
      </c>
      <c r="D384" s="8">
        <v>26</v>
      </c>
      <c r="E384" t="str">
        <f t="shared" si="29"/>
        <v>26-35</v>
      </c>
      <c r="F384" t="s">
        <v>38</v>
      </c>
      <c r="G384" t="s">
        <v>47</v>
      </c>
      <c r="H384" s="8" t="s">
        <v>48</v>
      </c>
      <c r="I384" s="10">
        <v>3</v>
      </c>
      <c r="J384" t="str">
        <f t="shared" si="25"/>
        <v>Near</v>
      </c>
      <c r="K384">
        <v>1</v>
      </c>
      <c r="L384" t="s">
        <v>63</v>
      </c>
      <c r="M384">
        <v>3</v>
      </c>
      <c r="N384">
        <v>3</v>
      </c>
      <c r="O384">
        <v>1</v>
      </c>
      <c r="P384" t="s">
        <v>49</v>
      </c>
      <c r="Q384">
        <v>1</v>
      </c>
      <c r="R384" s="11">
        <v>575</v>
      </c>
      <c r="S384" s="14">
        <v>73</v>
      </c>
      <c r="T384" s="13">
        <v>3102</v>
      </c>
      <c r="U384" s="13">
        <f t="shared" si="26"/>
        <v>37224</v>
      </c>
      <c r="V384" s="14">
        <v>6582</v>
      </c>
      <c r="W384">
        <v>0</v>
      </c>
      <c r="X384" s="8" t="s">
        <v>46</v>
      </c>
      <c r="Y384" s="15">
        <v>0.22</v>
      </c>
      <c r="Z384">
        <v>4</v>
      </c>
      <c r="AA384">
        <v>3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 t="str">
        <f t="shared" si="27"/>
        <v>4-7</v>
      </c>
      <c r="AI384">
        <v>0</v>
      </c>
      <c r="AJ384" t="str">
        <f t="shared" si="28"/>
        <v>0-2</v>
      </c>
      <c r="AK384">
        <v>4</v>
      </c>
    </row>
    <row r="385" spans="1:37" x14ac:dyDescent="0.25">
      <c r="A385" s="8">
        <v>384</v>
      </c>
      <c r="B385" t="s">
        <v>52</v>
      </c>
      <c r="C385" t="s">
        <v>45</v>
      </c>
      <c r="D385" s="8">
        <v>22</v>
      </c>
      <c r="E385" t="str">
        <f t="shared" si="29"/>
        <v>18-25</v>
      </c>
      <c r="F385" t="s">
        <v>46</v>
      </c>
      <c r="G385" t="s">
        <v>39</v>
      </c>
      <c r="H385" s="8" t="s">
        <v>48</v>
      </c>
      <c r="I385" s="10">
        <v>11</v>
      </c>
      <c r="J385" t="str">
        <f t="shared" si="25"/>
        <v>Moderate</v>
      </c>
      <c r="K385">
        <v>3</v>
      </c>
      <c r="L385" t="s">
        <v>53</v>
      </c>
      <c r="M385">
        <v>1</v>
      </c>
      <c r="N385">
        <v>3</v>
      </c>
      <c r="O385">
        <v>1</v>
      </c>
      <c r="P385" t="s">
        <v>49</v>
      </c>
      <c r="Q385">
        <v>2</v>
      </c>
      <c r="R385" s="11">
        <v>253</v>
      </c>
      <c r="S385" s="14">
        <v>43</v>
      </c>
      <c r="T385" s="13">
        <v>2244</v>
      </c>
      <c r="U385" s="13">
        <f t="shared" si="26"/>
        <v>26928</v>
      </c>
      <c r="V385" s="14">
        <v>24440</v>
      </c>
      <c r="W385">
        <v>1</v>
      </c>
      <c r="X385" s="8" t="s">
        <v>46</v>
      </c>
      <c r="Y385" s="15">
        <v>0.13</v>
      </c>
      <c r="Z385">
        <v>3</v>
      </c>
      <c r="AA385">
        <v>4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 t="str">
        <f t="shared" si="27"/>
        <v>0-3</v>
      </c>
      <c r="AI385">
        <v>1</v>
      </c>
      <c r="AJ385" t="str">
        <f t="shared" si="28"/>
        <v>0-2</v>
      </c>
      <c r="AK385">
        <v>2</v>
      </c>
    </row>
    <row r="386" spans="1:37" x14ac:dyDescent="0.25">
      <c r="A386" s="8">
        <v>385</v>
      </c>
      <c r="B386" t="s">
        <v>44</v>
      </c>
      <c r="C386" t="s">
        <v>45</v>
      </c>
      <c r="D386" s="8">
        <v>36</v>
      </c>
      <c r="E386" t="str">
        <f t="shared" si="29"/>
        <v>36-45</v>
      </c>
      <c r="F386" t="s">
        <v>46</v>
      </c>
      <c r="G386" t="s">
        <v>39</v>
      </c>
      <c r="H386" s="8" t="s">
        <v>40</v>
      </c>
      <c r="I386" s="10">
        <v>2</v>
      </c>
      <c r="J386" t="str">
        <f t="shared" si="25"/>
        <v>Near</v>
      </c>
      <c r="K386">
        <v>2</v>
      </c>
      <c r="L386" t="s">
        <v>53</v>
      </c>
      <c r="M386">
        <v>2</v>
      </c>
      <c r="N386">
        <v>2</v>
      </c>
      <c r="O386">
        <v>3</v>
      </c>
      <c r="P386" t="s">
        <v>42</v>
      </c>
      <c r="Q386">
        <v>3</v>
      </c>
      <c r="R386" s="11">
        <v>164</v>
      </c>
      <c r="S386" s="14">
        <v>61</v>
      </c>
      <c r="T386" s="13">
        <v>7596</v>
      </c>
      <c r="U386" s="13">
        <f t="shared" si="26"/>
        <v>91152</v>
      </c>
      <c r="V386" s="14">
        <v>3809</v>
      </c>
      <c r="W386">
        <v>1</v>
      </c>
      <c r="X386" s="8" t="s">
        <v>46</v>
      </c>
      <c r="Y386" s="15">
        <v>0.13</v>
      </c>
      <c r="Z386">
        <v>3</v>
      </c>
      <c r="AA386">
        <v>2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 t="str">
        <f t="shared" si="27"/>
        <v>8-11</v>
      </c>
      <c r="AI386">
        <v>9</v>
      </c>
      <c r="AJ386" t="str">
        <f t="shared" si="28"/>
        <v>9-11</v>
      </c>
      <c r="AK386">
        <v>0</v>
      </c>
    </row>
    <row r="387" spans="1:37" x14ac:dyDescent="0.25">
      <c r="A387" s="8">
        <v>386</v>
      </c>
      <c r="B387" t="s">
        <v>44</v>
      </c>
      <c r="C387" t="s">
        <v>37</v>
      </c>
      <c r="D387" s="8">
        <v>30</v>
      </c>
      <c r="E387" t="str">
        <f t="shared" si="29"/>
        <v>26-35</v>
      </c>
      <c r="F387" t="s">
        <v>38</v>
      </c>
      <c r="G387" t="s">
        <v>47</v>
      </c>
      <c r="H387" s="8" t="s">
        <v>48</v>
      </c>
      <c r="I387" s="10">
        <v>4</v>
      </c>
      <c r="J387" t="str">
        <f t="shared" ref="J387:J450" si="30">IF(I387&lt;=5,"Near",IF(I387&lt;=15,"Moderate",IF(I387&gt;15,"Far")))</f>
        <v>Near</v>
      </c>
      <c r="K387">
        <v>3</v>
      </c>
      <c r="L387" t="s">
        <v>63</v>
      </c>
      <c r="M387">
        <v>3</v>
      </c>
      <c r="N387">
        <v>3</v>
      </c>
      <c r="O387">
        <v>1</v>
      </c>
      <c r="P387" t="s">
        <v>49</v>
      </c>
      <c r="Q387">
        <v>4</v>
      </c>
      <c r="R387" s="11">
        <v>464</v>
      </c>
      <c r="S387" s="14">
        <v>40</v>
      </c>
      <c r="T387" s="13">
        <v>2285</v>
      </c>
      <c r="U387" s="13">
        <f t="shared" ref="U387:U450" si="31">T387*12</f>
        <v>27420</v>
      </c>
      <c r="V387" s="14">
        <v>3427</v>
      </c>
      <c r="W387">
        <v>9</v>
      </c>
      <c r="X387" s="8" t="s">
        <v>38</v>
      </c>
      <c r="Y387" s="15">
        <v>0.23</v>
      </c>
      <c r="Z387">
        <v>4</v>
      </c>
      <c r="AA387">
        <v>3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 t="str">
        <f t="shared" ref="AH387:AH450" si="32">IF(AG:AG&lt;=3,"0-3", IF(AG:AG&lt;=7,"4-7", IF(AG:AG&lt;=11,"8-11", IF(AG:AG&lt;=15,"12-15","16-19"))))</f>
        <v>0-3</v>
      </c>
      <c r="AI387">
        <v>0</v>
      </c>
      <c r="AJ387" t="str">
        <f t="shared" ref="AJ387:AJ450" si="33">IF(AI:AI&lt;=2,"0-2",IF(AI:AI&lt;=5,"3-5", IF(AI:AI&lt;=8,"6-8", IF(AI:AI&lt;=11,"9-11","12-15"))))</f>
        <v>0-2</v>
      </c>
      <c r="AK387">
        <v>0</v>
      </c>
    </row>
    <row r="388" spans="1:37" x14ac:dyDescent="0.25">
      <c r="A388" s="8">
        <v>387</v>
      </c>
      <c r="B388" t="s">
        <v>52</v>
      </c>
      <c r="C388" t="s">
        <v>54</v>
      </c>
      <c r="D388" s="8">
        <v>37</v>
      </c>
      <c r="E388" t="str">
        <f t="shared" ref="E388:E451" si="34">IF(D388&lt;25,"18-25",IF(D388&lt;=35,"26-35",IF(D388&lt;=45,"36-45",IF(D388&lt;=55,"46-55",IF(D388&gt;55,"55+")))))</f>
        <v>36-45</v>
      </c>
      <c r="F388" t="s">
        <v>46</v>
      </c>
      <c r="G388" t="s">
        <v>39</v>
      </c>
      <c r="H388" s="8" t="s">
        <v>48</v>
      </c>
      <c r="I388" s="10">
        <v>14</v>
      </c>
      <c r="J388" t="str">
        <f t="shared" si="30"/>
        <v>Moderate</v>
      </c>
      <c r="K388">
        <v>3</v>
      </c>
      <c r="L388" t="s">
        <v>41</v>
      </c>
      <c r="M388">
        <v>4</v>
      </c>
      <c r="N388">
        <v>3</v>
      </c>
      <c r="O388">
        <v>1</v>
      </c>
      <c r="P388" t="s">
        <v>51</v>
      </c>
      <c r="Q388">
        <v>1</v>
      </c>
      <c r="R388" s="11">
        <v>1107</v>
      </c>
      <c r="S388" s="14">
        <v>95</v>
      </c>
      <c r="T388" s="13">
        <v>3034</v>
      </c>
      <c r="U388" s="13">
        <f t="shared" si="31"/>
        <v>36408</v>
      </c>
      <c r="V388" s="14">
        <v>26914</v>
      </c>
      <c r="W388">
        <v>1</v>
      </c>
      <c r="X388" s="8" t="s">
        <v>46</v>
      </c>
      <c r="Y388" s="15">
        <v>0.12</v>
      </c>
      <c r="Z388">
        <v>3</v>
      </c>
      <c r="AA388">
        <v>3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 t="str">
        <f t="shared" si="32"/>
        <v>4-7</v>
      </c>
      <c r="AI388">
        <v>12</v>
      </c>
      <c r="AJ388" t="str">
        <f t="shared" si="33"/>
        <v>12-15</v>
      </c>
      <c r="AK388">
        <v>17</v>
      </c>
    </row>
    <row r="389" spans="1:37" x14ac:dyDescent="0.25">
      <c r="A389" s="8">
        <v>388</v>
      </c>
      <c r="B389" t="s">
        <v>52</v>
      </c>
      <c r="C389" t="s">
        <v>54</v>
      </c>
      <c r="D389" s="8">
        <v>40</v>
      </c>
      <c r="E389" t="str">
        <f t="shared" si="34"/>
        <v>36-45</v>
      </c>
      <c r="F389" t="s">
        <v>46</v>
      </c>
      <c r="G389" t="s">
        <v>39</v>
      </c>
      <c r="H389" s="8" t="s">
        <v>40</v>
      </c>
      <c r="I389" s="10">
        <v>2</v>
      </c>
      <c r="J389" t="str">
        <f t="shared" si="30"/>
        <v>Near</v>
      </c>
      <c r="K389">
        <v>2</v>
      </c>
      <c r="L389" t="s">
        <v>62</v>
      </c>
      <c r="M389">
        <v>4</v>
      </c>
      <c r="N389">
        <v>3</v>
      </c>
      <c r="O389">
        <v>2</v>
      </c>
      <c r="P389" t="s">
        <v>42</v>
      </c>
      <c r="Q389">
        <v>2</v>
      </c>
      <c r="R389" s="11">
        <v>759</v>
      </c>
      <c r="S389" s="14">
        <v>46</v>
      </c>
      <c r="T389" s="13">
        <v>5715</v>
      </c>
      <c r="U389" s="13">
        <f t="shared" si="31"/>
        <v>68580</v>
      </c>
      <c r="V389" s="14">
        <v>22553</v>
      </c>
      <c r="W389">
        <v>7</v>
      </c>
      <c r="X389" s="8" t="s">
        <v>46</v>
      </c>
      <c r="Y389" s="15">
        <v>0.12</v>
      </c>
      <c r="Z389">
        <v>3</v>
      </c>
      <c r="AA389">
        <v>3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 t="str">
        <f t="shared" si="32"/>
        <v>4-7</v>
      </c>
      <c r="AI389">
        <v>1</v>
      </c>
      <c r="AJ389" t="str">
        <f t="shared" si="33"/>
        <v>0-2</v>
      </c>
      <c r="AK389">
        <v>3</v>
      </c>
    </row>
    <row r="390" spans="1:37" x14ac:dyDescent="0.25">
      <c r="A390" s="8">
        <v>389</v>
      </c>
      <c r="B390" t="s">
        <v>52</v>
      </c>
      <c r="C390" t="s">
        <v>54</v>
      </c>
      <c r="D390" s="8">
        <v>42</v>
      </c>
      <c r="E390" t="str">
        <f t="shared" si="34"/>
        <v>36-45</v>
      </c>
      <c r="F390" t="s">
        <v>46</v>
      </c>
      <c r="G390" t="s">
        <v>39</v>
      </c>
      <c r="H390" s="8" t="s">
        <v>48</v>
      </c>
      <c r="I390" s="10">
        <v>1</v>
      </c>
      <c r="J390" t="str">
        <f t="shared" si="30"/>
        <v>Near</v>
      </c>
      <c r="K390">
        <v>4</v>
      </c>
      <c r="L390" t="s">
        <v>41</v>
      </c>
      <c r="M390">
        <v>2</v>
      </c>
      <c r="N390">
        <v>3</v>
      </c>
      <c r="O390">
        <v>1</v>
      </c>
      <c r="P390" t="s">
        <v>51</v>
      </c>
      <c r="Q390">
        <v>1</v>
      </c>
      <c r="R390" s="11">
        <v>201</v>
      </c>
      <c r="S390" s="14">
        <v>95</v>
      </c>
      <c r="T390" s="13">
        <v>2576</v>
      </c>
      <c r="U390" s="13">
        <f t="shared" si="31"/>
        <v>30912</v>
      </c>
      <c r="V390" s="14">
        <v>20490</v>
      </c>
      <c r="W390">
        <v>3</v>
      </c>
      <c r="X390" s="8" t="s">
        <v>46</v>
      </c>
      <c r="Y390" s="15">
        <v>0.16</v>
      </c>
      <c r="Z390">
        <v>3</v>
      </c>
      <c r="AA390">
        <v>2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 t="str">
        <f t="shared" si="32"/>
        <v>0-3</v>
      </c>
      <c r="AI390">
        <v>1</v>
      </c>
      <c r="AJ390" t="str">
        <f t="shared" si="33"/>
        <v>0-2</v>
      </c>
      <c r="AK390">
        <v>2</v>
      </c>
    </row>
    <row r="391" spans="1:37" x14ac:dyDescent="0.25">
      <c r="A391" s="8">
        <v>390</v>
      </c>
      <c r="B391" t="s">
        <v>44</v>
      </c>
      <c r="C391" t="s">
        <v>37</v>
      </c>
      <c r="D391" s="8">
        <v>37</v>
      </c>
      <c r="E391" t="str">
        <f t="shared" si="34"/>
        <v>36-45</v>
      </c>
      <c r="F391" t="s">
        <v>46</v>
      </c>
      <c r="G391" t="s">
        <v>39</v>
      </c>
      <c r="H391" s="8" t="s">
        <v>48</v>
      </c>
      <c r="I391" s="10">
        <v>10</v>
      </c>
      <c r="J391" t="str">
        <f t="shared" si="30"/>
        <v>Moderate</v>
      </c>
      <c r="K391">
        <v>4</v>
      </c>
      <c r="L391" t="s">
        <v>41</v>
      </c>
      <c r="M391">
        <v>3</v>
      </c>
      <c r="N391">
        <v>3</v>
      </c>
      <c r="O391">
        <v>2</v>
      </c>
      <c r="P391" t="s">
        <v>55</v>
      </c>
      <c r="Q391">
        <v>2</v>
      </c>
      <c r="R391" s="11">
        <v>1305</v>
      </c>
      <c r="S391" s="14">
        <v>49</v>
      </c>
      <c r="T391" s="13">
        <v>4197</v>
      </c>
      <c r="U391" s="13">
        <f t="shared" si="31"/>
        <v>50364</v>
      </c>
      <c r="V391" s="14">
        <v>21123</v>
      </c>
      <c r="W391">
        <v>2</v>
      </c>
      <c r="X391" s="8" t="s">
        <v>38</v>
      </c>
      <c r="Y391" s="15">
        <v>0.12</v>
      </c>
      <c r="Z391">
        <v>3</v>
      </c>
      <c r="AA391">
        <v>4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 t="str">
        <f t="shared" si="32"/>
        <v>0-3</v>
      </c>
      <c r="AI391">
        <v>0</v>
      </c>
      <c r="AJ391" t="str">
        <f t="shared" si="33"/>
        <v>0-2</v>
      </c>
      <c r="AK391">
        <v>1</v>
      </c>
    </row>
    <row r="392" spans="1:37" x14ac:dyDescent="0.25">
      <c r="A392" s="8">
        <v>391</v>
      </c>
      <c r="B392" t="s">
        <v>44</v>
      </c>
      <c r="C392" t="s">
        <v>54</v>
      </c>
      <c r="D392" s="8">
        <v>43</v>
      </c>
      <c r="E392" t="str">
        <f t="shared" si="34"/>
        <v>36-45</v>
      </c>
      <c r="F392" t="s">
        <v>46</v>
      </c>
      <c r="G392" t="s">
        <v>39</v>
      </c>
      <c r="H392" s="8" t="s">
        <v>48</v>
      </c>
      <c r="I392" s="10">
        <v>12</v>
      </c>
      <c r="J392" t="str">
        <f t="shared" si="30"/>
        <v>Moderate</v>
      </c>
      <c r="K392">
        <v>3</v>
      </c>
      <c r="L392" t="s">
        <v>41</v>
      </c>
      <c r="M392">
        <v>1</v>
      </c>
      <c r="N392">
        <v>2</v>
      </c>
      <c r="O392">
        <v>4</v>
      </c>
      <c r="P392" t="s">
        <v>61</v>
      </c>
      <c r="Q392">
        <v>2</v>
      </c>
      <c r="R392" s="11">
        <v>982</v>
      </c>
      <c r="S392" s="14">
        <v>59</v>
      </c>
      <c r="T392" s="13">
        <v>14336</v>
      </c>
      <c r="U392" s="13">
        <f t="shared" si="31"/>
        <v>172032</v>
      </c>
      <c r="V392" s="14">
        <v>4345</v>
      </c>
      <c r="W392">
        <v>1</v>
      </c>
      <c r="X392" s="8" t="s">
        <v>46</v>
      </c>
      <c r="Y392" s="15">
        <v>0.11</v>
      </c>
      <c r="Z392">
        <v>3</v>
      </c>
      <c r="AA392">
        <v>3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 t="str">
        <f t="shared" si="32"/>
        <v>8-11</v>
      </c>
      <c r="AI392">
        <v>3</v>
      </c>
      <c r="AJ392" t="str">
        <f t="shared" si="33"/>
        <v>3-5</v>
      </c>
      <c r="AK392">
        <v>9</v>
      </c>
    </row>
    <row r="393" spans="1:37" x14ac:dyDescent="0.25">
      <c r="A393" s="8">
        <v>392</v>
      </c>
      <c r="B393" t="s">
        <v>52</v>
      </c>
      <c r="C393" t="s">
        <v>45</v>
      </c>
      <c r="D393" s="8">
        <v>40</v>
      </c>
      <c r="E393" t="str">
        <f t="shared" si="34"/>
        <v>36-45</v>
      </c>
      <c r="F393" t="s">
        <v>46</v>
      </c>
      <c r="G393" t="s">
        <v>39</v>
      </c>
      <c r="H393" s="8" t="s">
        <v>48</v>
      </c>
      <c r="I393" s="10">
        <v>2</v>
      </c>
      <c r="J393" t="str">
        <f t="shared" si="30"/>
        <v>Near</v>
      </c>
      <c r="K393">
        <v>3</v>
      </c>
      <c r="L393" t="s">
        <v>53</v>
      </c>
      <c r="M393">
        <v>2</v>
      </c>
      <c r="N393">
        <v>2</v>
      </c>
      <c r="O393">
        <v>2</v>
      </c>
      <c r="P393" t="s">
        <v>51</v>
      </c>
      <c r="Q393">
        <v>3</v>
      </c>
      <c r="R393" s="11">
        <v>555</v>
      </c>
      <c r="S393" s="14">
        <v>78</v>
      </c>
      <c r="T393" s="13">
        <v>3448</v>
      </c>
      <c r="U393" s="13">
        <f t="shared" si="31"/>
        <v>41376</v>
      </c>
      <c r="V393" s="14">
        <v>13436</v>
      </c>
      <c r="W393">
        <v>6</v>
      </c>
      <c r="X393" s="8" t="s">
        <v>46</v>
      </c>
      <c r="Y393" s="15">
        <v>0.22</v>
      </c>
      <c r="Z393">
        <v>4</v>
      </c>
      <c r="AA393">
        <v>2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 t="str">
        <f t="shared" si="32"/>
        <v>0-3</v>
      </c>
      <c r="AI393">
        <v>0</v>
      </c>
      <c r="AJ393" t="str">
        <f t="shared" si="33"/>
        <v>0-2</v>
      </c>
      <c r="AK393">
        <v>0</v>
      </c>
    </row>
    <row r="394" spans="1:37" x14ac:dyDescent="0.25">
      <c r="A394" s="8">
        <v>393</v>
      </c>
      <c r="B394" t="s">
        <v>44</v>
      </c>
      <c r="C394" t="s">
        <v>45</v>
      </c>
      <c r="D394" s="8">
        <v>54</v>
      </c>
      <c r="E394" t="str">
        <f t="shared" si="34"/>
        <v>46-55</v>
      </c>
      <c r="F394" t="s">
        <v>46</v>
      </c>
      <c r="G394" t="s">
        <v>39</v>
      </c>
      <c r="H394" s="8" t="s">
        <v>48</v>
      </c>
      <c r="I394" s="10">
        <v>5</v>
      </c>
      <c r="J394" t="str">
        <f t="shared" si="30"/>
        <v>Near</v>
      </c>
      <c r="K394">
        <v>2</v>
      </c>
      <c r="L394" t="s">
        <v>53</v>
      </c>
      <c r="M394">
        <v>1</v>
      </c>
      <c r="N394">
        <v>3</v>
      </c>
      <c r="O394">
        <v>5</v>
      </c>
      <c r="P394" t="s">
        <v>61</v>
      </c>
      <c r="Q394">
        <v>1</v>
      </c>
      <c r="R394" s="11">
        <v>821</v>
      </c>
      <c r="S394" s="14">
        <v>86</v>
      </c>
      <c r="T394" s="13">
        <v>19406</v>
      </c>
      <c r="U394" s="13">
        <f t="shared" si="31"/>
        <v>232872</v>
      </c>
      <c r="V394" s="14">
        <v>8509</v>
      </c>
      <c r="W394">
        <v>4</v>
      </c>
      <c r="X394" s="8" t="s">
        <v>46</v>
      </c>
      <c r="Y394" s="15">
        <v>0.11</v>
      </c>
      <c r="Z394">
        <v>3</v>
      </c>
      <c r="AA394">
        <v>3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 t="str">
        <f t="shared" si="32"/>
        <v>0-3</v>
      </c>
      <c r="AI394">
        <v>1</v>
      </c>
      <c r="AJ394" t="str">
        <f t="shared" si="33"/>
        <v>0-2</v>
      </c>
      <c r="AK394">
        <v>2</v>
      </c>
    </row>
    <row r="395" spans="1:37" x14ac:dyDescent="0.25">
      <c r="A395" s="8">
        <v>394</v>
      </c>
      <c r="B395" t="s">
        <v>52</v>
      </c>
      <c r="C395" t="s">
        <v>45</v>
      </c>
      <c r="D395" s="8">
        <v>34</v>
      </c>
      <c r="E395" t="str">
        <f t="shared" si="34"/>
        <v>26-35</v>
      </c>
      <c r="F395" t="s">
        <v>46</v>
      </c>
      <c r="G395" t="s">
        <v>58</v>
      </c>
      <c r="H395" s="8" t="s">
        <v>40</v>
      </c>
      <c r="I395" s="10">
        <v>4</v>
      </c>
      <c r="J395" t="str">
        <f t="shared" si="30"/>
        <v>Near</v>
      </c>
      <c r="K395">
        <v>4</v>
      </c>
      <c r="L395" t="s">
        <v>62</v>
      </c>
      <c r="M395">
        <v>3</v>
      </c>
      <c r="N395">
        <v>3</v>
      </c>
      <c r="O395">
        <v>2</v>
      </c>
      <c r="P395" t="s">
        <v>42</v>
      </c>
      <c r="Q395">
        <v>3</v>
      </c>
      <c r="R395" s="11">
        <v>1381</v>
      </c>
      <c r="S395" s="14">
        <v>72</v>
      </c>
      <c r="T395" s="13">
        <v>6538</v>
      </c>
      <c r="U395" s="13">
        <f t="shared" si="31"/>
        <v>78456</v>
      </c>
      <c r="V395" s="14">
        <v>12740</v>
      </c>
      <c r="W395">
        <v>9</v>
      </c>
      <c r="X395" s="8" t="s">
        <v>46</v>
      </c>
      <c r="Y395" s="15">
        <v>0.15</v>
      </c>
      <c r="Z395">
        <v>3</v>
      </c>
      <c r="AA395">
        <v>1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 t="str">
        <f t="shared" si="32"/>
        <v>0-3</v>
      </c>
      <c r="AI395">
        <v>1</v>
      </c>
      <c r="AJ395" t="str">
        <f t="shared" si="33"/>
        <v>0-2</v>
      </c>
      <c r="AK395">
        <v>2</v>
      </c>
    </row>
    <row r="396" spans="1:37" x14ac:dyDescent="0.25">
      <c r="A396" s="8">
        <v>395</v>
      </c>
      <c r="B396" t="s">
        <v>52</v>
      </c>
      <c r="C396" t="s">
        <v>45</v>
      </c>
      <c r="D396" s="8">
        <v>31</v>
      </c>
      <c r="E396" t="str">
        <f t="shared" si="34"/>
        <v>26-35</v>
      </c>
      <c r="F396" t="s">
        <v>46</v>
      </c>
      <c r="G396" t="s">
        <v>39</v>
      </c>
      <c r="H396" s="8" t="s">
        <v>48</v>
      </c>
      <c r="I396" s="10">
        <v>7</v>
      </c>
      <c r="J396" t="str">
        <f t="shared" si="30"/>
        <v>Moderate</v>
      </c>
      <c r="K396">
        <v>2</v>
      </c>
      <c r="L396" t="s">
        <v>53</v>
      </c>
      <c r="M396">
        <v>2</v>
      </c>
      <c r="N396">
        <v>3</v>
      </c>
      <c r="O396">
        <v>2</v>
      </c>
      <c r="P396" t="s">
        <v>55</v>
      </c>
      <c r="Q396">
        <v>1</v>
      </c>
      <c r="R396" s="11">
        <v>480</v>
      </c>
      <c r="S396" s="14">
        <v>31</v>
      </c>
      <c r="T396" s="13">
        <v>4306</v>
      </c>
      <c r="U396" s="13">
        <f t="shared" si="31"/>
        <v>51672</v>
      </c>
      <c r="V396" s="14">
        <v>4156</v>
      </c>
      <c r="W396">
        <v>1</v>
      </c>
      <c r="X396" s="8" t="s">
        <v>46</v>
      </c>
      <c r="Y396" s="15">
        <v>0.12</v>
      </c>
      <c r="Z396">
        <v>3</v>
      </c>
      <c r="AA396">
        <v>2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 t="str">
        <f t="shared" si="32"/>
        <v>8-11</v>
      </c>
      <c r="AI396">
        <v>3</v>
      </c>
      <c r="AJ396" t="str">
        <f t="shared" si="33"/>
        <v>3-5</v>
      </c>
      <c r="AK396">
        <v>12</v>
      </c>
    </row>
    <row r="397" spans="1:37" x14ac:dyDescent="0.25">
      <c r="A397" s="8">
        <v>396</v>
      </c>
      <c r="B397" t="s">
        <v>44</v>
      </c>
      <c r="C397" t="s">
        <v>45</v>
      </c>
      <c r="D397" s="8">
        <v>43</v>
      </c>
      <c r="E397" t="str">
        <f t="shared" si="34"/>
        <v>36-45</v>
      </c>
      <c r="F397" t="s">
        <v>46</v>
      </c>
      <c r="G397" t="s">
        <v>47</v>
      </c>
      <c r="H397" s="8" t="s">
        <v>48</v>
      </c>
      <c r="I397" s="10">
        <v>21</v>
      </c>
      <c r="J397" t="str">
        <f t="shared" si="30"/>
        <v>Far</v>
      </c>
      <c r="K397">
        <v>3</v>
      </c>
      <c r="L397" t="s">
        <v>53</v>
      </c>
      <c r="M397">
        <v>4</v>
      </c>
      <c r="N397">
        <v>3</v>
      </c>
      <c r="O397">
        <v>1</v>
      </c>
      <c r="P397" t="s">
        <v>51</v>
      </c>
      <c r="Q397">
        <v>4</v>
      </c>
      <c r="R397" s="11">
        <v>313</v>
      </c>
      <c r="S397" s="14">
        <v>61</v>
      </c>
      <c r="T397" s="13">
        <v>2258</v>
      </c>
      <c r="U397" s="13">
        <f t="shared" si="31"/>
        <v>27096</v>
      </c>
      <c r="V397" s="14">
        <v>15238</v>
      </c>
      <c r="W397">
        <v>7</v>
      </c>
      <c r="X397" s="8" t="s">
        <v>46</v>
      </c>
      <c r="Y397" s="15">
        <v>0.2</v>
      </c>
      <c r="Z397">
        <v>4</v>
      </c>
      <c r="AA397">
        <v>1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 t="str">
        <f t="shared" si="32"/>
        <v>0-3</v>
      </c>
      <c r="AI397">
        <v>1</v>
      </c>
      <c r="AJ397" t="str">
        <f t="shared" si="33"/>
        <v>0-2</v>
      </c>
      <c r="AK397">
        <v>2</v>
      </c>
    </row>
    <row r="398" spans="1:37" x14ac:dyDescent="0.25">
      <c r="A398" s="8">
        <v>397</v>
      </c>
      <c r="B398" t="s">
        <v>52</v>
      </c>
      <c r="C398" t="s">
        <v>54</v>
      </c>
      <c r="D398" s="8">
        <v>43</v>
      </c>
      <c r="E398" t="str">
        <f t="shared" si="34"/>
        <v>36-45</v>
      </c>
      <c r="F398" t="s">
        <v>46</v>
      </c>
      <c r="G398" t="s">
        <v>39</v>
      </c>
      <c r="H398" s="8" t="s">
        <v>48</v>
      </c>
      <c r="I398" s="10">
        <v>8</v>
      </c>
      <c r="J398" t="str">
        <f t="shared" si="30"/>
        <v>Moderate</v>
      </c>
      <c r="K398">
        <v>4</v>
      </c>
      <c r="L398" t="s">
        <v>50</v>
      </c>
      <c r="M398">
        <v>3</v>
      </c>
      <c r="N398">
        <v>3</v>
      </c>
      <c r="O398">
        <v>2</v>
      </c>
      <c r="P398" t="s">
        <v>56</v>
      </c>
      <c r="Q398">
        <v>3</v>
      </c>
      <c r="R398" s="11">
        <v>1473</v>
      </c>
      <c r="S398" s="14">
        <v>74</v>
      </c>
      <c r="T398" s="13">
        <v>4522</v>
      </c>
      <c r="U398" s="13">
        <f t="shared" si="31"/>
        <v>54264</v>
      </c>
      <c r="V398" s="14">
        <v>2227</v>
      </c>
      <c r="W398">
        <v>4</v>
      </c>
      <c r="X398" s="8" t="s">
        <v>38</v>
      </c>
      <c r="Y398" s="15">
        <v>0.14000000000000001</v>
      </c>
      <c r="Z398">
        <v>3</v>
      </c>
      <c r="AA398">
        <v>4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 t="str">
        <f t="shared" si="32"/>
        <v>0-3</v>
      </c>
      <c r="AI398">
        <v>0</v>
      </c>
      <c r="AJ398" t="str">
        <f t="shared" si="33"/>
        <v>0-2</v>
      </c>
      <c r="AK398">
        <v>2</v>
      </c>
    </row>
    <row r="399" spans="1:37" x14ac:dyDescent="0.25">
      <c r="A399" s="8">
        <v>398</v>
      </c>
      <c r="B399" t="s">
        <v>52</v>
      </c>
      <c r="C399" t="s">
        <v>37</v>
      </c>
      <c r="D399" s="8">
        <v>25</v>
      </c>
      <c r="E399" t="str">
        <f t="shared" si="34"/>
        <v>26-35</v>
      </c>
      <c r="F399" t="s">
        <v>46</v>
      </c>
      <c r="G399" t="s">
        <v>39</v>
      </c>
      <c r="H399" s="8" t="s">
        <v>40</v>
      </c>
      <c r="I399" s="10">
        <v>4</v>
      </c>
      <c r="J399" t="str">
        <f t="shared" si="30"/>
        <v>Near</v>
      </c>
      <c r="K399">
        <v>2</v>
      </c>
      <c r="L399" t="s">
        <v>41</v>
      </c>
      <c r="M399">
        <v>2</v>
      </c>
      <c r="N399">
        <v>2</v>
      </c>
      <c r="O399">
        <v>2</v>
      </c>
      <c r="P399" t="s">
        <v>42</v>
      </c>
      <c r="Q399">
        <v>4</v>
      </c>
      <c r="R399" s="11">
        <v>891</v>
      </c>
      <c r="S399" s="14">
        <v>99</v>
      </c>
      <c r="T399" s="13">
        <v>4487</v>
      </c>
      <c r="U399" s="13">
        <f t="shared" si="31"/>
        <v>53844</v>
      </c>
      <c r="V399" s="14">
        <v>12090</v>
      </c>
      <c r="W399">
        <v>1</v>
      </c>
      <c r="X399" s="8" t="s">
        <v>38</v>
      </c>
      <c r="Y399" s="15">
        <v>0.11</v>
      </c>
      <c r="Z399">
        <v>3</v>
      </c>
      <c r="AA399">
        <v>2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 t="str">
        <f t="shared" si="32"/>
        <v>4-7</v>
      </c>
      <c r="AI399">
        <v>1</v>
      </c>
      <c r="AJ399" t="str">
        <f t="shared" si="33"/>
        <v>0-2</v>
      </c>
      <c r="AK399">
        <v>3</v>
      </c>
    </row>
    <row r="400" spans="1:37" x14ac:dyDescent="0.25">
      <c r="A400" s="8">
        <v>399</v>
      </c>
      <c r="B400" t="s">
        <v>52</v>
      </c>
      <c r="C400" t="s">
        <v>45</v>
      </c>
      <c r="D400" s="8">
        <v>37</v>
      </c>
      <c r="E400" t="str">
        <f t="shared" si="34"/>
        <v>36-45</v>
      </c>
      <c r="F400" t="s">
        <v>46</v>
      </c>
      <c r="G400" t="s">
        <v>58</v>
      </c>
      <c r="H400" s="8" t="s">
        <v>48</v>
      </c>
      <c r="I400" s="10">
        <v>25</v>
      </c>
      <c r="J400" t="str">
        <f t="shared" si="30"/>
        <v>Far</v>
      </c>
      <c r="K400">
        <v>5</v>
      </c>
      <c r="L400" t="s">
        <v>53</v>
      </c>
      <c r="M400">
        <v>2</v>
      </c>
      <c r="N400">
        <v>3</v>
      </c>
      <c r="O400">
        <v>2</v>
      </c>
      <c r="P400" t="s">
        <v>49</v>
      </c>
      <c r="Q400">
        <v>3</v>
      </c>
      <c r="R400" s="11">
        <v>1063</v>
      </c>
      <c r="S400" s="14">
        <v>72</v>
      </c>
      <c r="T400" s="13">
        <v>4449</v>
      </c>
      <c r="U400" s="13">
        <f t="shared" si="31"/>
        <v>53388</v>
      </c>
      <c r="V400" s="14">
        <v>23866</v>
      </c>
      <c r="W400">
        <v>3</v>
      </c>
      <c r="X400" s="8" t="s">
        <v>38</v>
      </c>
      <c r="Y400" s="15">
        <v>0.15</v>
      </c>
      <c r="Z400">
        <v>3</v>
      </c>
      <c r="AA400">
        <v>1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 t="str">
        <f t="shared" si="32"/>
        <v>8-11</v>
      </c>
      <c r="AI400">
        <v>10</v>
      </c>
      <c r="AJ400" t="str">
        <f t="shared" si="33"/>
        <v>9-11</v>
      </c>
      <c r="AK400">
        <v>7</v>
      </c>
    </row>
    <row r="401" spans="1:37" x14ac:dyDescent="0.25">
      <c r="A401" s="8">
        <v>400</v>
      </c>
      <c r="B401" t="s">
        <v>44</v>
      </c>
      <c r="C401" t="s">
        <v>45</v>
      </c>
      <c r="D401" s="8">
        <v>31</v>
      </c>
      <c r="E401" t="str">
        <f t="shared" si="34"/>
        <v>26-35</v>
      </c>
      <c r="F401" t="s">
        <v>46</v>
      </c>
      <c r="G401" t="s">
        <v>39</v>
      </c>
      <c r="H401" s="8" t="s">
        <v>48</v>
      </c>
      <c r="I401" s="10">
        <v>1</v>
      </c>
      <c r="J401" t="str">
        <f t="shared" si="30"/>
        <v>Near</v>
      </c>
      <c r="K401">
        <v>2</v>
      </c>
      <c r="L401" t="s">
        <v>41</v>
      </c>
      <c r="M401">
        <v>4</v>
      </c>
      <c r="N401">
        <v>2</v>
      </c>
      <c r="O401">
        <v>1</v>
      </c>
      <c r="P401" t="s">
        <v>51</v>
      </c>
      <c r="Q401">
        <v>1</v>
      </c>
      <c r="R401" s="11">
        <v>329</v>
      </c>
      <c r="S401" s="14">
        <v>98</v>
      </c>
      <c r="T401" s="13">
        <v>2218</v>
      </c>
      <c r="U401" s="13">
        <f t="shared" si="31"/>
        <v>26616</v>
      </c>
      <c r="V401" s="14">
        <v>16193</v>
      </c>
      <c r="W401">
        <v>1</v>
      </c>
      <c r="X401" s="8" t="s">
        <v>46</v>
      </c>
      <c r="Y401" s="15">
        <v>0.12</v>
      </c>
      <c r="Z401">
        <v>3</v>
      </c>
      <c r="AA401">
        <v>3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 t="str">
        <f t="shared" si="32"/>
        <v>0-3</v>
      </c>
      <c r="AI401">
        <v>3</v>
      </c>
      <c r="AJ401" t="str">
        <f t="shared" si="33"/>
        <v>3-5</v>
      </c>
      <c r="AK401">
        <v>2</v>
      </c>
    </row>
    <row r="402" spans="1:37" x14ac:dyDescent="0.25">
      <c r="A402" s="8">
        <v>401</v>
      </c>
      <c r="B402" t="s">
        <v>44</v>
      </c>
      <c r="C402" t="s">
        <v>54</v>
      </c>
      <c r="D402" s="8">
        <v>39</v>
      </c>
      <c r="E402" t="str">
        <f t="shared" si="34"/>
        <v>36-45</v>
      </c>
      <c r="F402" t="s">
        <v>46</v>
      </c>
      <c r="G402" t="s">
        <v>47</v>
      </c>
      <c r="H402" s="8" t="s">
        <v>48</v>
      </c>
      <c r="I402" s="10">
        <v>1</v>
      </c>
      <c r="J402" t="str">
        <f t="shared" si="30"/>
        <v>Near</v>
      </c>
      <c r="K402">
        <v>1</v>
      </c>
      <c r="L402" t="s">
        <v>41</v>
      </c>
      <c r="M402">
        <v>2</v>
      </c>
      <c r="N402">
        <v>3</v>
      </c>
      <c r="O402">
        <v>5</v>
      </c>
      <c r="P402" t="s">
        <v>59</v>
      </c>
      <c r="Q402">
        <v>3</v>
      </c>
      <c r="R402" s="11">
        <v>1218</v>
      </c>
      <c r="S402" s="14">
        <v>52</v>
      </c>
      <c r="T402" s="13">
        <v>19197</v>
      </c>
      <c r="U402" s="13">
        <f t="shared" si="31"/>
        <v>230364</v>
      </c>
      <c r="V402" s="14">
        <v>8213</v>
      </c>
      <c r="W402">
        <v>1</v>
      </c>
      <c r="X402" s="8" t="s">
        <v>38</v>
      </c>
      <c r="Y402" s="15">
        <v>0.14000000000000001</v>
      </c>
      <c r="Z402">
        <v>3</v>
      </c>
      <c r="AA402">
        <v>3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 t="str">
        <f t="shared" si="32"/>
        <v>8-11</v>
      </c>
      <c r="AI402">
        <v>1</v>
      </c>
      <c r="AJ402" t="str">
        <f t="shared" si="33"/>
        <v>0-2</v>
      </c>
      <c r="AK402">
        <v>6</v>
      </c>
    </row>
    <row r="403" spans="1:37" x14ac:dyDescent="0.25">
      <c r="A403" s="8">
        <v>402</v>
      </c>
      <c r="B403" t="s">
        <v>52</v>
      </c>
      <c r="C403" t="s">
        <v>45</v>
      </c>
      <c r="D403" s="8">
        <v>56</v>
      </c>
      <c r="E403" t="str">
        <f t="shared" si="34"/>
        <v>55+</v>
      </c>
      <c r="F403" t="s">
        <v>46</v>
      </c>
      <c r="G403" t="s">
        <v>47</v>
      </c>
      <c r="H403" s="8" t="s">
        <v>40</v>
      </c>
      <c r="I403" s="10">
        <v>6</v>
      </c>
      <c r="J403" t="str">
        <f t="shared" si="30"/>
        <v>Moderate</v>
      </c>
      <c r="K403">
        <v>3</v>
      </c>
      <c r="L403" t="s">
        <v>41</v>
      </c>
      <c r="M403">
        <v>3</v>
      </c>
      <c r="N403">
        <v>4</v>
      </c>
      <c r="O403">
        <v>4</v>
      </c>
      <c r="P403" t="s">
        <v>42</v>
      </c>
      <c r="Q403">
        <v>1</v>
      </c>
      <c r="R403" s="11">
        <v>906</v>
      </c>
      <c r="S403" s="14">
        <v>86</v>
      </c>
      <c r="T403" s="13">
        <v>13212</v>
      </c>
      <c r="U403" s="13">
        <f t="shared" si="31"/>
        <v>158544</v>
      </c>
      <c r="V403" s="14">
        <v>18256</v>
      </c>
      <c r="W403">
        <v>9</v>
      </c>
      <c r="X403" s="8" t="s">
        <v>46</v>
      </c>
      <c r="Y403" s="15">
        <v>0.11</v>
      </c>
      <c r="Z403">
        <v>3</v>
      </c>
      <c r="AA403">
        <v>4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 t="str">
        <f t="shared" si="32"/>
        <v>4-7</v>
      </c>
      <c r="AI403">
        <v>7</v>
      </c>
      <c r="AJ403" t="str">
        <f t="shared" si="33"/>
        <v>6-8</v>
      </c>
      <c r="AK403">
        <v>7</v>
      </c>
    </row>
    <row r="404" spans="1:37" x14ac:dyDescent="0.25">
      <c r="A404" s="8">
        <v>403</v>
      </c>
      <c r="B404" t="s">
        <v>52</v>
      </c>
      <c r="C404" t="s">
        <v>37</v>
      </c>
      <c r="D404" s="8">
        <v>30</v>
      </c>
      <c r="E404" t="str">
        <f t="shared" si="34"/>
        <v>26-35</v>
      </c>
      <c r="F404" t="s">
        <v>46</v>
      </c>
      <c r="G404" t="s">
        <v>39</v>
      </c>
      <c r="H404" s="8" t="s">
        <v>40</v>
      </c>
      <c r="I404" s="10">
        <v>12</v>
      </c>
      <c r="J404" t="str">
        <f t="shared" si="30"/>
        <v>Moderate</v>
      </c>
      <c r="K404">
        <v>3</v>
      </c>
      <c r="L404" t="s">
        <v>63</v>
      </c>
      <c r="M404">
        <v>2</v>
      </c>
      <c r="N404">
        <v>3</v>
      </c>
      <c r="O404">
        <v>2</v>
      </c>
      <c r="P404" t="s">
        <v>42</v>
      </c>
      <c r="Q404">
        <v>3</v>
      </c>
      <c r="R404" s="11">
        <v>1082</v>
      </c>
      <c r="S404" s="14">
        <v>83</v>
      </c>
      <c r="T404" s="13">
        <v>6577</v>
      </c>
      <c r="U404" s="13">
        <f t="shared" si="31"/>
        <v>78924</v>
      </c>
      <c r="V404" s="14">
        <v>19558</v>
      </c>
      <c r="W404">
        <v>0</v>
      </c>
      <c r="X404" s="8" t="s">
        <v>46</v>
      </c>
      <c r="Y404" s="15">
        <v>0.11</v>
      </c>
      <c r="Z404">
        <v>3</v>
      </c>
      <c r="AA404">
        <v>2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 t="str">
        <f t="shared" si="32"/>
        <v>4-7</v>
      </c>
      <c r="AI404">
        <v>4</v>
      </c>
      <c r="AJ404" t="str">
        <f t="shared" si="33"/>
        <v>3-5</v>
      </c>
      <c r="AK404">
        <v>4</v>
      </c>
    </row>
    <row r="405" spans="1:37" x14ac:dyDescent="0.25">
      <c r="A405" s="8">
        <v>404</v>
      </c>
      <c r="B405" t="s">
        <v>44</v>
      </c>
      <c r="C405" t="s">
        <v>45</v>
      </c>
      <c r="D405" s="8">
        <v>41</v>
      </c>
      <c r="E405" t="str">
        <f t="shared" si="34"/>
        <v>36-45</v>
      </c>
      <c r="F405" t="s">
        <v>46</v>
      </c>
      <c r="G405" t="s">
        <v>39</v>
      </c>
      <c r="H405" s="8" t="s">
        <v>40</v>
      </c>
      <c r="I405" s="10">
        <v>1</v>
      </c>
      <c r="J405" t="str">
        <f t="shared" si="30"/>
        <v>Near</v>
      </c>
      <c r="K405">
        <v>3</v>
      </c>
      <c r="L405" t="s">
        <v>62</v>
      </c>
      <c r="M405">
        <v>2</v>
      </c>
      <c r="N405">
        <v>4</v>
      </c>
      <c r="O405">
        <v>3</v>
      </c>
      <c r="P405" t="s">
        <v>42</v>
      </c>
      <c r="Q405">
        <v>1</v>
      </c>
      <c r="R405" s="11">
        <v>645</v>
      </c>
      <c r="S405" s="14">
        <v>49</v>
      </c>
      <c r="T405" s="13">
        <v>8392</v>
      </c>
      <c r="U405" s="13">
        <f t="shared" si="31"/>
        <v>100704</v>
      </c>
      <c r="V405" s="14">
        <v>19566</v>
      </c>
      <c r="W405">
        <v>1</v>
      </c>
      <c r="X405" s="8" t="s">
        <v>46</v>
      </c>
      <c r="Y405" s="15">
        <v>0.16</v>
      </c>
      <c r="Z405">
        <v>3</v>
      </c>
      <c r="AA405">
        <v>3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 t="str">
        <f t="shared" si="32"/>
        <v>4-7</v>
      </c>
      <c r="AI405">
        <v>0</v>
      </c>
      <c r="AJ405" t="str">
        <f t="shared" si="33"/>
        <v>0-2</v>
      </c>
      <c r="AK405">
        <v>7</v>
      </c>
    </row>
    <row r="406" spans="1:37" x14ac:dyDescent="0.25">
      <c r="A406" s="8">
        <v>405</v>
      </c>
      <c r="B406" t="s">
        <v>44</v>
      </c>
      <c r="C406" t="s">
        <v>54</v>
      </c>
      <c r="D406" s="8">
        <v>28</v>
      </c>
      <c r="E406" t="str">
        <f t="shared" si="34"/>
        <v>26-35</v>
      </c>
      <c r="F406" t="s">
        <v>46</v>
      </c>
      <c r="G406" t="s">
        <v>39</v>
      </c>
      <c r="H406" s="8" t="s">
        <v>48</v>
      </c>
      <c r="I406" s="10">
        <v>17</v>
      </c>
      <c r="J406" t="str">
        <f t="shared" si="30"/>
        <v>Far</v>
      </c>
      <c r="K406">
        <v>2</v>
      </c>
      <c r="L406" t="s">
        <v>53</v>
      </c>
      <c r="M406">
        <v>3</v>
      </c>
      <c r="N406">
        <v>3</v>
      </c>
      <c r="O406">
        <v>2</v>
      </c>
      <c r="P406" t="s">
        <v>51</v>
      </c>
      <c r="Q406">
        <v>1</v>
      </c>
      <c r="R406" s="11">
        <v>1300</v>
      </c>
      <c r="S406" s="14">
        <v>79</v>
      </c>
      <c r="T406" s="13">
        <v>4558</v>
      </c>
      <c r="U406" s="13">
        <f t="shared" si="31"/>
        <v>54696</v>
      </c>
      <c r="V406" s="14">
        <v>13535</v>
      </c>
      <c r="W406">
        <v>1</v>
      </c>
      <c r="X406" s="8" t="s">
        <v>46</v>
      </c>
      <c r="Y406" s="15">
        <v>0.12</v>
      </c>
      <c r="Z406">
        <v>3</v>
      </c>
      <c r="AA406">
        <v>4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 t="str">
        <f t="shared" si="32"/>
        <v>0-3</v>
      </c>
      <c r="AI406">
        <v>1</v>
      </c>
      <c r="AJ406" t="str">
        <f t="shared" si="33"/>
        <v>0-2</v>
      </c>
      <c r="AK406">
        <v>8</v>
      </c>
    </row>
    <row r="407" spans="1:37" x14ac:dyDescent="0.25">
      <c r="A407" s="8">
        <v>406</v>
      </c>
      <c r="B407" t="s">
        <v>44</v>
      </c>
      <c r="C407" t="s">
        <v>45</v>
      </c>
      <c r="D407" s="8">
        <v>25</v>
      </c>
      <c r="E407" t="str">
        <f t="shared" si="34"/>
        <v>26-35</v>
      </c>
      <c r="F407" t="s">
        <v>38</v>
      </c>
      <c r="G407" t="s">
        <v>39</v>
      </c>
      <c r="H407" s="8" t="s">
        <v>48</v>
      </c>
      <c r="I407" s="10">
        <v>3</v>
      </c>
      <c r="J407" t="str">
        <f t="shared" si="30"/>
        <v>Near</v>
      </c>
      <c r="K407">
        <v>3</v>
      </c>
      <c r="L407" t="s">
        <v>53</v>
      </c>
      <c r="M407">
        <v>1</v>
      </c>
      <c r="N407">
        <v>3</v>
      </c>
      <c r="O407">
        <v>1</v>
      </c>
      <c r="P407" t="s">
        <v>51</v>
      </c>
      <c r="Q407">
        <v>1</v>
      </c>
      <c r="R407" s="11">
        <v>688</v>
      </c>
      <c r="S407" s="14">
        <v>91</v>
      </c>
      <c r="T407" s="13">
        <v>4031</v>
      </c>
      <c r="U407" s="13">
        <f t="shared" si="31"/>
        <v>48372</v>
      </c>
      <c r="V407" s="14">
        <v>9396</v>
      </c>
      <c r="W407">
        <v>5</v>
      </c>
      <c r="X407" s="8" t="s">
        <v>46</v>
      </c>
      <c r="Y407" s="15">
        <v>0.13</v>
      </c>
      <c r="Z407">
        <v>3</v>
      </c>
      <c r="AA407">
        <v>3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 t="str">
        <f t="shared" si="32"/>
        <v>0-3</v>
      </c>
      <c r="AI407">
        <v>0</v>
      </c>
      <c r="AJ407" t="str">
        <f t="shared" si="33"/>
        <v>0-2</v>
      </c>
      <c r="AK407">
        <v>2</v>
      </c>
    </row>
    <row r="408" spans="1:37" x14ac:dyDescent="0.25">
      <c r="A408" s="8">
        <v>407</v>
      </c>
      <c r="B408" t="s">
        <v>44</v>
      </c>
      <c r="C408" t="s">
        <v>45</v>
      </c>
      <c r="D408" s="8">
        <v>52</v>
      </c>
      <c r="E408" t="str">
        <f t="shared" si="34"/>
        <v>46-55</v>
      </c>
      <c r="F408" t="s">
        <v>46</v>
      </c>
      <c r="G408" t="s">
        <v>39</v>
      </c>
      <c r="H408" s="8" t="s">
        <v>48</v>
      </c>
      <c r="I408" s="10">
        <v>3</v>
      </c>
      <c r="J408" t="str">
        <f t="shared" si="30"/>
        <v>Near</v>
      </c>
      <c r="K408">
        <v>3</v>
      </c>
      <c r="L408" t="s">
        <v>53</v>
      </c>
      <c r="M408">
        <v>4</v>
      </c>
      <c r="N408">
        <v>2</v>
      </c>
      <c r="O408">
        <v>3</v>
      </c>
      <c r="P408" t="s">
        <v>55</v>
      </c>
      <c r="Q408">
        <v>3</v>
      </c>
      <c r="R408" s="11">
        <v>319</v>
      </c>
      <c r="S408" s="14">
        <v>39</v>
      </c>
      <c r="T408" s="13">
        <v>7969</v>
      </c>
      <c r="U408" s="13">
        <f t="shared" si="31"/>
        <v>95628</v>
      </c>
      <c r="V408" s="14">
        <v>19609</v>
      </c>
      <c r="W408">
        <v>2</v>
      </c>
      <c r="X408" s="8" t="s">
        <v>38</v>
      </c>
      <c r="Y408" s="15">
        <v>0.14000000000000001</v>
      </c>
      <c r="Z408">
        <v>3</v>
      </c>
      <c r="AA408">
        <v>3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 t="str">
        <f t="shared" si="32"/>
        <v>4-7</v>
      </c>
      <c r="AI408">
        <v>0</v>
      </c>
      <c r="AJ408" t="str">
        <f t="shared" si="33"/>
        <v>0-2</v>
      </c>
      <c r="AK408">
        <v>4</v>
      </c>
    </row>
    <row r="409" spans="1:37" x14ac:dyDescent="0.25">
      <c r="A409" s="8">
        <v>408</v>
      </c>
      <c r="B409" t="s">
        <v>44</v>
      </c>
      <c r="C409" t="s">
        <v>45</v>
      </c>
      <c r="D409" s="8">
        <v>45</v>
      </c>
      <c r="E409" t="str">
        <f t="shared" si="34"/>
        <v>36-45</v>
      </c>
      <c r="F409" t="s">
        <v>46</v>
      </c>
      <c r="G409" t="s">
        <v>39</v>
      </c>
      <c r="H409" s="8" t="s">
        <v>48</v>
      </c>
      <c r="I409" s="10">
        <v>10</v>
      </c>
      <c r="J409" t="str">
        <f t="shared" si="30"/>
        <v>Moderate</v>
      </c>
      <c r="K409">
        <v>2</v>
      </c>
      <c r="L409" t="s">
        <v>41</v>
      </c>
      <c r="M409">
        <v>1</v>
      </c>
      <c r="N409">
        <v>3</v>
      </c>
      <c r="O409">
        <v>1</v>
      </c>
      <c r="P409" t="s">
        <v>49</v>
      </c>
      <c r="Q409">
        <v>4</v>
      </c>
      <c r="R409" s="11">
        <v>192</v>
      </c>
      <c r="S409" s="14">
        <v>69</v>
      </c>
      <c r="T409" s="13">
        <v>2654</v>
      </c>
      <c r="U409" s="13">
        <f t="shared" si="31"/>
        <v>31848</v>
      </c>
      <c r="V409" s="14">
        <v>9655</v>
      </c>
      <c r="W409">
        <v>3</v>
      </c>
      <c r="X409" s="8" t="s">
        <v>46</v>
      </c>
      <c r="Y409" s="15">
        <v>0.21</v>
      </c>
      <c r="Z409">
        <v>4</v>
      </c>
      <c r="AA409">
        <v>4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 t="str">
        <f t="shared" si="32"/>
        <v>0-3</v>
      </c>
      <c r="AI409">
        <v>0</v>
      </c>
      <c r="AJ409" t="str">
        <f t="shared" si="33"/>
        <v>0-2</v>
      </c>
      <c r="AK409">
        <v>2</v>
      </c>
    </row>
    <row r="410" spans="1:37" x14ac:dyDescent="0.25">
      <c r="A410" s="8">
        <v>409</v>
      </c>
      <c r="B410" t="s">
        <v>52</v>
      </c>
      <c r="C410" t="s">
        <v>45</v>
      </c>
      <c r="D410" s="8">
        <v>52</v>
      </c>
      <c r="E410" t="str">
        <f t="shared" si="34"/>
        <v>46-55</v>
      </c>
      <c r="F410" t="s">
        <v>46</v>
      </c>
      <c r="G410" t="s">
        <v>39</v>
      </c>
      <c r="H410" s="8" t="s">
        <v>48</v>
      </c>
      <c r="I410" s="10">
        <v>4</v>
      </c>
      <c r="J410" t="str">
        <f t="shared" si="30"/>
        <v>Near</v>
      </c>
      <c r="K410">
        <v>2</v>
      </c>
      <c r="L410" t="s">
        <v>41</v>
      </c>
      <c r="M410">
        <v>4</v>
      </c>
      <c r="N410">
        <v>3</v>
      </c>
      <c r="O410">
        <v>4</v>
      </c>
      <c r="P410" t="s">
        <v>59</v>
      </c>
      <c r="Q410">
        <v>4</v>
      </c>
      <c r="R410" s="11">
        <v>1490</v>
      </c>
      <c r="S410" s="14">
        <v>30</v>
      </c>
      <c r="T410" s="13">
        <v>16555</v>
      </c>
      <c r="U410" s="13">
        <f t="shared" si="31"/>
        <v>198660</v>
      </c>
      <c r="V410" s="14">
        <v>10310</v>
      </c>
      <c r="W410">
        <v>2</v>
      </c>
      <c r="X410" s="8" t="s">
        <v>46</v>
      </c>
      <c r="Y410" s="15">
        <v>0.13</v>
      </c>
      <c r="Z410">
        <v>3</v>
      </c>
      <c r="AA410">
        <v>4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 t="str">
        <f t="shared" si="32"/>
        <v>0-3</v>
      </c>
      <c r="AI410">
        <v>1</v>
      </c>
      <c r="AJ410" t="str">
        <f t="shared" si="33"/>
        <v>0-2</v>
      </c>
      <c r="AK410">
        <v>4</v>
      </c>
    </row>
    <row r="411" spans="1:37" x14ac:dyDescent="0.25">
      <c r="A411" s="8">
        <v>410</v>
      </c>
      <c r="B411" t="s">
        <v>52</v>
      </c>
      <c r="C411" t="s">
        <v>54</v>
      </c>
      <c r="D411" s="8">
        <v>42</v>
      </c>
      <c r="E411" t="str">
        <f t="shared" si="34"/>
        <v>36-45</v>
      </c>
      <c r="F411" t="s">
        <v>46</v>
      </c>
      <c r="G411" t="s">
        <v>47</v>
      </c>
      <c r="H411" s="8" t="s">
        <v>48</v>
      </c>
      <c r="I411" s="10">
        <v>29</v>
      </c>
      <c r="J411" t="str">
        <f t="shared" si="30"/>
        <v>Far</v>
      </c>
      <c r="K411">
        <v>2</v>
      </c>
      <c r="L411" t="s">
        <v>41</v>
      </c>
      <c r="M411">
        <v>1</v>
      </c>
      <c r="N411">
        <v>3</v>
      </c>
      <c r="O411">
        <v>2</v>
      </c>
      <c r="P411" t="s">
        <v>49</v>
      </c>
      <c r="Q411">
        <v>3</v>
      </c>
      <c r="R411" s="11">
        <v>532</v>
      </c>
      <c r="S411" s="14">
        <v>92</v>
      </c>
      <c r="T411" s="13">
        <v>4556</v>
      </c>
      <c r="U411" s="13">
        <f t="shared" si="31"/>
        <v>54672</v>
      </c>
      <c r="V411" s="14">
        <v>12932</v>
      </c>
      <c r="W411">
        <v>2</v>
      </c>
      <c r="X411" s="8" t="s">
        <v>46</v>
      </c>
      <c r="Y411" s="15">
        <v>0.11</v>
      </c>
      <c r="Z411">
        <v>3</v>
      </c>
      <c r="AA411">
        <v>2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 t="str">
        <f t="shared" si="32"/>
        <v>4-7</v>
      </c>
      <c r="AI411">
        <v>0</v>
      </c>
      <c r="AJ411" t="str">
        <f t="shared" si="33"/>
        <v>0-2</v>
      </c>
      <c r="AK411">
        <v>2</v>
      </c>
    </row>
    <row r="412" spans="1:37" x14ac:dyDescent="0.25">
      <c r="A412" s="8">
        <v>411</v>
      </c>
      <c r="B412" t="s">
        <v>52</v>
      </c>
      <c r="C412" t="s">
        <v>37</v>
      </c>
      <c r="D412" s="8">
        <v>30</v>
      </c>
      <c r="E412" t="str">
        <f t="shared" si="34"/>
        <v>26-35</v>
      </c>
      <c r="F412" t="s">
        <v>46</v>
      </c>
      <c r="G412" t="s">
        <v>39</v>
      </c>
      <c r="H412" s="8" t="s">
        <v>48</v>
      </c>
      <c r="I412" s="10">
        <v>2</v>
      </c>
      <c r="J412" t="str">
        <f t="shared" si="30"/>
        <v>Near</v>
      </c>
      <c r="K412">
        <v>3</v>
      </c>
      <c r="L412" t="s">
        <v>41</v>
      </c>
      <c r="M412">
        <v>3</v>
      </c>
      <c r="N412">
        <v>1</v>
      </c>
      <c r="O412">
        <v>2</v>
      </c>
      <c r="P412" t="s">
        <v>55</v>
      </c>
      <c r="Q412">
        <v>4</v>
      </c>
      <c r="R412" s="11">
        <v>317</v>
      </c>
      <c r="S412" s="14">
        <v>43</v>
      </c>
      <c r="T412" s="13">
        <v>6091</v>
      </c>
      <c r="U412" s="13">
        <f t="shared" si="31"/>
        <v>73092</v>
      </c>
      <c r="V412" s="14">
        <v>24793</v>
      </c>
      <c r="W412">
        <v>2</v>
      </c>
      <c r="X412" s="8" t="s">
        <v>46</v>
      </c>
      <c r="Y412" s="15">
        <v>0.2</v>
      </c>
      <c r="Z412">
        <v>4</v>
      </c>
      <c r="AA412">
        <v>3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 t="str">
        <f t="shared" si="32"/>
        <v>4-7</v>
      </c>
      <c r="AI412">
        <v>0</v>
      </c>
      <c r="AJ412" t="str">
        <f t="shared" si="33"/>
        <v>0-2</v>
      </c>
      <c r="AK412">
        <v>2</v>
      </c>
    </row>
    <row r="413" spans="1:37" x14ac:dyDescent="0.25">
      <c r="A413" s="8">
        <v>412</v>
      </c>
      <c r="B413" t="s">
        <v>52</v>
      </c>
      <c r="C413" t="s">
        <v>45</v>
      </c>
      <c r="D413" s="8">
        <v>60</v>
      </c>
      <c r="E413" t="str">
        <f t="shared" si="34"/>
        <v>55+</v>
      </c>
      <c r="F413" t="s">
        <v>46</v>
      </c>
      <c r="G413" t="s">
        <v>39</v>
      </c>
      <c r="H413" s="8" t="s">
        <v>48</v>
      </c>
      <c r="I413" s="10">
        <v>7</v>
      </c>
      <c r="J413" t="str">
        <f t="shared" si="30"/>
        <v>Moderate</v>
      </c>
      <c r="K413">
        <v>3</v>
      </c>
      <c r="L413" t="s">
        <v>41</v>
      </c>
      <c r="M413">
        <v>1</v>
      </c>
      <c r="N413">
        <v>3</v>
      </c>
      <c r="O413">
        <v>5</v>
      </c>
      <c r="P413" t="s">
        <v>59</v>
      </c>
      <c r="Q413">
        <v>1</v>
      </c>
      <c r="R413" s="11">
        <v>422</v>
      </c>
      <c r="S413" s="14">
        <v>41</v>
      </c>
      <c r="T413" s="13">
        <v>19566</v>
      </c>
      <c r="U413" s="13">
        <f t="shared" si="31"/>
        <v>234792</v>
      </c>
      <c r="V413" s="14">
        <v>3854</v>
      </c>
      <c r="W413">
        <v>5</v>
      </c>
      <c r="X413" s="8" t="s">
        <v>46</v>
      </c>
      <c r="Y413" s="15">
        <v>0.11</v>
      </c>
      <c r="Z413">
        <v>3</v>
      </c>
      <c r="AA413">
        <v>4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 t="str">
        <f t="shared" si="32"/>
        <v>8-11</v>
      </c>
      <c r="AI413">
        <v>11</v>
      </c>
      <c r="AJ413" t="str">
        <f t="shared" si="33"/>
        <v>9-11</v>
      </c>
      <c r="AK413">
        <v>10</v>
      </c>
    </row>
    <row r="414" spans="1:37" x14ac:dyDescent="0.25">
      <c r="A414" s="8">
        <v>413</v>
      </c>
      <c r="B414" t="s">
        <v>52</v>
      </c>
      <c r="C414" t="s">
        <v>54</v>
      </c>
      <c r="D414" s="8">
        <v>46</v>
      </c>
      <c r="E414" t="str">
        <f t="shared" si="34"/>
        <v>46-55</v>
      </c>
      <c r="F414" t="s">
        <v>46</v>
      </c>
      <c r="G414" t="s">
        <v>39</v>
      </c>
      <c r="H414" s="8" t="s">
        <v>48</v>
      </c>
      <c r="I414" s="10">
        <v>18</v>
      </c>
      <c r="J414" t="str">
        <f t="shared" si="30"/>
        <v>Far</v>
      </c>
      <c r="K414">
        <v>3</v>
      </c>
      <c r="L414" t="s">
        <v>53</v>
      </c>
      <c r="M414">
        <v>3</v>
      </c>
      <c r="N414">
        <v>3</v>
      </c>
      <c r="O414">
        <v>2</v>
      </c>
      <c r="P414" t="s">
        <v>55</v>
      </c>
      <c r="Q414">
        <v>3</v>
      </c>
      <c r="R414" s="11">
        <v>1485</v>
      </c>
      <c r="S414" s="14">
        <v>87</v>
      </c>
      <c r="T414" s="13">
        <v>4810</v>
      </c>
      <c r="U414" s="13">
        <f t="shared" si="31"/>
        <v>57720</v>
      </c>
      <c r="V414" s="14">
        <v>26314</v>
      </c>
      <c r="W414">
        <v>2</v>
      </c>
      <c r="X414" s="8" t="s">
        <v>46</v>
      </c>
      <c r="Y414" s="15">
        <v>0.14000000000000001</v>
      </c>
      <c r="Z414">
        <v>3</v>
      </c>
      <c r="AA414">
        <v>3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 t="str">
        <f t="shared" si="32"/>
        <v>4-7</v>
      </c>
      <c r="AI414">
        <v>0</v>
      </c>
      <c r="AJ414" t="str">
        <f t="shared" si="33"/>
        <v>0-2</v>
      </c>
      <c r="AK414">
        <v>8</v>
      </c>
    </row>
    <row r="415" spans="1:37" x14ac:dyDescent="0.25">
      <c r="A415" s="8">
        <v>414</v>
      </c>
      <c r="B415" t="s">
        <v>52</v>
      </c>
      <c r="C415" t="s">
        <v>45</v>
      </c>
      <c r="D415" s="8">
        <v>42</v>
      </c>
      <c r="E415" t="str">
        <f t="shared" si="34"/>
        <v>36-45</v>
      </c>
      <c r="F415" t="s">
        <v>46</v>
      </c>
      <c r="G415" t="s">
        <v>47</v>
      </c>
      <c r="H415" s="8" t="s">
        <v>48</v>
      </c>
      <c r="I415" s="10">
        <v>28</v>
      </c>
      <c r="J415" t="str">
        <f t="shared" si="30"/>
        <v>Far</v>
      </c>
      <c r="K415">
        <v>4</v>
      </c>
      <c r="L415" t="s">
        <v>63</v>
      </c>
      <c r="M415">
        <v>4</v>
      </c>
      <c r="N415">
        <v>2</v>
      </c>
      <c r="O415">
        <v>2</v>
      </c>
      <c r="P415" t="s">
        <v>56</v>
      </c>
      <c r="Q415">
        <v>4</v>
      </c>
      <c r="R415" s="11">
        <v>1368</v>
      </c>
      <c r="S415" s="14">
        <v>88</v>
      </c>
      <c r="T415" s="13">
        <v>4523</v>
      </c>
      <c r="U415" s="13">
        <f t="shared" si="31"/>
        <v>54276</v>
      </c>
      <c r="V415" s="14">
        <v>4386</v>
      </c>
      <c r="W415">
        <v>0</v>
      </c>
      <c r="X415" s="8" t="s">
        <v>46</v>
      </c>
      <c r="Y415" s="15">
        <v>0.11</v>
      </c>
      <c r="Z415">
        <v>3</v>
      </c>
      <c r="AA415">
        <v>4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 t="str">
        <f t="shared" si="32"/>
        <v>4-7</v>
      </c>
      <c r="AI415">
        <v>0</v>
      </c>
      <c r="AJ415" t="str">
        <f t="shared" si="33"/>
        <v>0-2</v>
      </c>
      <c r="AK415">
        <v>4</v>
      </c>
    </row>
    <row r="416" spans="1:37" x14ac:dyDescent="0.25">
      <c r="A416" s="8">
        <v>415</v>
      </c>
      <c r="B416" t="s">
        <v>52</v>
      </c>
      <c r="C416" t="s">
        <v>37</v>
      </c>
      <c r="D416" s="8">
        <v>24</v>
      </c>
      <c r="E416" t="str">
        <f t="shared" si="34"/>
        <v>18-25</v>
      </c>
      <c r="F416" t="s">
        <v>38</v>
      </c>
      <c r="G416" t="s">
        <v>39</v>
      </c>
      <c r="H416" s="8" t="s">
        <v>40</v>
      </c>
      <c r="I416" s="10">
        <v>1</v>
      </c>
      <c r="J416" t="str">
        <f t="shared" si="30"/>
        <v>Near</v>
      </c>
      <c r="K416">
        <v>1</v>
      </c>
      <c r="L416" t="s">
        <v>63</v>
      </c>
      <c r="M416">
        <v>1</v>
      </c>
      <c r="N416">
        <v>3</v>
      </c>
      <c r="O416">
        <v>1</v>
      </c>
      <c r="P416" t="s">
        <v>60</v>
      </c>
      <c r="Q416">
        <v>2</v>
      </c>
      <c r="R416" s="11">
        <v>1448</v>
      </c>
      <c r="S416" s="14">
        <v>62</v>
      </c>
      <c r="T416" s="13">
        <v>3202</v>
      </c>
      <c r="U416" s="13">
        <f t="shared" si="31"/>
        <v>38424</v>
      </c>
      <c r="V416" s="14">
        <v>21972</v>
      </c>
      <c r="W416">
        <v>1</v>
      </c>
      <c r="X416" s="8" t="s">
        <v>38</v>
      </c>
      <c r="Y416" s="15">
        <v>0.16</v>
      </c>
      <c r="Z416">
        <v>3</v>
      </c>
      <c r="AA416">
        <v>2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 t="str">
        <f t="shared" si="32"/>
        <v>0-3</v>
      </c>
      <c r="AI416">
        <v>1</v>
      </c>
      <c r="AJ416" t="str">
        <f t="shared" si="33"/>
        <v>0-2</v>
      </c>
      <c r="AK416">
        <v>4</v>
      </c>
    </row>
    <row r="417" spans="1:37" x14ac:dyDescent="0.25">
      <c r="A417" s="8">
        <v>416</v>
      </c>
      <c r="B417" t="s">
        <v>52</v>
      </c>
      <c r="C417" t="s">
        <v>54</v>
      </c>
      <c r="D417" s="8">
        <v>34</v>
      </c>
      <c r="E417" t="str">
        <f t="shared" si="34"/>
        <v>26-35</v>
      </c>
      <c r="F417" t="s">
        <v>38</v>
      </c>
      <c r="G417" t="s">
        <v>47</v>
      </c>
      <c r="H417" s="8" t="s">
        <v>40</v>
      </c>
      <c r="I417" s="10">
        <v>6</v>
      </c>
      <c r="J417" t="str">
        <f t="shared" si="30"/>
        <v>Moderate</v>
      </c>
      <c r="K417">
        <v>2</v>
      </c>
      <c r="L417" t="s">
        <v>62</v>
      </c>
      <c r="M417">
        <v>4</v>
      </c>
      <c r="N417">
        <v>1</v>
      </c>
      <c r="O417">
        <v>1</v>
      </c>
      <c r="P417" t="s">
        <v>60</v>
      </c>
      <c r="Q417">
        <v>3</v>
      </c>
      <c r="R417" s="11">
        <v>296</v>
      </c>
      <c r="S417" s="14">
        <v>33</v>
      </c>
      <c r="T417" s="13">
        <v>2351</v>
      </c>
      <c r="U417" s="13">
        <f t="shared" si="31"/>
        <v>28212</v>
      </c>
      <c r="V417" s="14">
        <v>12253</v>
      </c>
      <c r="W417">
        <v>0</v>
      </c>
      <c r="X417" s="8" t="s">
        <v>46</v>
      </c>
      <c r="Y417" s="15">
        <v>0.16</v>
      </c>
      <c r="Z417">
        <v>3</v>
      </c>
      <c r="AA417">
        <v>4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 t="str">
        <f t="shared" si="32"/>
        <v>0-3</v>
      </c>
      <c r="AI417">
        <v>1</v>
      </c>
      <c r="AJ417" t="str">
        <f t="shared" si="33"/>
        <v>0-2</v>
      </c>
      <c r="AK417">
        <v>0</v>
      </c>
    </row>
    <row r="418" spans="1:37" x14ac:dyDescent="0.25">
      <c r="A418" s="8">
        <v>417</v>
      </c>
      <c r="B418" t="s">
        <v>44</v>
      </c>
      <c r="C418" t="s">
        <v>45</v>
      </c>
      <c r="D418" s="8">
        <v>38</v>
      </c>
      <c r="E418" t="str">
        <f t="shared" si="34"/>
        <v>36-45</v>
      </c>
      <c r="F418" t="s">
        <v>46</v>
      </c>
      <c r="G418" t="s">
        <v>47</v>
      </c>
      <c r="H418" s="8" t="s">
        <v>48</v>
      </c>
      <c r="I418" s="10">
        <v>2</v>
      </c>
      <c r="J418" t="str">
        <f t="shared" si="30"/>
        <v>Near</v>
      </c>
      <c r="K418">
        <v>2</v>
      </c>
      <c r="L418" t="s">
        <v>41</v>
      </c>
      <c r="M418">
        <v>4</v>
      </c>
      <c r="N418">
        <v>3</v>
      </c>
      <c r="O418">
        <v>1</v>
      </c>
      <c r="P418" t="s">
        <v>51</v>
      </c>
      <c r="Q418">
        <v>4</v>
      </c>
      <c r="R418" s="11">
        <v>1490</v>
      </c>
      <c r="S418" s="14">
        <v>42</v>
      </c>
      <c r="T418" s="13">
        <v>1702</v>
      </c>
      <c r="U418" s="13">
        <f t="shared" si="31"/>
        <v>20424</v>
      </c>
      <c r="V418" s="14">
        <v>12106</v>
      </c>
      <c r="W418">
        <v>1</v>
      </c>
      <c r="X418" s="8" t="s">
        <v>38</v>
      </c>
      <c r="Y418" s="15">
        <v>0.23</v>
      </c>
      <c r="Z418">
        <v>4</v>
      </c>
      <c r="AA418">
        <v>3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 t="str">
        <f t="shared" si="32"/>
        <v>0-3</v>
      </c>
      <c r="AI418">
        <v>0</v>
      </c>
      <c r="AJ418" t="str">
        <f t="shared" si="33"/>
        <v>0-2</v>
      </c>
      <c r="AK418">
        <v>0</v>
      </c>
    </row>
    <row r="419" spans="1:37" x14ac:dyDescent="0.25">
      <c r="A419" s="8">
        <v>418</v>
      </c>
      <c r="B419" t="s">
        <v>52</v>
      </c>
      <c r="C419" t="s">
        <v>45</v>
      </c>
      <c r="D419" s="8">
        <v>40</v>
      </c>
      <c r="E419" t="str">
        <f t="shared" si="34"/>
        <v>36-45</v>
      </c>
      <c r="F419" t="s">
        <v>46</v>
      </c>
      <c r="G419" t="s">
        <v>39</v>
      </c>
      <c r="H419" s="8" t="s">
        <v>40</v>
      </c>
      <c r="I419" s="10">
        <v>2</v>
      </c>
      <c r="J419" t="str">
        <f t="shared" si="30"/>
        <v>Near</v>
      </c>
      <c r="K419">
        <v>4</v>
      </c>
      <c r="L419" t="s">
        <v>41</v>
      </c>
      <c r="M419">
        <v>3</v>
      </c>
      <c r="N419">
        <v>3</v>
      </c>
      <c r="O419">
        <v>5</v>
      </c>
      <c r="P419" t="s">
        <v>59</v>
      </c>
      <c r="Q419">
        <v>3</v>
      </c>
      <c r="R419" s="11">
        <v>1398</v>
      </c>
      <c r="S419" s="14">
        <v>79</v>
      </c>
      <c r="T419" s="13">
        <v>18041</v>
      </c>
      <c r="U419" s="13">
        <f t="shared" si="31"/>
        <v>216492</v>
      </c>
      <c r="V419" s="14">
        <v>13022</v>
      </c>
      <c r="W419">
        <v>0</v>
      </c>
      <c r="X419" s="8" t="s">
        <v>46</v>
      </c>
      <c r="Y419" s="15">
        <v>0.14000000000000001</v>
      </c>
      <c r="Z419">
        <v>3</v>
      </c>
      <c r="AA419">
        <v>4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 t="str">
        <f t="shared" si="32"/>
        <v>12-15</v>
      </c>
      <c r="AI419">
        <v>1</v>
      </c>
      <c r="AJ419" t="str">
        <f t="shared" si="33"/>
        <v>0-2</v>
      </c>
      <c r="AK419">
        <v>12</v>
      </c>
    </row>
    <row r="420" spans="1:37" x14ac:dyDescent="0.25">
      <c r="A420" s="8">
        <v>419</v>
      </c>
      <c r="B420" t="s">
        <v>52</v>
      </c>
      <c r="C420" t="s">
        <v>54</v>
      </c>
      <c r="D420" s="8">
        <v>26</v>
      </c>
      <c r="E420" t="str">
        <f t="shared" si="34"/>
        <v>26-35</v>
      </c>
      <c r="F420" t="s">
        <v>46</v>
      </c>
      <c r="G420" t="s">
        <v>39</v>
      </c>
      <c r="H420" s="8" t="s">
        <v>48</v>
      </c>
      <c r="I420" s="10">
        <v>23</v>
      </c>
      <c r="J420" t="str">
        <f t="shared" si="30"/>
        <v>Far</v>
      </c>
      <c r="K420">
        <v>3</v>
      </c>
      <c r="L420" t="s">
        <v>41</v>
      </c>
      <c r="M420">
        <v>1</v>
      </c>
      <c r="N420">
        <v>3</v>
      </c>
      <c r="O420">
        <v>1</v>
      </c>
      <c r="P420" t="s">
        <v>49</v>
      </c>
      <c r="Q420">
        <v>4</v>
      </c>
      <c r="R420" s="11">
        <v>1349</v>
      </c>
      <c r="S420" s="14">
        <v>90</v>
      </c>
      <c r="T420" s="13">
        <v>2886</v>
      </c>
      <c r="U420" s="13">
        <f t="shared" si="31"/>
        <v>34632</v>
      </c>
      <c r="V420" s="14">
        <v>3032</v>
      </c>
      <c r="W420">
        <v>1</v>
      </c>
      <c r="X420" s="8" t="s">
        <v>46</v>
      </c>
      <c r="Y420" s="15">
        <v>0.22</v>
      </c>
      <c r="Z420">
        <v>4</v>
      </c>
      <c r="AA420">
        <v>2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 t="str">
        <f t="shared" si="32"/>
        <v>0-3</v>
      </c>
      <c r="AI420">
        <v>0</v>
      </c>
      <c r="AJ420" t="str">
        <f t="shared" si="33"/>
        <v>0-2</v>
      </c>
      <c r="AK420">
        <v>2</v>
      </c>
    </row>
    <row r="421" spans="1:37" x14ac:dyDescent="0.25">
      <c r="A421" s="8">
        <v>420</v>
      </c>
      <c r="B421" t="s">
        <v>44</v>
      </c>
      <c r="C421" t="s">
        <v>45</v>
      </c>
      <c r="D421" s="8">
        <v>30</v>
      </c>
      <c r="E421" t="str">
        <f t="shared" si="34"/>
        <v>26-35</v>
      </c>
      <c r="F421" t="s">
        <v>46</v>
      </c>
      <c r="G421" t="s">
        <v>58</v>
      </c>
      <c r="H421" s="8" t="s">
        <v>48</v>
      </c>
      <c r="I421" s="10">
        <v>3</v>
      </c>
      <c r="J421" t="str">
        <f t="shared" si="30"/>
        <v>Near</v>
      </c>
      <c r="K421">
        <v>3</v>
      </c>
      <c r="L421" t="s">
        <v>41</v>
      </c>
      <c r="M421">
        <v>3</v>
      </c>
      <c r="N421">
        <v>3</v>
      </c>
      <c r="O421">
        <v>1</v>
      </c>
      <c r="P421" t="s">
        <v>51</v>
      </c>
      <c r="Q421">
        <v>4</v>
      </c>
      <c r="R421" s="11">
        <v>1400</v>
      </c>
      <c r="S421" s="14">
        <v>53</v>
      </c>
      <c r="T421" s="13">
        <v>2097</v>
      </c>
      <c r="U421" s="13">
        <f t="shared" si="31"/>
        <v>25164</v>
      </c>
      <c r="V421" s="14">
        <v>16734</v>
      </c>
      <c r="W421">
        <v>4</v>
      </c>
      <c r="X421" s="8" t="s">
        <v>46</v>
      </c>
      <c r="Y421" s="15">
        <v>0.15</v>
      </c>
      <c r="Z421">
        <v>3</v>
      </c>
      <c r="AA421">
        <v>3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 t="str">
        <f t="shared" si="32"/>
        <v>0-3</v>
      </c>
      <c r="AI421">
        <v>1</v>
      </c>
      <c r="AJ421" t="str">
        <f t="shared" si="33"/>
        <v>0-2</v>
      </c>
      <c r="AK421">
        <v>4</v>
      </c>
    </row>
    <row r="422" spans="1:37" x14ac:dyDescent="0.25">
      <c r="A422" s="8">
        <v>421</v>
      </c>
      <c r="B422" t="s">
        <v>44</v>
      </c>
      <c r="C422" t="s">
        <v>45</v>
      </c>
      <c r="D422" s="8">
        <v>29</v>
      </c>
      <c r="E422" t="str">
        <f t="shared" si="34"/>
        <v>26-35</v>
      </c>
      <c r="F422" t="s">
        <v>46</v>
      </c>
      <c r="G422" t="s">
        <v>39</v>
      </c>
      <c r="H422" s="8" t="s">
        <v>48</v>
      </c>
      <c r="I422" s="10">
        <v>3</v>
      </c>
      <c r="J422" t="str">
        <f t="shared" si="30"/>
        <v>Near</v>
      </c>
      <c r="K422">
        <v>4</v>
      </c>
      <c r="L422" t="s">
        <v>53</v>
      </c>
      <c r="M422">
        <v>2</v>
      </c>
      <c r="N422">
        <v>2</v>
      </c>
      <c r="O422">
        <v>3</v>
      </c>
      <c r="P422" t="s">
        <v>61</v>
      </c>
      <c r="Q422">
        <v>3</v>
      </c>
      <c r="R422" s="11">
        <v>986</v>
      </c>
      <c r="S422" s="14">
        <v>93</v>
      </c>
      <c r="T422" s="13">
        <v>11935</v>
      </c>
      <c r="U422" s="13">
        <f t="shared" si="31"/>
        <v>143220</v>
      </c>
      <c r="V422" s="14">
        <v>21526</v>
      </c>
      <c r="W422">
        <v>1</v>
      </c>
      <c r="X422" s="8" t="s">
        <v>46</v>
      </c>
      <c r="Y422" s="15">
        <v>0.18</v>
      </c>
      <c r="Z422">
        <v>3</v>
      </c>
      <c r="AA422">
        <v>3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 t="str">
        <f t="shared" si="32"/>
        <v>0-3</v>
      </c>
      <c r="AI422">
        <v>0</v>
      </c>
      <c r="AJ422" t="str">
        <f t="shared" si="33"/>
        <v>0-2</v>
      </c>
      <c r="AK422">
        <v>7</v>
      </c>
    </row>
    <row r="423" spans="1:37" x14ac:dyDescent="0.25">
      <c r="A423" s="8">
        <v>422</v>
      </c>
      <c r="B423" t="s">
        <v>52</v>
      </c>
      <c r="C423" t="s">
        <v>45</v>
      </c>
      <c r="D423" s="8">
        <v>29</v>
      </c>
      <c r="E423" t="str">
        <f t="shared" si="34"/>
        <v>26-35</v>
      </c>
      <c r="F423" t="s">
        <v>38</v>
      </c>
      <c r="G423" t="s">
        <v>39</v>
      </c>
      <c r="H423" s="8" t="s">
        <v>48</v>
      </c>
      <c r="I423" s="10">
        <v>25</v>
      </c>
      <c r="J423" t="str">
        <f t="shared" si="30"/>
        <v>Far</v>
      </c>
      <c r="K423">
        <v>5</v>
      </c>
      <c r="L423" t="s">
        <v>63</v>
      </c>
      <c r="M423">
        <v>3</v>
      </c>
      <c r="N423">
        <v>2</v>
      </c>
      <c r="O423">
        <v>1</v>
      </c>
      <c r="P423" t="s">
        <v>49</v>
      </c>
      <c r="Q423">
        <v>2</v>
      </c>
      <c r="R423" s="11">
        <v>408</v>
      </c>
      <c r="S423" s="14">
        <v>71</v>
      </c>
      <c r="T423" s="13">
        <v>2546</v>
      </c>
      <c r="U423" s="13">
        <f t="shared" si="31"/>
        <v>30552</v>
      </c>
      <c r="V423" s="14">
        <v>18300</v>
      </c>
      <c r="W423">
        <v>5</v>
      </c>
      <c r="X423" s="8" t="s">
        <v>46</v>
      </c>
      <c r="Y423" s="15">
        <v>0.16</v>
      </c>
      <c r="Z423">
        <v>3</v>
      </c>
      <c r="AA423">
        <v>2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 t="str">
        <f t="shared" si="32"/>
        <v>0-3</v>
      </c>
      <c r="AI423">
        <v>1</v>
      </c>
      <c r="AJ423" t="str">
        <f t="shared" si="33"/>
        <v>0-2</v>
      </c>
      <c r="AK423">
        <v>1</v>
      </c>
    </row>
    <row r="424" spans="1:37" x14ac:dyDescent="0.25">
      <c r="A424" s="8">
        <v>423</v>
      </c>
      <c r="B424" t="s">
        <v>44</v>
      </c>
      <c r="C424" t="s">
        <v>37</v>
      </c>
      <c r="D424" s="8">
        <v>19</v>
      </c>
      <c r="E424" t="str">
        <f t="shared" si="34"/>
        <v>18-25</v>
      </c>
      <c r="F424" t="s">
        <v>38</v>
      </c>
      <c r="G424" t="s">
        <v>39</v>
      </c>
      <c r="H424" s="8" t="s">
        <v>64</v>
      </c>
      <c r="I424" s="10">
        <v>2</v>
      </c>
      <c r="J424" t="str">
        <f t="shared" si="30"/>
        <v>Near</v>
      </c>
      <c r="K424">
        <v>2</v>
      </c>
      <c r="L424" t="s">
        <v>63</v>
      </c>
      <c r="M424">
        <v>1</v>
      </c>
      <c r="N424">
        <v>2</v>
      </c>
      <c r="O424">
        <v>1</v>
      </c>
      <c r="P424" t="s">
        <v>64</v>
      </c>
      <c r="Q424">
        <v>4</v>
      </c>
      <c r="R424" s="11">
        <v>489</v>
      </c>
      <c r="S424" s="14">
        <v>52</v>
      </c>
      <c r="T424" s="13">
        <v>2564</v>
      </c>
      <c r="U424" s="13">
        <f t="shared" si="31"/>
        <v>30768</v>
      </c>
      <c r="V424" s="14">
        <v>18437</v>
      </c>
      <c r="W424">
        <v>1</v>
      </c>
      <c r="X424" s="8" t="s">
        <v>46</v>
      </c>
      <c r="Y424" s="15">
        <v>0.12</v>
      </c>
      <c r="Z424">
        <v>3</v>
      </c>
      <c r="AA424">
        <v>3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 t="str">
        <f t="shared" si="32"/>
        <v>0-3</v>
      </c>
      <c r="AI424">
        <v>0</v>
      </c>
      <c r="AJ424" t="str">
        <f t="shared" si="33"/>
        <v>0-2</v>
      </c>
      <c r="AK424">
        <v>0</v>
      </c>
    </row>
    <row r="425" spans="1:37" x14ac:dyDescent="0.25">
      <c r="A425" s="8">
        <v>424</v>
      </c>
      <c r="B425" t="s">
        <v>52</v>
      </c>
      <c r="C425" t="s">
        <v>45</v>
      </c>
      <c r="D425" s="8">
        <v>30</v>
      </c>
      <c r="E425" t="str">
        <f t="shared" si="34"/>
        <v>26-35</v>
      </c>
      <c r="F425" t="s">
        <v>46</v>
      </c>
      <c r="G425" t="s">
        <v>58</v>
      </c>
      <c r="H425" s="8" t="s">
        <v>40</v>
      </c>
      <c r="I425" s="10">
        <v>22</v>
      </c>
      <c r="J425" t="str">
        <f t="shared" si="30"/>
        <v>Far</v>
      </c>
      <c r="K425">
        <v>4</v>
      </c>
      <c r="L425" t="s">
        <v>50</v>
      </c>
      <c r="M425">
        <v>3</v>
      </c>
      <c r="N425">
        <v>3</v>
      </c>
      <c r="O425">
        <v>3</v>
      </c>
      <c r="P425" t="s">
        <v>42</v>
      </c>
      <c r="Q425">
        <v>1</v>
      </c>
      <c r="R425" s="11">
        <v>1398</v>
      </c>
      <c r="S425" s="14">
        <v>69</v>
      </c>
      <c r="T425" s="13">
        <v>8412</v>
      </c>
      <c r="U425" s="13">
        <f t="shared" si="31"/>
        <v>100944</v>
      </c>
      <c r="V425" s="14">
        <v>2890</v>
      </c>
      <c r="W425">
        <v>0</v>
      </c>
      <c r="X425" s="8" t="s">
        <v>46</v>
      </c>
      <c r="Y425" s="15">
        <v>0.11</v>
      </c>
      <c r="Z425">
        <v>3</v>
      </c>
      <c r="AA425">
        <v>3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 t="str">
        <f t="shared" si="32"/>
        <v>8-11</v>
      </c>
      <c r="AI425">
        <v>7</v>
      </c>
      <c r="AJ425" t="str">
        <f t="shared" si="33"/>
        <v>6-8</v>
      </c>
      <c r="AK425">
        <v>8</v>
      </c>
    </row>
    <row r="426" spans="1:37" x14ac:dyDescent="0.25">
      <c r="A426" s="8">
        <v>425</v>
      </c>
      <c r="B426" t="s">
        <v>44</v>
      </c>
      <c r="C426" t="s">
        <v>54</v>
      </c>
      <c r="D426" s="8">
        <v>57</v>
      </c>
      <c r="E426" t="str">
        <f t="shared" si="34"/>
        <v>55+</v>
      </c>
      <c r="F426" t="s">
        <v>46</v>
      </c>
      <c r="G426" t="s">
        <v>39</v>
      </c>
      <c r="H426" s="8" t="s">
        <v>40</v>
      </c>
      <c r="I426" s="10">
        <v>29</v>
      </c>
      <c r="J426" t="str">
        <f t="shared" si="30"/>
        <v>Far</v>
      </c>
      <c r="K426">
        <v>3</v>
      </c>
      <c r="L426" t="s">
        <v>62</v>
      </c>
      <c r="M426">
        <v>1</v>
      </c>
      <c r="N426">
        <v>2</v>
      </c>
      <c r="O426">
        <v>4</v>
      </c>
      <c r="P426" t="s">
        <v>59</v>
      </c>
      <c r="Q426">
        <v>4</v>
      </c>
      <c r="R426" s="11">
        <v>210</v>
      </c>
      <c r="S426" s="14">
        <v>56</v>
      </c>
      <c r="T426" s="13">
        <v>14118</v>
      </c>
      <c r="U426" s="13">
        <f t="shared" si="31"/>
        <v>169416</v>
      </c>
      <c r="V426" s="14">
        <v>22102</v>
      </c>
      <c r="W426">
        <v>3</v>
      </c>
      <c r="X426" s="8" t="s">
        <v>46</v>
      </c>
      <c r="Y426" s="15">
        <v>0.12</v>
      </c>
      <c r="Z426">
        <v>3</v>
      </c>
      <c r="AA426">
        <v>3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 t="str">
        <f t="shared" si="32"/>
        <v>0-3</v>
      </c>
      <c r="AI426">
        <v>0</v>
      </c>
      <c r="AJ426" t="str">
        <f t="shared" si="33"/>
        <v>0-2</v>
      </c>
      <c r="AK426">
        <v>0</v>
      </c>
    </row>
    <row r="427" spans="1:37" x14ac:dyDescent="0.25">
      <c r="A427" s="8">
        <v>426</v>
      </c>
      <c r="B427" t="s">
        <v>44</v>
      </c>
      <c r="C427" t="s">
        <v>45</v>
      </c>
      <c r="D427" s="8">
        <v>50</v>
      </c>
      <c r="E427" t="str">
        <f t="shared" si="34"/>
        <v>46-55</v>
      </c>
      <c r="F427" t="s">
        <v>46</v>
      </c>
      <c r="G427" t="s">
        <v>39</v>
      </c>
      <c r="H427" s="8" t="s">
        <v>48</v>
      </c>
      <c r="I427" s="10">
        <v>29</v>
      </c>
      <c r="J427" t="str">
        <f t="shared" si="30"/>
        <v>Far</v>
      </c>
      <c r="K427">
        <v>4</v>
      </c>
      <c r="L427" t="s">
        <v>41</v>
      </c>
      <c r="M427">
        <v>2</v>
      </c>
      <c r="N427">
        <v>2</v>
      </c>
      <c r="O427">
        <v>4</v>
      </c>
      <c r="P427" t="s">
        <v>59</v>
      </c>
      <c r="Q427">
        <v>3</v>
      </c>
      <c r="R427" s="11">
        <v>1099</v>
      </c>
      <c r="S427" s="14">
        <v>88</v>
      </c>
      <c r="T427" s="13">
        <v>17046</v>
      </c>
      <c r="U427" s="13">
        <f t="shared" si="31"/>
        <v>204552</v>
      </c>
      <c r="V427" s="14">
        <v>9314</v>
      </c>
      <c r="W427">
        <v>0</v>
      </c>
      <c r="X427" s="8" t="s">
        <v>46</v>
      </c>
      <c r="Y427" s="15">
        <v>0.15</v>
      </c>
      <c r="Z427">
        <v>3</v>
      </c>
      <c r="AA427">
        <v>2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 t="str">
        <f t="shared" si="32"/>
        <v>8-11</v>
      </c>
      <c r="AI427">
        <v>15</v>
      </c>
      <c r="AJ427" t="str">
        <f t="shared" si="33"/>
        <v>12-15</v>
      </c>
      <c r="AK427">
        <v>7</v>
      </c>
    </row>
    <row r="428" spans="1:37" x14ac:dyDescent="0.25">
      <c r="A428" s="8">
        <v>427</v>
      </c>
      <c r="B428" t="s">
        <v>52</v>
      </c>
      <c r="C428" t="s">
        <v>37</v>
      </c>
      <c r="D428" s="8">
        <v>30</v>
      </c>
      <c r="E428" t="str">
        <f t="shared" si="34"/>
        <v>26-35</v>
      </c>
      <c r="F428" t="s">
        <v>46</v>
      </c>
      <c r="G428" t="s">
        <v>58</v>
      </c>
      <c r="H428" s="8" t="s">
        <v>48</v>
      </c>
      <c r="I428" s="10">
        <v>2</v>
      </c>
      <c r="J428" t="str">
        <f t="shared" si="30"/>
        <v>Near</v>
      </c>
      <c r="K428">
        <v>3</v>
      </c>
      <c r="L428" t="s">
        <v>53</v>
      </c>
      <c r="M428">
        <v>3</v>
      </c>
      <c r="N428">
        <v>3</v>
      </c>
      <c r="O428">
        <v>1</v>
      </c>
      <c r="P428" t="s">
        <v>51</v>
      </c>
      <c r="Q428">
        <v>4</v>
      </c>
      <c r="R428" s="11">
        <v>1116</v>
      </c>
      <c r="S428" s="14">
        <v>49</v>
      </c>
      <c r="T428" s="13">
        <v>2564</v>
      </c>
      <c r="U428" s="13">
        <f t="shared" si="31"/>
        <v>30768</v>
      </c>
      <c r="V428" s="14">
        <v>7181</v>
      </c>
      <c r="W428">
        <v>0</v>
      </c>
      <c r="X428" s="8" t="s">
        <v>46</v>
      </c>
      <c r="Y428" s="15">
        <v>0.14000000000000001</v>
      </c>
      <c r="Z428">
        <v>3</v>
      </c>
      <c r="AA428">
        <v>3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 t="str">
        <f t="shared" si="32"/>
        <v>4-7</v>
      </c>
      <c r="AI428">
        <v>6</v>
      </c>
      <c r="AJ428" t="str">
        <f t="shared" si="33"/>
        <v>6-8</v>
      </c>
      <c r="AK428">
        <v>7</v>
      </c>
    </row>
    <row r="429" spans="1:37" x14ac:dyDescent="0.25">
      <c r="A429" s="8">
        <v>428</v>
      </c>
      <c r="B429" t="s">
        <v>52</v>
      </c>
      <c r="C429" t="s">
        <v>45</v>
      </c>
      <c r="D429" s="8">
        <v>60</v>
      </c>
      <c r="E429" t="str">
        <f t="shared" si="34"/>
        <v>55+</v>
      </c>
      <c r="F429" t="s">
        <v>46</v>
      </c>
      <c r="G429" t="s">
        <v>47</v>
      </c>
      <c r="H429" s="8" t="s">
        <v>40</v>
      </c>
      <c r="I429" s="10">
        <v>28</v>
      </c>
      <c r="J429" t="str">
        <f t="shared" si="30"/>
        <v>Far</v>
      </c>
      <c r="K429">
        <v>3</v>
      </c>
      <c r="L429" t="s">
        <v>62</v>
      </c>
      <c r="M429">
        <v>3</v>
      </c>
      <c r="N429">
        <v>2</v>
      </c>
      <c r="O429">
        <v>3</v>
      </c>
      <c r="P429" t="s">
        <v>42</v>
      </c>
      <c r="Q429">
        <v>1</v>
      </c>
      <c r="R429" s="11">
        <v>1499</v>
      </c>
      <c r="S429" s="14">
        <v>80</v>
      </c>
      <c r="T429" s="13">
        <v>10266</v>
      </c>
      <c r="U429" s="13">
        <f t="shared" si="31"/>
        <v>123192</v>
      </c>
      <c r="V429" s="14">
        <v>2845</v>
      </c>
      <c r="W429">
        <v>4</v>
      </c>
      <c r="X429" s="8" t="s">
        <v>46</v>
      </c>
      <c r="Y429" s="15">
        <v>0.19</v>
      </c>
      <c r="Z429">
        <v>3</v>
      </c>
      <c r="AA429">
        <v>4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 t="str">
        <f t="shared" si="32"/>
        <v>12-15</v>
      </c>
      <c r="AI429">
        <v>13</v>
      </c>
      <c r="AJ429" t="str">
        <f t="shared" si="33"/>
        <v>12-15</v>
      </c>
      <c r="AK429">
        <v>11</v>
      </c>
    </row>
    <row r="430" spans="1:37" x14ac:dyDescent="0.25">
      <c r="A430" s="8">
        <v>429</v>
      </c>
      <c r="B430" t="s">
        <v>52</v>
      </c>
      <c r="C430" t="s">
        <v>54</v>
      </c>
      <c r="D430" s="8">
        <v>47</v>
      </c>
      <c r="E430" t="str">
        <f t="shared" si="34"/>
        <v>46-55</v>
      </c>
      <c r="F430" t="s">
        <v>46</v>
      </c>
      <c r="G430" t="s">
        <v>39</v>
      </c>
      <c r="H430" s="8" t="s">
        <v>48</v>
      </c>
      <c r="I430" s="10">
        <v>2</v>
      </c>
      <c r="J430" t="str">
        <f t="shared" si="30"/>
        <v>Near</v>
      </c>
      <c r="K430">
        <v>2</v>
      </c>
      <c r="L430" t="s">
        <v>53</v>
      </c>
      <c r="M430">
        <v>1</v>
      </c>
      <c r="N430">
        <v>3</v>
      </c>
      <c r="O430">
        <v>2</v>
      </c>
      <c r="P430" t="s">
        <v>55</v>
      </c>
      <c r="Q430">
        <v>4</v>
      </c>
      <c r="R430" s="11">
        <v>983</v>
      </c>
      <c r="S430" s="14">
        <v>65</v>
      </c>
      <c r="T430" s="13">
        <v>5070</v>
      </c>
      <c r="U430" s="13">
        <f t="shared" si="31"/>
        <v>60840</v>
      </c>
      <c r="V430" s="14">
        <v>7389</v>
      </c>
      <c r="W430">
        <v>5</v>
      </c>
      <c r="X430" s="8" t="s">
        <v>46</v>
      </c>
      <c r="Y430" s="15">
        <v>0.13</v>
      </c>
      <c r="Z430">
        <v>3</v>
      </c>
      <c r="AA430">
        <v>3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 t="str">
        <f t="shared" si="32"/>
        <v>0-3</v>
      </c>
      <c r="AI430">
        <v>0</v>
      </c>
      <c r="AJ430" t="str">
        <f t="shared" si="33"/>
        <v>0-2</v>
      </c>
      <c r="AK430">
        <v>4</v>
      </c>
    </row>
    <row r="431" spans="1:37" x14ac:dyDescent="0.25">
      <c r="A431" s="8">
        <v>430</v>
      </c>
      <c r="B431" t="s">
        <v>44</v>
      </c>
      <c r="C431" t="s">
        <v>45</v>
      </c>
      <c r="D431" s="8">
        <v>46</v>
      </c>
      <c r="E431" t="str">
        <f t="shared" si="34"/>
        <v>46-55</v>
      </c>
      <c r="F431" t="s">
        <v>46</v>
      </c>
      <c r="G431" t="s">
        <v>39</v>
      </c>
      <c r="H431" s="8" t="s">
        <v>48</v>
      </c>
      <c r="I431" s="10">
        <v>2</v>
      </c>
      <c r="J431" t="str">
        <f t="shared" si="30"/>
        <v>Near</v>
      </c>
      <c r="K431">
        <v>3</v>
      </c>
      <c r="L431" t="s">
        <v>41</v>
      </c>
      <c r="M431">
        <v>1</v>
      </c>
      <c r="N431">
        <v>3</v>
      </c>
      <c r="O431">
        <v>4</v>
      </c>
      <c r="P431" t="s">
        <v>61</v>
      </c>
      <c r="Q431">
        <v>3</v>
      </c>
      <c r="R431" s="11">
        <v>1009</v>
      </c>
      <c r="S431" s="14">
        <v>51</v>
      </c>
      <c r="T431" s="13">
        <v>17861</v>
      </c>
      <c r="U431" s="13">
        <f t="shared" si="31"/>
        <v>214332</v>
      </c>
      <c r="V431" s="14">
        <v>2288</v>
      </c>
      <c r="W431">
        <v>6</v>
      </c>
      <c r="X431" s="8" t="s">
        <v>46</v>
      </c>
      <c r="Y431" s="15">
        <v>0.13</v>
      </c>
      <c r="Z431">
        <v>3</v>
      </c>
      <c r="AA431">
        <v>3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 t="str">
        <f t="shared" si="32"/>
        <v>0-3</v>
      </c>
      <c r="AI431">
        <v>0</v>
      </c>
      <c r="AJ431" t="str">
        <f t="shared" si="33"/>
        <v>0-2</v>
      </c>
      <c r="AK431">
        <v>1</v>
      </c>
    </row>
    <row r="432" spans="1:37" x14ac:dyDescent="0.25">
      <c r="A432" s="8">
        <v>431</v>
      </c>
      <c r="B432" t="s">
        <v>44</v>
      </c>
      <c r="C432" t="s">
        <v>37</v>
      </c>
      <c r="D432" s="8">
        <v>35</v>
      </c>
      <c r="E432" t="str">
        <f t="shared" si="34"/>
        <v>26-35</v>
      </c>
      <c r="F432" t="s">
        <v>46</v>
      </c>
      <c r="G432" t="s">
        <v>39</v>
      </c>
      <c r="H432" s="8" t="s">
        <v>48</v>
      </c>
      <c r="I432" s="10">
        <v>22</v>
      </c>
      <c r="J432" t="str">
        <f t="shared" si="30"/>
        <v>Far</v>
      </c>
      <c r="K432">
        <v>3</v>
      </c>
      <c r="L432" t="s">
        <v>41</v>
      </c>
      <c r="M432">
        <v>4</v>
      </c>
      <c r="N432">
        <v>1</v>
      </c>
      <c r="O432">
        <v>1</v>
      </c>
      <c r="P432" t="s">
        <v>51</v>
      </c>
      <c r="Q432">
        <v>3</v>
      </c>
      <c r="R432" s="11">
        <v>144</v>
      </c>
      <c r="S432" s="14">
        <v>46</v>
      </c>
      <c r="T432" s="13">
        <v>4230</v>
      </c>
      <c r="U432" s="13">
        <f t="shared" si="31"/>
        <v>50760</v>
      </c>
      <c r="V432" s="14">
        <v>19225</v>
      </c>
      <c r="W432">
        <v>0</v>
      </c>
      <c r="X432" s="8" t="s">
        <v>46</v>
      </c>
      <c r="Y432" s="15">
        <v>0.15</v>
      </c>
      <c r="Z432">
        <v>3</v>
      </c>
      <c r="AA432">
        <v>3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 t="str">
        <f t="shared" si="32"/>
        <v>4-7</v>
      </c>
      <c r="AI432">
        <v>4</v>
      </c>
      <c r="AJ432" t="str">
        <f t="shared" si="33"/>
        <v>3-5</v>
      </c>
      <c r="AK432">
        <v>3</v>
      </c>
    </row>
    <row r="433" spans="1:37" x14ac:dyDescent="0.25">
      <c r="A433" s="8">
        <v>432</v>
      </c>
      <c r="B433" t="s">
        <v>52</v>
      </c>
      <c r="C433" t="s">
        <v>37</v>
      </c>
      <c r="D433" s="8">
        <v>54</v>
      </c>
      <c r="E433" t="str">
        <f t="shared" si="34"/>
        <v>46-55</v>
      </c>
      <c r="F433" t="s">
        <v>46</v>
      </c>
      <c r="G433" t="s">
        <v>39</v>
      </c>
      <c r="H433" s="8" t="s">
        <v>48</v>
      </c>
      <c r="I433" s="10">
        <v>8</v>
      </c>
      <c r="J433" t="str">
        <f t="shared" si="30"/>
        <v>Moderate</v>
      </c>
      <c r="K433">
        <v>4</v>
      </c>
      <c r="L433" t="s">
        <v>41</v>
      </c>
      <c r="M433">
        <v>3</v>
      </c>
      <c r="N433">
        <v>3</v>
      </c>
      <c r="O433">
        <v>2</v>
      </c>
      <c r="P433" t="s">
        <v>51</v>
      </c>
      <c r="Q433">
        <v>3</v>
      </c>
      <c r="R433" s="11">
        <v>548</v>
      </c>
      <c r="S433" s="14">
        <v>42</v>
      </c>
      <c r="T433" s="13">
        <v>3780</v>
      </c>
      <c r="U433" s="13">
        <f t="shared" si="31"/>
        <v>45360</v>
      </c>
      <c r="V433" s="14">
        <v>23428</v>
      </c>
      <c r="W433">
        <v>7</v>
      </c>
      <c r="X433" s="8" t="s">
        <v>46</v>
      </c>
      <c r="Y433" s="15">
        <v>0.11</v>
      </c>
      <c r="Z433">
        <v>3</v>
      </c>
      <c r="AA433">
        <v>3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 t="str">
        <f t="shared" si="32"/>
        <v>0-3</v>
      </c>
      <c r="AI433">
        <v>0</v>
      </c>
      <c r="AJ433" t="str">
        <f t="shared" si="33"/>
        <v>0-2</v>
      </c>
      <c r="AK433">
        <v>0</v>
      </c>
    </row>
    <row r="434" spans="1:37" x14ac:dyDescent="0.25">
      <c r="A434" s="8">
        <v>433</v>
      </c>
      <c r="B434" t="s">
        <v>44</v>
      </c>
      <c r="C434" t="s">
        <v>54</v>
      </c>
      <c r="D434" s="8">
        <v>34</v>
      </c>
      <c r="E434" t="str">
        <f t="shared" si="34"/>
        <v>26-35</v>
      </c>
      <c r="F434" t="s">
        <v>46</v>
      </c>
      <c r="G434" t="s">
        <v>39</v>
      </c>
      <c r="H434" s="8" t="s">
        <v>48</v>
      </c>
      <c r="I434" s="10">
        <v>2</v>
      </c>
      <c r="J434" t="str">
        <f t="shared" si="30"/>
        <v>Near</v>
      </c>
      <c r="K434">
        <v>4</v>
      </c>
      <c r="L434" t="s">
        <v>41</v>
      </c>
      <c r="M434">
        <v>4</v>
      </c>
      <c r="N434">
        <v>2</v>
      </c>
      <c r="O434">
        <v>1</v>
      </c>
      <c r="P434" t="s">
        <v>49</v>
      </c>
      <c r="Q434">
        <v>3</v>
      </c>
      <c r="R434" s="11">
        <v>1303</v>
      </c>
      <c r="S434" s="14">
        <v>62</v>
      </c>
      <c r="T434" s="13">
        <v>2768</v>
      </c>
      <c r="U434" s="13">
        <f t="shared" si="31"/>
        <v>33216</v>
      </c>
      <c r="V434" s="14">
        <v>8416</v>
      </c>
      <c r="W434">
        <v>3</v>
      </c>
      <c r="X434" s="8" t="s">
        <v>46</v>
      </c>
      <c r="Y434" s="15">
        <v>0.12</v>
      </c>
      <c r="Z434">
        <v>3</v>
      </c>
      <c r="AA434">
        <v>3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 t="str">
        <f t="shared" si="32"/>
        <v>0-3</v>
      </c>
      <c r="AI434">
        <v>5</v>
      </c>
      <c r="AJ434" t="str">
        <f t="shared" si="33"/>
        <v>3-5</v>
      </c>
      <c r="AK434">
        <v>7</v>
      </c>
    </row>
    <row r="435" spans="1:37" x14ac:dyDescent="0.25">
      <c r="A435" s="8">
        <v>434</v>
      </c>
      <c r="B435" t="s">
        <v>52</v>
      </c>
      <c r="C435" t="s">
        <v>45</v>
      </c>
      <c r="D435" s="8">
        <v>46</v>
      </c>
      <c r="E435" t="str">
        <f t="shared" si="34"/>
        <v>46-55</v>
      </c>
      <c r="F435" t="s">
        <v>46</v>
      </c>
      <c r="G435" t="s">
        <v>39</v>
      </c>
      <c r="H435" s="8" t="s">
        <v>40</v>
      </c>
      <c r="I435" s="10">
        <v>10</v>
      </c>
      <c r="J435" t="str">
        <f t="shared" si="30"/>
        <v>Moderate</v>
      </c>
      <c r="K435">
        <v>3</v>
      </c>
      <c r="L435" t="s">
        <v>62</v>
      </c>
      <c r="M435">
        <v>3</v>
      </c>
      <c r="N435">
        <v>2</v>
      </c>
      <c r="O435">
        <v>3</v>
      </c>
      <c r="P435" t="s">
        <v>42</v>
      </c>
      <c r="Q435">
        <v>4</v>
      </c>
      <c r="R435" s="11">
        <v>1125</v>
      </c>
      <c r="S435" s="14">
        <v>94</v>
      </c>
      <c r="T435" s="13">
        <v>9071</v>
      </c>
      <c r="U435" s="13">
        <f t="shared" si="31"/>
        <v>108852</v>
      </c>
      <c r="V435" s="14">
        <v>11563</v>
      </c>
      <c r="W435">
        <v>2</v>
      </c>
      <c r="X435" s="8" t="s">
        <v>38</v>
      </c>
      <c r="Y435" s="15">
        <v>0.19</v>
      </c>
      <c r="Z435">
        <v>3</v>
      </c>
      <c r="AA435">
        <v>3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 t="str">
        <f t="shared" si="32"/>
        <v>0-3</v>
      </c>
      <c r="AI435">
        <v>1</v>
      </c>
      <c r="AJ435" t="str">
        <f t="shared" si="33"/>
        <v>0-2</v>
      </c>
      <c r="AK435">
        <v>2</v>
      </c>
    </row>
    <row r="436" spans="1:37" x14ac:dyDescent="0.25">
      <c r="A436" s="8">
        <v>435</v>
      </c>
      <c r="B436" t="s">
        <v>44</v>
      </c>
      <c r="C436" t="s">
        <v>54</v>
      </c>
      <c r="D436" s="8">
        <v>31</v>
      </c>
      <c r="E436" t="str">
        <f t="shared" si="34"/>
        <v>26-35</v>
      </c>
      <c r="F436" t="s">
        <v>46</v>
      </c>
      <c r="G436" t="s">
        <v>39</v>
      </c>
      <c r="H436" s="8" t="s">
        <v>48</v>
      </c>
      <c r="I436" s="10">
        <v>9</v>
      </c>
      <c r="J436" t="str">
        <f t="shared" si="30"/>
        <v>Moderate</v>
      </c>
      <c r="K436">
        <v>1</v>
      </c>
      <c r="L436" t="s">
        <v>41</v>
      </c>
      <c r="M436">
        <v>3</v>
      </c>
      <c r="N436">
        <v>3</v>
      </c>
      <c r="O436">
        <v>3</v>
      </c>
      <c r="P436" t="s">
        <v>55</v>
      </c>
      <c r="Q436">
        <v>2</v>
      </c>
      <c r="R436" s="11">
        <v>1274</v>
      </c>
      <c r="S436" s="14">
        <v>33</v>
      </c>
      <c r="T436" s="13">
        <v>10648</v>
      </c>
      <c r="U436" s="13">
        <f t="shared" si="31"/>
        <v>127776</v>
      </c>
      <c r="V436" s="14">
        <v>14394</v>
      </c>
      <c r="W436">
        <v>1</v>
      </c>
      <c r="X436" s="8" t="s">
        <v>46</v>
      </c>
      <c r="Y436" s="15">
        <v>0.25</v>
      </c>
      <c r="Z436">
        <v>4</v>
      </c>
      <c r="AA436">
        <v>4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 t="str">
        <f t="shared" si="32"/>
        <v>8-11</v>
      </c>
      <c r="AI436">
        <v>0</v>
      </c>
      <c r="AJ436" t="str">
        <f t="shared" si="33"/>
        <v>0-2</v>
      </c>
      <c r="AK436">
        <v>8</v>
      </c>
    </row>
    <row r="437" spans="1:37" x14ac:dyDescent="0.25">
      <c r="A437" s="8">
        <v>436</v>
      </c>
      <c r="B437" t="s">
        <v>44</v>
      </c>
      <c r="C437" t="s">
        <v>45</v>
      </c>
      <c r="D437" s="8">
        <v>33</v>
      </c>
      <c r="E437" t="str">
        <f t="shared" si="34"/>
        <v>26-35</v>
      </c>
      <c r="F437" t="s">
        <v>38</v>
      </c>
      <c r="G437" t="s">
        <v>39</v>
      </c>
      <c r="H437" s="8" t="s">
        <v>48</v>
      </c>
      <c r="I437" s="10">
        <v>15</v>
      </c>
      <c r="J437" t="str">
        <f t="shared" si="30"/>
        <v>Moderate</v>
      </c>
      <c r="K437">
        <v>1</v>
      </c>
      <c r="L437" t="s">
        <v>53</v>
      </c>
      <c r="M437">
        <v>2</v>
      </c>
      <c r="N437">
        <v>3</v>
      </c>
      <c r="O437">
        <v>3</v>
      </c>
      <c r="P437" t="s">
        <v>59</v>
      </c>
      <c r="Q437">
        <v>3</v>
      </c>
      <c r="R437" s="11">
        <v>1277</v>
      </c>
      <c r="S437" s="14">
        <v>56</v>
      </c>
      <c r="T437" s="13">
        <v>13610</v>
      </c>
      <c r="U437" s="13">
        <f t="shared" si="31"/>
        <v>163320</v>
      </c>
      <c r="V437" s="14">
        <v>24619</v>
      </c>
      <c r="W437">
        <v>7</v>
      </c>
      <c r="X437" s="8" t="s">
        <v>38</v>
      </c>
      <c r="Y437" s="15">
        <v>0.12</v>
      </c>
      <c r="Z437">
        <v>3</v>
      </c>
      <c r="AA437">
        <v>4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 t="str">
        <f t="shared" si="32"/>
        <v>4-7</v>
      </c>
      <c r="AI437">
        <v>7</v>
      </c>
      <c r="AJ437" t="str">
        <f t="shared" si="33"/>
        <v>6-8</v>
      </c>
      <c r="AK437">
        <v>7</v>
      </c>
    </row>
    <row r="438" spans="1:37" x14ac:dyDescent="0.25">
      <c r="A438" s="8">
        <v>437</v>
      </c>
      <c r="B438" t="s">
        <v>44</v>
      </c>
      <c r="C438" t="s">
        <v>54</v>
      </c>
      <c r="D438" s="8">
        <v>33</v>
      </c>
      <c r="E438" t="str">
        <f t="shared" si="34"/>
        <v>26-35</v>
      </c>
      <c r="F438" t="s">
        <v>38</v>
      </c>
      <c r="G438" t="s">
        <v>39</v>
      </c>
      <c r="H438" s="8" t="s">
        <v>48</v>
      </c>
      <c r="I438" s="10">
        <v>10</v>
      </c>
      <c r="J438" t="str">
        <f t="shared" si="30"/>
        <v>Moderate</v>
      </c>
      <c r="K438">
        <v>1</v>
      </c>
      <c r="L438" t="s">
        <v>53</v>
      </c>
      <c r="M438">
        <v>1</v>
      </c>
      <c r="N438">
        <v>1</v>
      </c>
      <c r="O438">
        <v>1</v>
      </c>
      <c r="P438" t="s">
        <v>51</v>
      </c>
      <c r="Q438">
        <v>4</v>
      </c>
      <c r="R438" s="11">
        <v>587</v>
      </c>
      <c r="S438" s="14">
        <v>38</v>
      </c>
      <c r="T438" s="13">
        <v>3408</v>
      </c>
      <c r="U438" s="13">
        <f t="shared" si="31"/>
        <v>40896</v>
      </c>
      <c r="V438" s="14">
        <v>6705</v>
      </c>
      <c r="W438">
        <v>7</v>
      </c>
      <c r="X438" s="8" t="s">
        <v>46</v>
      </c>
      <c r="Y438" s="15">
        <v>0.13</v>
      </c>
      <c r="Z438">
        <v>3</v>
      </c>
      <c r="AA438">
        <v>1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 t="str">
        <f t="shared" si="32"/>
        <v>0-3</v>
      </c>
      <c r="AI438">
        <v>1</v>
      </c>
      <c r="AJ438" t="str">
        <f t="shared" si="33"/>
        <v>0-2</v>
      </c>
      <c r="AK438">
        <v>3</v>
      </c>
    </row>
    <row r="439" spans="1:37" x14ac:dyDescent="0.25">
      <c r="A439" s="8">
        <v>438</v>
      </c>
      <c r="B439" t="s">
        <v>44</v>
      </c>
      <c r="C439" t="s">
        <v>37</v>
      </c>
      <c r="D439" s="8">
        <v>30</v>
      </c>
      <c r="E439" t="str">
        <f t="shared" si="34"/>
        <v>26-35</v>
      </c>
      <c r="F439" t="s">
        <v>46</v>
      </c>
      <c r="G439" t="s">
        <v>39</v>
      </c>
      <c r="H439" s="8" t="s">
        <v>40</v>
      </c>
      <c r="I439" s="10">
        <v>7</v>
      </c>
      <c r="J439" t="str">
        <f t="shared" si="30"/>
        <v>Moderate</v>
      </c>
      <c r="K439">
        <v>1</v>
      </c>
      <c r="L439" t="s">
        <v>62</v>
      </c>
      <c r="M439">
        <v>4</v>
      </c>
      <c r="N439">
        <v>3</v>
      </c>
      <c r="O439">
        <v>1</v>
      </c>
      <c r="P439" t="s">
        <v>60</v>
      </c>
      <c r="Q439">
        <v>2</v>
      </c>
      <c r="R439" s="11">
        <v>413</v>
      </c>
      <c r="S439" s="14">
        <v>57</v>
      </c>
      <c r="T439" s="13">
        <v>2983</v>
      </c>
      <c r="U439" s="13">
        <f t="shared" si="31"/>
        <v>35796</v>
      </c>
      <c r="V439" s="14">
        <v>18398</v>
      </c>
      <c r="W439">
        <v>0</v>
      </c>
      <c r="X439" s="8" t="s">
        <v>46</v>
      </c>
      <c r="Y439" s="15">
        <v>0.14000000000000001</v>
      </c>
      <c r="Z439">
        <v>3</v>
      </c>
      <c r="AA439">
        <v>1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 t="str">
        <f t="shared" si="32"/>
        <v>0-3</v>
      </c>
      <c r="AI439">
        <v>1</v>
      </c>
      <c r="AJ439" t="str">
        <f t="shared" si="33"/>
        <v>0-2</v>
      </c>
      <c r="AK439">
        <v>2</v>
      </c>
    </row>
    <row r="440" spans="1:37" x14ac:dyDescent="0.25">
      <c r="A440" s="8">
        <v>439</v>
      </c>
      <c r="B440" t="s">
        <v>44</v>
      </c>
      <c r="C440" t="s">
        <v>45</v>
      </c>
      <c r="D440" s="8">
        <v>35</v>
      </c>
      <c r="E440" t="str">
        <f t="shared" si="34"/>
        <v>26-35</v>
      </c>
      <c r="F440" t="s">
        <v>46</v>
      </c>
      <c r="G440" t="s">
        <v>39</v>
      </c>
      <c r="H440" s="8" t="s">
        <v>48</v>
      </c>
      <c r="I440" s="10">
        <v>16</v>
      </c>
      <c r="J440" t="str">
        <f t="shared" si="30"/>
        <v>Far</v>
      </c>
      <c r="K440">
        <v>3</v>
      </c>
      <c r="L440" t="s">
        <v>41</v>
      </c>
      <c r="M440">
        <v>4</v>
      </c>
      <c r="N440">
        <v>3</v>
      </c>
      <c r="O440">
        <v>3</v>
      </c>
      <c r="P440" t="s">
        <v>56</v>
      </c>
      <c r="Q440">
        <v>3</v>
      </c>
      <c r="R440" s="11">
        <v>1276</v>
      </c>
      <c r="S440" s="14">
        <v>72</v>
      </c>
      <c r="T440" s="13">
        <v>7632</v>
      </c>
      <c r="U440" s="13">
        <f t="shared" si="31"/>
        <v>91584</v>
      </c>
      <c r="V440" s="14">
        <v>14295</v>
      </c>
      <c r="W440">
        <v>4</v>
      </c>
      <c r="X440" s="8" t="s">
        <v>38</v>
      </c>
      <c r="Y440" s="15">
        <v>0.12</v>
      </c>
      <c r="Z440">
        <v>3</v>
      </c>
      <c r="AA440">
        <v>3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 t="str">
        <f t="shared" si="32"/>
        <v>4-7</v>
      </c>
      <c r="AI440">
        <v>0</v>
      </c>
      <c r="AJ440" t="str">
        <f t="shared" si="33"/>
        <v>0-2</v>
      </c>
      <c r="AK440">
        <v>0</v>
      </c>
    </row>
    <row r="441" spans="1:37" x14ac:dyDescent="0.25">
      <c r="A441" s="8">
        <v>440</v>
      </c>
      <c r="B441" t="s">
        <v>44</v>
      </c>
      <c r="C441" t="s">
        <v>45</v>
      </c>
      <c r="D441" s="8">
        <v>31</v>
      </c>
      <c r="E441" t="str">
        <f t="shared" si="34"/>
        <v>26-35</v>
      </c>
      <c r="F441" t="s">
        <v>38</v>
      </c>
      <c r="G441" t="s">
        <v>47</v>
      </c>
      <c r="H441" s="8" t="s">
        <v>48</v>
      </c>
      <c r="I441" s="10">
        <v>20</v>
      </c>
      <c r="J441" t="str">
        <f t="shared" si="30"/>
        <v>Far</v>
      </c>
      <c r="K441">
        <v>3</v>
      </c>
      <c r="L441" t="s">
        <v>41</v>
      </c>
      <c r="M441">
        <v>1</v>
      </c>
      <c r="N441">
        <v>3</v>
      </c>
      <c r="O441">
        <v>3</v>
      </c>
      <c r="P441" t="s">
        <v>56</v>
      </c>
      <c r="Q441">
        <v>3</v>
      </c>
      <c r="R441" s="11">
        <v>534</v>
      </c>
      <c r="S441" s="14">
        <v>66</v>
      </c>
      <c r="T441" s="13">
        <v>9824</v>
      </c>
      <c r="U441" s="13">
        <f t="shared" si="31"/>
        <v>117888</v>
      </c>
      <c r="V441" s="14">
        <v>22908</v>
      </c>
      <c r="W441">
        <v>3</v>
      </c>
      <c r="X441" s="8" t="s">
        <v>46</v>
      </c>
      <c r="Y441" s="15">
        <v>0.12</v>
      </c>
      <c r="Z441">
        <v>3</v>
      </c>
      <c r="AA441">
        <v>1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 t="str">
        <f t="shared" si="32"/>
        <v>0-3</v>
      </c>
      <c r="AI441">
        <v>0</v>
      </c>
      <c r="AJ441" t="str">
        <f t="shared" si="33"/>
        <v>0-2</v>
      </c>
      <c r="AK441">
        <v>0</v>
      </c>
    </row>
    <row r="442" spans="1:37" x14ac:dyDescent="0.25">
      <c r="A442" s="8">
        <v>441</v>
      </c>
      <c r="B442" t="s">
        <v>52</v>
      </c>
      <c r="C442" t="s">
        <v>54</v>
      </c>
      <c r="D442" s="8">
        <v>34</v>
      </c>
      <c r="E442" t="str">
        <f t="shared" si="34"/>
        <v>26-35</v>
      </c>
      <c r="F442" t="s">
        <v>38</v>
      </c>
      <c r="G442" t="s">
        <v>47</v>
      </c>
      <c r="H442" s="8" t="s">
        <v>64</v>
      </c>
      <c r="I442" s="10">
        <v>23</v>
      </c>
      <c r="J442" t="str">
        <f t="shared" si="30"/>
        <v>Far</v>
      </c>
      <c r="K442">
        <v>3</v>
      </c>
      <c r="L442" t="s">
        <v>64</v>
      </c>
      <c r="M442">
        <v>2</v>
      </c>
      <c r="N442">
        <v>3</v>
      </c>
      <c r="O442">
        <v>3</v>
      </c>
      <c r="P442" t="s">
        <v>64</v>
      </c>
      <c r="Q442">
        <v>1</v>
      </c>
      <c r="R442" s="11">
        <v>988</v>
      </c>
      <c r="S442" s="14">
        <v>43</v>
      </c>
      <c r="T442" s="13">
        <v>9950</v>
      </c>
      <c r="U442" s="13">
        <f t="shared" si="31"/>
        <v>119400</v>
      </c>
      <c r="V442" s="14">
        <v>11533</v>
      </c>
      <c r="W442">
        <v>9</v>
      </c>
      <c r="X442" s="8" t="s">
        <v>38</v>
      </c>
      <c r="Y442" s="15">
        <v>0.15</v>
      </c>
      <c r="Z442">
        <v>3</v>
      </c>
      <c r="AA442">
        <v>3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 t="str">
        <f t="shared" si="32"/>
        <v>0-3</v>
      </c>
      <c r="AI442">
        <v>0</v>
      </c>
      <c r="AJ442" t="str">
        <f t="shared" si="33"/>
        <v>0-2</v>
      </c>
      <c r="AK442">
        <v>2</v>
      </c>
    </row>
    <row r="443" spans="1:37" x14ac:dyDescent="0.25">
      <c r="A443" s="8">
        <v>442</v>
      </c>
      <c r="B443" t="s">
        <v>44</v>
      </c>
      <c r="C443" t="s">
        <v>45</v>
      </c>
      <c r="D443" s="8">
        <v>42</v>
      </c>
      <c r="E443" t="str">
        <f t="shared" si="34"/>
        <v>36-45</v>
      </c>
      <c r="F443" t="s">
        <v>46</v>
      </c>
      <c r="G443" t="s">
        <v>47</v>
      </c>
      <c r="H443" s="8" t="s">
        <v>48</v>
      </c>
      <c r="I443" s="10">
        <v>5</v>
      </c>
      <c r="J443" t="str">
        <f t="shared" si="30"/>
        <v>Near</v>
      </c>
      <c r="K443">
        <v>2</v>
      </c>
      <c r="L443" t="s">
        <v>50</v>
      </c>
      <c r="M443">
        <v>2</v>
      </c>
      <c r="N443">
        <v>3</v>
      </c>
      <c r="O443">
        <v>1</v>
      </c>
      <c r="P443" t="s">
        <v>51</v>
      </c>
      <c r="Q443">
        <v>3</v>
      </c>
      <c r="R443" s="11">
        <v>1474</v>
      </c>
      <c r="S443" s="14">
        <v>97</v>
      </c>
      <c r="T443" s="13">
        <v>2093</v>
      </c>
      <c r="U443" s="13">
        <f t="shared" si="31"/>
        <v>25116</v>
      </c>
      <c r="V443" s="14">
        <v>9260</v>
      </c>
      <c r="W443">
        <v>4</v>
      </c>
      <c r="X443" s="8" t="s">
        <v>46</v>
      </c>
      <c r="Y443" s="15">
        <v>0.17</v>
      </c>
      <c r="Z443">
        <v>3</v>
      </c>
      <c r="AA443">
        <v>4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 t="str">
        <f t="shared" si="32"/>
        <v>0-3</v>
      </c>
      <c r="AI443">
        <v>2</v>
      </c>
      <c r="AJ443" t="str">
        <f t="shared" si="33"/>
        <v>0-2</v>
      </c>
      <c r="AK443">
        <v>0</v>
      </c>
    </row>
    <row r="444" spans="1:37" x14ac:dyDescent="0.25">
      <c r="A444" s="8">
        <v>443</v>
      </c>
      <c r="B444" t="s">
        <v>44</v>
      </c>
      <c r="C444" t="s">
        <v>37</v>
      </c>
      <c r="D444" s="8">
        <v>36</v>
      </c>
      <c r="E444" t="str">
        <f t="shared" si="34"/>
        <v>36-45</v>
      </c>
      <c r="F444" t="s">
        <v>46</v>
      </c>
      <c r="G444" t="s">
        <v>58</v>
      </c>
      <c r="H444" s="8" t="s">
        <v>40</v>
      </c>
      <c r="I444" s="10">
        <v>10</v>
      </c>
      <c r="J444" t="str">
        <f t="shared" si="30"/>
        <v>Moderate</v>
      </c>
      <c r="K444">
        <v>4</v>
      </c>
      <c r="L444" t="s">
        <v>53</v>
      </c>
      <c r="M444">
        <v>2</v>
      </c>
      <c r="N444">
        <v>3</v>
      </c>
      <c r="O444">
        <v>3</v>
      </c>
      <c r="P444" t="s">
        <v>42</v>
      </c>
      <c r="Q444">
        <v>4</v>
      </c>
      <c r="R444" s="11">
        <v>635</v>
      </c>
      <c r="S444" s="14">
        <v>32</v>
      </c>
      <c r="T444" s="13">
        <v>9980</v>
      </c>
      <c r="U444" s="13">
        <f t="shared" si="31"/>
        <v>119760</v>
      </c>
      <c r="V444" s="14">
        <v>15318</v>
      </c>
      <c r="W444">
        <v>1</v>
      </c>
      <c r="X444" s="8" t="s">
        <v>46</v>
      </c>
      <c r="Y444" s="15">
        <v>0.14000000000000001</v>
      </c>
      <c r="Z444">
        <v>3</v>
      </c>
      <c r="AA444">
        <v>4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 t="str">
        <f t="shared" si="32"/>
        <v>0-3</v>
      </c>
      <c r="AI444">
        <v>9</v>
      </c>
      <c r="AJ444" t="str">
        <f t="shared" si="33"/>
        <v>9-11</v>
      </c>
      <c r="AK444">
        <v>7</v>
      </c>
    </row>
    <row r="445" spans="1:37" x14ac:dyDescent="0.25">
      <c r="A445" s="8">
        <v>444</v>
      </c>
      <c r="B445" t="s">
        <v>44</v>
      </c>
      <c r="C445" t="s">
        <v>37</v>
      </c>
      <c r="D445" s="8">
        <v>22</v>
      </c>
      <c r="E445" t="str">
        <f t="shared" si="34"/>
        <v>18-25</v>
      </c>
      <c r="F445" t="s">
        <v>38</v>
      </c>
      <c r="G445" t="s">
        <v>47</v>
      </c>
      <c r="H445" s="8" t="s">
        <v>48</v>
      </c>
      <c r="I445" s="10">
        <v>4</v>
      </c>
      <c r="J445" t="str">
        <f t="shared" si="30"/>
        <v>Near</v>
      </c>
      <c r="K445">
        <v>1</v>
      </c>
      <c r="L445" t="s">
        <v>63</v>
      </c>
      <c r="M445">
        <v>3</v>
      </c>
      <c r="N445">
        <v>2</v>
      </c>
      <c r="O445">
        <v>1</v>
      </c>
      <c r="P445" t="s">
        <v>51</v>
      </c>
      <c r="Q445">
        <v>3</v>
      </c>
      <c r="R445" s="11">
        <v>1368</v>
      </c>
      <c r="S445" s="14">
        <v>99</v>
      </c>
      <c r="T445" s="13">
        <v>3894</v>
      </c>
      <c r="U445" s="13">
        <f t="shared" si="31"/>
        <v>46728</v>
      </c>
      <c r="V445" s="14">
        <v>9129</v>
      </c>
      <c r="W445">
        <v>5</v>
      </c>
      <c r="X445" s="8" t="s">
        <v>46</v>
      </c>
      <c r="Y445" s="15">
        <v>0.16</v>
      </c>
      <c r="Z445">
        <v>3</v>
      </c>
      <c r="AA445">
        <v>3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 t="str">
        <f t="shared" si="32"/>
        <v>0-3</v>
      </c>
      <c r="AI445">
        <v>1</v>
      </c>
      <c r="AJ445" t="str">
        <f t="shared" si="33"/>
        <v>0-2</v>
      </c>
      <c r="AK445">
        <v>2</v>
      </c>
    </row>
    <row r="446" spans="1:37" x14ac:dyDescent="0.25">
      <c r="A446" s="8">
        <v>445</v>
      </c>
      <c r="B446" t="s">
        <v>52</v>
      </c>
      <c r="C446" t="s">
        <v>45</v>
      </c>
      <c r="D446" s="8">
        <v>48</v>
      </c>
      <c r="E446" t="str">
        <f t="shared" si="34"/>
        <v>46-55</v>
      </c>
      <c r="F446" t="s">
        <v>46</v>
      </c>
      <c r="G446" t="s">
        <v>39</v>
      </c>
      <c r="H446" s="8" t="s">
        <v>40</v>
      </c>
      <c r="I446" s="10">
        <v>2</v>
      </c>
      <c r="J446" t="str">
        <f t="shared" si="30"/>
        <v>Near</v>
      </c>
      <c r="K446">
        <v>5</v>
      </c>
      <c r="L446" t="s">
        <v>62</v>
      </c>
      <c r="M446">
        <v>2</v>
      </c>
      <c r="N446">
        <v>3</v>
      </c>
      <c r="O446">
        <v>2</v>
      </c>
      <c r="P446" t="s">
        <v>42</v>
      </c>
      <c r="Q446">
        <v>4</v>
      </c>
      <c r="R446" s="11">
        <v>163</v>
      </c>
      <c r="S446" s="14">
        <v>37</v>
      </c>
      <c r="T446" s="13">
        <v>4051</v>
      </c>
      <c r="U446" s="13">
        <f t="shared" si="31"/>
        <v>48612</v>
      </c>
      <c r="V446" s="14">
        <v>19658</v>
      </c>
      <c r="W446">
        <v>2</v>
      </c>
      <c r="X446" s="8" t="s">
        <v>46</v>
      </c>
      <c r="Y446" s="15">
        <v>0.14000000000000001</v>
      </c>
      <c r="Z446">
        <v>3</v>
      </c>
      <c r="AA446">
        <v>1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 t="str">
        <f t="shared" si="32"/>
        <v>4-7</v>
      </c>
      <c r="AI446">
        <v>6</v>
      </c>
      <c r="AJ446" t="str">
        <f t="shared" si="33"/>
        <v>6-8</v>
      </c>
      <c r="AK446">
        <v>7</v>
      </c>
    </row>
    <row r="447" spans="1:37" x14ac:dyDescent="0.25">
      <c r="A447" s="8">
        <v>446</v>
      </c>
      <c r="B447" t="s">
        <v>52</v>
      </c>
      <c r="C447" t="s">
        <v>37</v>
      </c>
      <c r="D447" s="8">
        <v>55</v>
      </c>
      <c r="E447" t="str">
        <f t="shared" si="34"/>
        <v>46-55</v>
      </c>
      <c r="F447" t="s">
        <v>46</v>
      </c>
      <c r="G447" t="s">
        <v>39</v>
      </c>
      <c r="H447" s="8" t="s">
        <v>40</v>
      </c>
      <c r="I447" s="10">
        <v>18</v>
      </c>
      <c r="J447" t="str">
        <f t="shared" si="30"/>
        <v>Far</v>
      </c>
      <c r="K447">
        <v>5</v>
      </c>
      <c r="L447" t="s">
        <v>41</v>
      </c>
      <c r="M447">
        <v>1</v>
      </c>
      <c r="N447">
        <v>3</v>
      </c>
      <c r="O447">
        <v>4</v>
      </c>
      <c r="P447" t="s">
        <v>59</v>
      </c>
      <c r="Q447">
        <v>2</v>
      </c>
      <c r="R447" s="11">
        <v>1117</v>
      </c>
      <c r="S447" s="14">
        <v>83</v>
      </c>
      <c r="T447" s="13">
        <v>16835</v>
      </c>
      <c r="U447" s="13">
        <f t="shared" si="31"/>
        <v>202020</v>
      </c>
      <c r="V447" s="14">
        <v>9873</v>
      </c>
      <c r="W447">
        <v>3</v>
      </c>
      <c r="X447" s="8" t="s">
        <v>46</v>
      </c>
      <c r="Y447" s="15">
        <v>0.23</v>
      </c>
      <c r="Z447">
        <v>4</v>
      </c>
      <c r="AA447">
        <v>4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 t="str">
        <f t="shared" si="32"/>
        <v>8-11</v>
      </c>
      <c r="AI447">
        <v>7</v>
      </c>
      <c r="AJ447" t="str">
        <f t="shared" si="33"/>
        <v>6-8</v>
      </c>
      <c r="AK447">
        <v>7</v>
      </c>
    </row>
    <row r="448" spans="1:37" x14ac:dyDescent="0.25">
      <c r="A448" s="8">
        <v>447</v>
      </c>
      <c r="B448" t="s">
        <v>44</v>
      </c>
      <c r="C448" t="s">
        <v>37</v>
      </c>
      <c r="D448" s="8">
        <v>41</v>
      </c>
      <c r="E448" t="str">
        <f t="shared" si="34"/>
        <v>36-45</v>
      </c>
      <c r="F448" t="s">
        <v>46</v>
      </c>
      <c r="G448" t="s">
        <v>58</v>
      </c>
      <c r="H448" s="8" t="s">
        <v>40</v>
      </c>
      <c r="I448" s="10">
        <v>10</v>
      </c>
      <c r="J448" t="str">
        <f t="shared" si="30"/>
        <v>Moderate</v>
      </c>
      <c r="K448">
        <v>2</v>
      </c>
      <c r="L448" t="s">
        <v>41</v>
      </c>
      <c r="M448">
        <v>4</v>
      </c>
      <c r="N448">
        <v>3</v>
      </c>
      <c r="O448">
        <v>2</v>
      </c>
      <c r="P448" t="s">
        <v>42</v>
      </c>
      <c r="Q448">
        <v>4</v>
      </c>
      <c r="R448" s="11">
        <v>267</v>
      </c>
      <c r="S448" s="14">
        <v>56</v>
      </c>
      <c r="T448" s="13">
        <v>6230</v>
      </c>
      <c r="U448" s="13">
        <f t="shared" si="31"/>
        <v>74760</v>
      </c>
      <c r="V448" s="14">
        <v>13430</v>
      </c>
      <c r="W448">
        <v>7</v>
      </c>
      <c r="X448" s="8" t="s">
        <v>46</v>
      </c>
      <c r="Y448" s="15">
        <v>0.14000000000000001</v>
      </c>
      <c r="Z448">
        <v>3</v>
      </c>
      <c r="AA448">
        <v>4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 t="str">
        <f t="shared" si="32"/>
        <v>0-3</v>
      </c>
      <c r="AI448">
        <v>1</v>
      </c>
      <c r="AJ448" t="str">
        <f t="shared" si="33"/>
        <v>0-2</v>
      </c>
      <c r="AK448">
        <v>10</v>
      </c>
    </row>
    <row r="449" spans="1:37" x14ac:dyDescent="0.25">
      <c r="A449" s="8">
        <v>448</v>
      </c>
      <c r="B449" t="s">
        <v>44</v>
      </c>
      <c r="C449" t="s">
        <v>45</v>
      </c>
      <c r="D449" s="8">
        <v>35</v>
      </c>
      <c r="E449" t="str">
        <f t="shared" si="34"/>
        <v>26-35</v>
      </c>
      <c r="F449" t="s">
        <v>46</v>
      </c>
      <c r="G449" t="s">
        <v>39</v>
      </c>
      <c r="H449" s="8" t="s">
        <v>40</v>
      </c>
      <c r="I449" s="10">
        <v>1</v>
      </c>
      <c r="J449" t="str">
        <f t="shared" si="30"/>
        <v>Near</v>
      </c>
      <c r="K449">
        <v>3</v>
      </c>
      <c r="L449" t="s">
        <v>62</v>
      </c>
      <c r="M449">
        <v>2</v>
      </c>
      <c r="N449">
        <v>3</v>
      </c>
      <c r="O449">
        <v>2</v>
      </c>
      <c r="P449" t="s">
        <v>42</v>
      </c>
      <c r="Q449">
        <v>3</v>
      </c>
      <c r="R449" s="11">
        <v>619</v>
      </c>
      <c r="S449" s="14">
        <v>85</v>
      </c>
      <c r="T449" s="13">
        <v>4717</v>
      </c>
      <c r="U449" s="13">
        <f t="shared" si="31"/>
        <v>56604</v>
      </c>
      <c r="V449" s="14">
        <v>18659</v>
      </c>
      <c r="W449">
        <v>9</v>
      </c>
      <c r="X449" s="8" t="s">
        <v>46</v>
      </c>
      <c r="Y449" s="15">
        <v>0.11</v>
      </c>
      <c r="Z449">
        <v>3</v>
      </c>
      <c r="AA449">
        <v>3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 t="str">
        <f t="shared" si="32"/>
        <v>8-11</v>
      </c>
      <c r="AI449">
        <v>6</v>
      </c>
      <c r="AJ449" t="str">
        <f t="shared" si="33"/>
        <v>6-8</v>
      </c>
      <c r="AK449">
        <v>9</v>
      </c>
    </row>
    <row r="450" spans="1:37" x14ac:dyDescent="0.25">
      <c r="A450" s="8">
        <v>449</v>
      </c>
      <c r="B450" t="s">
        <v>52</v>
      </c>
      <c r="C450" t="s">
        <v>37</v>
      </c>
      <c r="D450" s="8">
        <v>40</v>
      </c>
      <c r="E450" t="str">
        <f t="shared" si="34"/>
        <v>36-45</v>
      </c>
      <c r="F450" t="s">
        <v>46</v>
      </c>
      <c r="G450" t="s">
        <v>39</v>
      </c>
      <c r="H450" s="8" t="s">
        <v>48</v>
      </c>
      <c r="I450" s="10">
        <v>6</v>
      </c>
      <c r="J450" t="str">
        <f t="shared" si="30"/>
        <v>Moderate</v>
      </c>
      <c r="K450">
        <v>3</v>
      </c>
      <c r="L450" t="s">
        <v>41</v>
      </c>
      <c r="M450">
        <v>2</v>
      </c>
      <c r="N450">
        <v>3</v>
      </c>
      <c r="O450">
        <v>4</v>
      </c>
      <c r="P450" t="s">
        <v>55</v>
      </c>
      <c r="Q450">
        <v>3</v>
      </c>
      <c r="R450" s="11">
        <v>302</v>
      </c>
      <c r="S450" s="14">
        <v>75</v>
      </c>
      <c r="T450" s="13">
        <v>13237</v>
      </c>
      <c r="U450" s="13">
        <f t="shared" si="31"/>
        <v>158844</v>
      </c>
      <c r="V450" s="14">
        <v>20364</v>
      </c>
      <c r="W450">
        <v>7</v>
      </c>
      <c r="X450" s="8" t="s">
        <v>46</v>
      </c>
      <c r="Y450" s="15">
        <v>0.15</v>
      </c>
      <c r="Z450">
        <v>3</v>
      </c>
      <c r="AA450">
        <v>3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 t="str">
        <f t="shared" si="32"/>
        <v>4-7</v>
      </c>
      <c r="AI450">
        <v>5</v>
      </c>
      <c r="AJ450" t="str">
        <f t="shared" si="33"/>
        <v>3-5</v>
      </c>
      <c r="AK450">
        <v>13</v>
      </c>
    </row>
    <row r="451" spans="1:37" x14ac:dyDescent="0.25">
      <c r="A451" s="8">
        <v>450</v>
      </c>
      <c r="B451" t="s">
        <v>52</v>
      </c>
      <c r="C451" t="s">
        <v>45</v>
      </c>
      <c r="D451" s="8">
        <v>39</v>
      </c>
      <c r="E451" t="str">
        <f t="shared" si="34"/>
        <v>36-45</v>
      </c>
      <c r="F451" t="s">
        <v>46</v>
      </c>
      <c r="G451" t="s">
        <v>47</v>
      </c>
      <c r="H451" s="8" t="s">
        <v>48</v>
      </c>
      <c r="I451" s="10">
        <v>8</v>
      </c>
      <c r="J451" t="str">
        <f t="shared" ref="J451:J514" si="35">IF(I451&lt;=5,"Near",IF(I451&lt;=15,"Moderate",IF(I451&gt;15,"Far")))</f>
        <v>Moderate</v>
      </c>
      <c r="K451">
        <v>1</v>
      </c>
      <c r="L451" t="s">
        <v>41</v>
      </c>
      <c r="M451">
        <v>3</v>
      </c>
      <c r="N451">
        <v>3</v>
      </c>
      <c r="O451">
        <v>1</v>
      </c>
      <c r="P451" t="s">
        <v>51</v>
      </c>
      <c r="Q451">
        <v>3</v>
      </c>
      <c r="R451" s="11">
        <v>443</v>
      </c>
      <c r="S451" s="14">
        <v>48</v>
      </c>
      <c r="T451" s="13">
        <v>3755</v>
      </c>
      <c r="U451" s="13">
        <f t="shared" ref="U451:U514" si="36">T451*12</f>
        <v>45060</v>
      </c>
      <c r="V451" s="14">
        <v>17872</v>
      </c>
      <c r="W451">
        <v>1</v>
      </c>
      <c r="X451" s="8" t="s">
        <v>46</v>
      </c>
      <c r="Y451" s="15">
        <v>0.11</v>
      </c>
      <c r="Z451">
        <v>3</v>
      </c>
      <c r="AA451">
        <v>1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 t="str">
        <f t="shared" ref="AH451:AH514" si="37">IF(AG:AG&lt;=3,"0-3", IF(AG:AG&lt;=7,"4-7", IF(AG:AG&lt;=11,"8-11", IF(AG:AG&lt;=15,"12-15","16-19"))))</f>
        <v>0-3</v>
      </c>
      <c r="AI451">
        <v>0</v>
      </c>
      <c r="AJ451" t="str">
        <f t="shared" ref="AJ451:AJ514" si="38">IF(AI:AI&lt;=2,"0-2",IF(AI:AI&lt;=5,"3-5", IF(AI:AI&lt;=8,"6-8", IF(AI:AI&lt;=11,"9-11","12-15"))))</f>
        <v>0-2</v>
      </c>
      <c r="AK451">
        <v>7</v>
      </c>
    </row>
    <row r="452" spans="1:37" x14ac:dyDescent="0.25">
      <c r="A452" s="8">
        <v>451</v>
      </c>
      <c r="B452" t="s">
        <v>44</v>
      </c>
      <c r="C452" t="s">
        <v>37</v>
      </c>
      <c r="D452" s="8">
        <v>31</v>
      </c>
      <c r="E452" t="str">
        <f t="shared" ref="E452:E515" si="39">IF(D452&lt;25,"18-25",IF(D452&lt;=35,"26-35",IF(D452&lt;=45,"36-45",IF(D452&lt;=55,"46-55",IF(D452&gt;55,"55+")))))</f>
        <v>26-35</v>
      </c>
      <c r="F452" t="s">
        <v>46</v>
      </c>
      <c r="G452" t="s">
        <v>39</v>
      </c>
      <c r="H452" s="8" t="s">
        <v>40</v>
      </c>
      <c r="I452" s="10">
        <v>2</v>
      </c>
      <c r="J452" t="str">
        <f t="shared" si="35"/>
        <v>Near</v>
      </c>
      <c r="K452">
        <v>1</v>
      </c>
      <c r="L452" t="s">
        <v>41</v>
      </c>
      <c r="M452">
        <v>2</v>
      </c>
      <c r="N452">
        <v>3</v>
      </c>
      <c r="O452">
        <v>2</v>
      </c>
      <c r="P452" t="s">
        <v>42</v>
      </c>
      <c r="Q452">
        <v>4</v>
      </c>
      <c r="R452" s="11">
        <v>828</v>
      </c>
      <c r="S452" s="14">
        <v>77</v>
      </c>
      <c r="T452" s="13">
        <v>6582</v>
      </c>
      <c r="U452" s="13">
        <f t="shared" si="36"/>
        <v>78984</v>
      </c>
      <c r="V452" s="14">
        <v>8346</v>
      </c>
      <c r="W452">
        <v>4</v>
      </c>
      <c r="X452" s="8" t="s">
        <v>38</v>
      </c>
      <c r="Y452" s="15">
        <v>0.13</v>
      </c>
      <c r="Z452">
        <v>3</v>
      </c>
      <c r="AA452">
        <v>3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 t="str">
        <f t="shared" si="37"/>
        <v>4-7</v>
      </c>
      <c r="AI452">
        <v>0</v>
      </c>
      <c r="AJ452" t="str">
        <f t="shared" si="38"/>
        <v>0-2</v>
      </c>
      <c r="AK452">
        <v>5</v>
      </c>
    </row>
    <row r="453" spans="1:37" x14ac:dyDescent="0.25">
      <c r="A453" s="8">
        <v>452</v>
      </c>
      <c r="B453" t="s">
        <v>44</v>
      </c>
      <c r="C453" t="s">
        <v>45</v>
      </c>
      <c r="D453" s="8">
        <v>42</v>
      </c>
      <c r="E453" t="str">
        <f t="shared" si="39"/>
        <v>36-45</v>
      </c>
      <c r="F453" t="s">
        <v>46</v>
      </c>
      <c r="G453" t="s">
        <v>39</v>
      </c>
      <c r="H453" s="8" t="s">
        <v>48</v>
      </c>
      <c r="I453" s="10">
        <v>24</v>
      </c>
      <c r="J453" t="str">
        <f t="shared" si="35"/>
        <v>Far</v>
      </c>
      <c r="K453">
        <v>3</v>
      </c>
      <c r="L453" t="s">
        <v>53</v>
      </c>
      <c r="M453">
        <v>4</v>
      </c>
      <c r="N453">
        <v>3</v>
      </c>
      <c r="O453">
        <v>3</v>
      </c>
      <c r="P453" t="s">
        <v>55</v>
      </c>
      <c r="Q453">
        <v>1</v>
      </c>
      <c r="R453" s="11">
        <v>319</v>
      </c>
      <c r="S453" s="14">
        <v>56</v>
      </c>
      <c r="T453" s="13">
        <v>7406</v>
      </c>
      <c r="U453" s="13">
        <f t="shared" si="36"/>
        <v>88872</v>
      </c>
      <c r="V453" s="14">
        <v>6950</v>
      </c>
      <c r="W453">
        <v>1</v>
      </c>
      <c r="X453" s="8" t="s">
        <v>38</v>
      </c>
      <c r="Y453" s="15">
        <v>0.21</v>
      </c>
      <c r="Z453">
        <v>4</v>
      </c>
      <c r="AA453">
        <v>4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 t="str">
        <f t="shared" si="37"/>
        <v>8-11</v>
      </c>
      <c r="AI453">
        <v>5</v>
      </c>
      <c r="AJ453" t="str">
        <f t="shared" si="38"/>
        <v>3-5</v>
      </c>
      <c r="AK453">
        <v>8</v>
      </c>
    </row>
    <row r="454" spans="1:37" x14ac:dyDescent="0.25">
      <c r="A454" s="8">
        <v>453</v>
      </c>
      <c r="B454" t="s">
        <v>44</v>
      </c>
      <c r="C454" t="s">
        <v>45</v>
      </c>
      <c r="D454" s="8">
        <v>45</v>
      </c>
      <c r="E454" t="str">
        <f t="shared" si="39"/>
        <v>36-45</v>
      </c>
      <c r="F454" t="s">
        <v>46</v>
      </c>
      <c r="G454" t="s">
        <v>39</v>
      </c>
      <c r="H454" s="8" t="s">
        <v>40</v>
      </c>
      <c r="I454" s="10">
        <v>2</v>
      </c>
      <c r="J454" t="str">
        <f t="shared" si="35"/>
        <v>Near</v>
      </c>
      <c r="K454">
        <v>3</v>
      </c>
      <c r="L454" t="s">
        <v>50</v>
      </c>
      <c r="M454">
        <v>4</v>
      </c>
      <c r="N454">
        <v>3</v>
      </c>
      <c r="O454">
        <v>2</v>
      </c>
      <c r="P454" t="s">
        <v>42</v>
      </c>
      <c r="Q454">
        <v>2</v>
      </c>
      <c r="R454" s="11">
        <v>561</v>
      </c>
      <c r="S454" s="14">
        <v>61</v>
      </c>
      <c r="T454" s="13">
        <v>4805</v>
      </c>
      <c r="U454" s="13">
        <f t="shared" si="36"/>
        <v>57660</v>
      </c>
      <c r="V454" s="14">
        <v>16177</v>
      </c>
      <c r="W454">
        <v>0</v>
      </c>
      <c r="X454" s="8" t="s">
        <v>46</v>
      </c>
      <c r="Y454" s="15">
        <v>0.19</v>
      </c>
      <c r="Z454">
        <v>3</v>
      </c>
      <c r="AA454">
        <v>2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 t="str">
        <f t="shared" si="37"/>
        <v>4-7</v>
      </c>
      <c r="AI454">
        <v>3</v>
      </c>
      <c r="AJ454" t="str">
        <f t="shared" si="38"/>
        <v>3-5</v>
      </c>
      <c r="AK454">
        <v>7</v>
      </c>
    </row>
    <row r="455" spans="1:37" x14ac:dyDescent="0.25">
      <c r="A455" s="8">
        <v>454</v>
      </c>
      <c r="B455" t="s">
        <v>52</v>
      </c>
      <c r="C455" t="s">
        <v>54</v>
      </c>
      <c r="D455" s="8">
        <v>26</v>
      </c>
      <c r="E455" t="str">
        <f t="shared" si="39"/>
        <v>26-35</v>
      </c>
      <c r="F455" t="s">
        <v>38</v>
      </c>
      <c r="G455" t="s">
        <v>47</v>
      </c>
      <c r="H455" s="8" t="s">
        <v>64</v>
      </c>
      <c r="I455" s="10">
        <v>17</v>
      </c>
      <c r="J455" t="str">
        <f t="shared" si="35"/>
        <v>Far</v>
      </c>
      <c r="K455">
        <v>4</v>
      </c>
      <c r="L455" t="s">
        <v>41</v>
      </c>
      <c r="M455">
        <v>2</v>
      </c>
      <c r="N455">
        <v>3</v>
      </c>
      <c r="O455">
        <v>1</v>
      </c>
      <c r="P455" t="s">
        <v>64</v>
      </c>
      <c r="Q455">
        <v>3</v>
      </c>
      <c r="R455" s="11">
        <v>426</v>
      </c>
      <c r="S455" s="14">
        <v>58</v>
      </c>
      <c r="T455" s="13">
        <v>2741</v>
      </c>
      <c r="U455" s="13">
        <f t="shared" si="36"/>
        <v>32892</v>
      </c>
      <c r="V455" s="14">
        <v>22808</v>
      </c>
      <c r="W455">
        <v>0</v>
      </c>
      <c r="X455" s="8" t="s">
        <v>38</v>
      </c>
      <c r="Y455" s="15">
        <v>0.11</v>
      </c>
      <c r="Z455">
        <v>3</v>
      </c>
      <c r="AA455">
        <v>2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 t="str">
        <f t="shared" si="37"/>
        <v>4-7</v>
      </c>
      <c r="AI455">
        <v>1</v>
      </c>
      <c r="AJ455" t="str">
        <f t="shared" si="38"/>
        <v>0-2</v>
      </c>
      <c r="AK455">
        <v>0</v>
      </c>
    </row>
    <row r="456" spans="1:37" x14ac:dyDescent="0.25">
      <c r="A456" s="8">
        <v>455</v>
      </c>
      <c r="B456" t="s">
        <v>44</v>
      </c>
      <c r="C456" t="s">
        <v>54</v>
      </c>
      <c r="D456" s="8">
        <v>29</v>
      </c>
      <c r="E456" t="str">
        <f t="shared" si="39"/>
        <v>26-35</v>
      </c>
      <c r="F456" t="s">
        <v>46</v>
      </c>
      <c r="G456" t="s">
        <v>39</v>
      </c>
      <c r="H456" s="8" t="s">
        <v>48</v>
      </c>
      <c r="I456" s="10">
        <v>19</v>
      </c>
      <c r="J456" t="str">
        <f t="shared" si="35"/>
        <v>Far</v>
      </c>
      <c r="K456">
        <v>3</v>
      </c>
      <c r="L456" t="s">
        <v>63</v>
      </c>
      <c r="M456">
        <v>4</v>
      </c>
      <c r="N456">
        <v>3</v>
      </c>
      <c r="O456">
        <v>2</v>
      </c>
      <c r="P456" t="s">
        <v>55</v>
      </c>
      <c r="Q456">
        <v>4</v>
      </c>
      <c r="R456" s="11">
        <v>232</v>
      </c>
      <c r="S456" s="14">
        <v>34</v>
      </c>
      <c r="T456" s="13">
        <v>4262</v>
      </c>
      <c r="U456" s="13">
        <f t="shared" si="36"/>
        <v>51144</v>
      </c>
      <c r="V456" s="14">
        <v>22645</v>
      </c>
      <c r="W456">
        <v>4</v>
      </c>
      <c r="X456" s="8" t="s">
        <v>46</v>
      </c>
      <c r="Y456" s="15">
        <v>0.12</v>
      </c>
      <c r="Z456">
        <v>3</v>
      </c>
      <c r="AA456">
        <v>2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 t="str">
        <f t="shared" si="37"/>
        <v>0-3</v>
      </c>
      <c r="AI456">
        <v>1</v>
      </c>
      <c r="AJ456" t="str">
        <f t="shared" si="38"/>
        <v>0-2</v>
      </c>
      <c r="AK456">
        <v>2</v>
      </c>
    </row>
    <row r="457" spans="1:37" x14ac:dyDescent="0.25">
      <c r="A457" s="8">
        <v>456</v>
      </c>
      <c r="B457" t="s">
        <v>52</v>
      </c>
      <c r="C457" t="s">
        <v>54</v>
      </c>
      <c r="D457" s="8">
        <v>33</v>
      </c>
      <c r="E457" t="str">
        <f t="shared" si="39"/>
        <v>26-35</v>
      </c>
      <c r="F457" t="s">
        <v>46</v>
      </c>
      <c r="G457" t="s">
        <v>39</v>
      </c>
      <c r="H457" s="8" t="s">
        <v>48</v>
      </c>
      <c r="I457" s="10">
        <v>1</v>
      </c>
      <c r="J457" t="str">
        <f t="shared" si="35"/>
        <v>Near</v>
      </c>
      <c r="K457">
        <v>5</v>
      </c>
      <c r="L457" t="s">
        <v>53</v>
      </c>
      <c r="M457">
        <v>1</v>
      </c>
      <c r="N457">
        <v>4</v>
      </c>
      <c r="O457">
        <v>4</v>
      </c>
      <c r="P457" t="s">
        <v>61</v>
      </c>
      <c r="Q457">
        <v>3</v>
      </c>
      <c r="R457" s="11">
        <v>922</v>
      </c>
      <c r="S457" s="14">
        <v>95</v>
      </c>
      <c r="T457" s="13">
        <v>16184</v>
      </c>
      <c r="U457" s="13">
        <f t="shared" si="36"/>
        <v>194208</v>
      </c>
      <c r="V457" s="14">
        <v>22578</v>
      </c>
      <c r="W457">
        <v>4</v>
      </c>
      <c r="X457" s="8" t="s">
        <v>46</v>
      </c>
      <c r="Y457" s="15">
        <v>0.19</v>
      </c>
      <c r="Z457">
        <v>3</v>
      </c>
      <c r="AA457">
        <v>3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 t="str">
        <f t="shared" si="37"/>
        <v>0-3</v>
      </c>
      <c r="AI457">
        <v>0</v>
      </c>
      <c r="AJ457" t="str">
        <f t="shared" si="38"/>
        <v>0-2</v>
      </c>
      <c r="AK457">
        <v>5</v>
      </c>
    </row>
    <row r="458" spans="1:37" x14ac:dyDescent="0.25">
      <c r="A458" s="8">
        <v>457</v>
      </c>
      <c r="B458" t="s">
        <v>44</v>
      </c>
      <c r="C458" t="s">
        <v>54</v>
      </c>
      <c r="D458" s="8">
        <v>31</v>
      </c>
      <c r="E458" t="str">
        <f t="shared" si="39"/>
        <v>26-35</v>
      </c>
      <c r="F458" t="s">
        <v>46</v>
      </c>
      <c r="G458" t="s">
        <v>39</v>
      </c>
      <c r="H458" s="8" t="s">
        <v>40</v>
      </c>
      <c r="I458" s="10">
        <v>7</v>
      </c>
      <c r="J458" t="str">
        <f t="shared" si="35"/>
        <v>Moderate</v>
      </c>
      <c r="K458">
        <v>3</v>
      </c>
      <c r="L458" t="s">
        <v>41</v>
      </c>
      <c r="M458">
        <v>3</v>
      </c>
      <c r="N458">
        <v>2</v>
      </c>
      <c r="O458">
        <v>3</v>
      </c>
      <c r="P458" t="s">
        <v>59</v>
      </c>
      <c r="Q458">
        <v>4</v>
      </c>
      <c r="R458" s="11">
        <v>688</v>
      </c>
      <c r="S458" s="14">
        <v>44</v>
      </c>
      <c r="T458" s="13">
        <v>11557</v>
      </c>
      <c r="U458" s="13">
        <f t="shared" si="36"/>
        <v>138684</v>
      </c>
      <c r="V458" s="14">
        <v>25291</v>
      </c>
      <c r="W458">
        <v>9</v>
      </c>
      <c r="X458" s="8" t="s">
        <v>46</v>
      </c>
      <c r="Y458" s="15">
        <v>0.21</v>
      </c>
      <c r="Z458">
        <v>4</v>
      </c>
      <c r="AA458">
        <v>3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 t="str">
        <f t="shared" si="37"/>
        <v>4-7</v>
      </c>
      <c r="AI458">
        <v>0</v>
      </c>
      <c r="AJ458" t="str">
        <f t="shared" si="38"/>
        <v>0-2</v>
      </c>
      <c r="AK458">
        <v>1</v>
      </c>
    </row>
    <row r="459" spans="1:37" x14ac:dyDescent="0.25">
      <c r="A459" s="8">
        <v>458</v>
      </c>
      <c r="B459" t="s">
        <v>44</v>
      </c>
      <c r="C459" t="s">
        <v>37</v>
      </c>
      <c r="D459" s="8">
        <v>18</v>
      </c>
      <c r="E459" t="str">
        <f t="shared" si="39"/>
        <v>18-25</v>
      </c>
      <c r="F459" t="s">
        <v>38</v>
      </c>
      <c r="G459" t="s">
        <v>47</v>
      </c>
      <c r="H459" s="8" t="s">
        <v>40</v>
      </c>
      <c r="I459" s="10">
        <v>5</v>
      </c>
      <c r="J459" t="str">
        <f t="shared" si="35"/>
        <v>Near</v>
      </c>
      <c r="K459">
        <v>3</v>
      </c>
      <c r="L459" t="s">
        <v>62</v>
      </c>
      <c r="M459">
        <v>2</v>
      </c>
      <c r="N459">
        <v>3</v>
      </c>
      <c r="O459">
        <v>1</v>
      </c>
      <c r="P459" t="s">
        <v>60</v>
      </c>
      <c r="Q459">
        <v>2</v>
      </c>
      <c r="R459" s="11">
        <v>1306</v>
      </c>
      <c r="S459" s="14">
        <v>69</v>
      </c>
      <c r="T459" s="13">
        <v>1878</v>
      </c>
      <c r="U459" s="13">
        <f t="shared" si="36"/>
        <v>22536</v>
      </c>
      <c r="V459" s="14">
        <v>8059</v>
      </c>
      <c r="W459">
        <v>1</v>
      </c>
      <c r="X459" s="8" t="s">
        <v>38</v>
      </c>
      <c r="Y459" s="15">
        <v>0.14000000000000001</v>
      </c>
      <c r="Z459">
        <v>3</v>
      </c>
      <c r="AA459">
        <v>4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 t="str">
        <f t="shared" si="37"/>
        <v>0-3</v>
      </c>
      <c r="AI459">
        <v>0</v>
      </c>
      <c r="AJ459" t="str">
        <f t="shared" si="38"/>
        <v>0-2</v>
      </c>
      <c r="AK459">
        <v>0</v>
      </c>
    </row>
    <row r="460" spans="1:37" x14ac:dyDescent="0.25">
      <c r="A460" s="8">
        <v>459</v>
      </c>
      <c r="B460" t="s">
        <v>44</v>
      </c>
      <c r="C460" t="s">
        <v>54</v>
      </c>
      <c r="D460" s="8">
        <v>40</v>
      </c>
      <c r="E460" t="str">
        <f t="shared" si="39"/>
        <v>36-45</v>
      </c>
      <c r="F460" t="s">
        <v>46</v>
      </c>
      <c r="G460" t="s">
        <v>58</v>
      </c>
      <c r="H460" s="8" t="s">
        <v>40</v>
      </c>
      <c r="I460" s="10">
        <v>28</v>
      </c>
      <c r="J460" t="str">
        <f t="shared" si="35"/>
        <v>Far</v>
      </c>
      <c r="K460">
        <v>3</v>
      </c>
      <c r="L460" t="s">
        <v>50</v>
      </c>
      <c r="M460">
        <v>3</v>
      </c>
      <c r="N460">
        <v>1</v>
      </c>
      <c r="O460">
        <v>3</v>
      </c>
      <c r="P460" t="s">
        <v>42</v>
      </c>
      <c r="Q460">
        <v>1</v>
      </c>
      <c r="R460" s="11">
        <v>1094</v>
      </c>
      <c r="S460" s="14">
        <v>58</v>
      </c>
      <c r="T460" s="13">
        <v>10932</v>
      </c>
      <c r="U460" s="13">
        <f t="shared" si="36"/>
        <v>131184</v>
      </c>
      <c r="V460" s="14">
        <v>11373</v>
      </c>
      <c r="W460">
        <v>3</v>
      </c>
      <c r="X460" s="8" t="s">
        <v>46</v>
      </c>
      <c r="Y460" s="15">
        <v>0.15</v>
      </c>
      <c r="Z460">
        <v>3</v>
      </c>
      <c r="AA460">
        <v>3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 t="str">
        <f t="shared" si="37"/>
        <v>0-3</v>
      </c>
      <c r="AI460">
        <v>0</v>
      </c>
      <c r="AJ460" t="str">
        <f t="shared" si="38"/>
        <v>0-2</v>
      </c>
      <c r="AK460">
        <v>1</v>
      </c>
    </row>
    <row r="461" spans="1:37" x14ac:dyDescent="0.25">
      <c r="A461" s="8">
        <v>460</v>
      </c>
      <c r="B461" t="s">
        <v>52</v>
      </c>
      <c r="C461" t="s">
        <v>37</v>
      </c>
      <c r="D461" s="8">
        <v>41</v>
      </c>
      <c r="E461" t="str">
        <f t="shared" si="39"/>
        <v>36-45</v>
      </c>
      <c r="F461" t="s">
        <v>46</v>
      </c>
      <c r="G461" t="s">
        <v>58</v>
      </c>
      <c r="H461" s="8" t="s">
        <v>48</v>
      </c>
      <c r="I461" s="10">
        <v>2</v>
      </c>
      <c r="J461" t="str">
        <f t="shared" si="35"/>
        <v>Near</v>
      </c>
      <c r="K461">
        <v>4</v>
      </c>
      <c r="L461" t="s">
        <v>50</v>
      </c>
      <c r="M461">
        <v>1</v>
      </c>
      <c r="N461">
        <v>2</v>
      </c>
      <c r="O461">
        <v>2</v>
      </c>
      <c r="P461" t="s">
        <v>56</v>
      </c>
      <c r="Q461">
        <v>3</v>
      </c>
      <c r="R461" s="11">
        <v>509</v>
      </c>
      <c r="S461" s="14">
        <v>62</v>
      </c>
      <c r="T461" s="13">
        <v>6811</v>
      </c>
      <c r="U461" s="13">
        <f t="shared" si="36"/>
        <v>81732</v>
      </c>
      <c r="V461" s="14">
        <v>2112</v>
      </c>
      <c r="W461">
        <v>2</v>
      </c>
      <c r="X461" s="8" t="s">
        <v>38</v>
      </c>
      <c r="Y461" s="15">
        <v>0.17</v>
      </c>
      <c r="Z461">
        <v>3</v>
      </c>
      <c r="AA461">
        <v>1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 t="str">
        <f t="shared" si="37"/>
        <v>4-7</v>
      </c>
      <c r="AI461">
        <v>0</v>
      </c>
      <c r="AJ461" t="str">
        <f t="shared" si="38"/>
        <v>0-2</v>
      </c>
      <c r="AK461">
        <v>7</v>
      </c>
    </row>
    <row r="462" spans="1:37" x14ac:dyDescent="0.25">
      <c r="A462" s="8">
        <v>461</v>
      </c>
      <c r="B462" t="s">
        <v>44</v>
      </c>
      <c r="C462" t="s">
        <v>54</v>
      </c>
      <c r="D462" s="8">
        <v>26</v>
      </c>
      <c r="E462" t="str">
        <f t="shared" si="39"/>
        <v>26-35</v>
      </c>
      <c r="F462" t="s">
        <v>46</v>
      </c>
      <c r="G462" t="s">
        <v>39</v>
      </c>
      <c r="H462" s="8" t="s">
        <v>40</v>
      </c>
      <c r="I462" s="10">
        <v>29</v>
      </c>
      <c r="J462" t="str">
        <f t="shared" si="35"/>
        <v>Far</v>
      </c>
      <c r="K462">
        <v>2</v>
      </c>
      <c r="L462" t="s">
        <v>53</v>
      </c>
      <c r="M462">
        <v>1</v>
      </c>
      <c r="N462">
        <v>3</v>
      </c>
      <c r="O462">
        <v>2</v>
      </c>
      <c r="P462" t="s">
        <v>42</v>
      </c>
      <c r="Q462">
        <v>3</v>
      </c>
      <c r="R462" s="11">
        <v>775</v>
      </c>
      <c r="S462" s="14">
        <v>45</v>
      </c>
      <c r="T462" s="13">
        <v>4306</v>
      </c>
      <c r="U462" s="13">
        <f t="shared" si="36"/>
        <v>51672</v>
      </c>
      <c r="V462" s="14">
        <v>4267</v>
      </c>
      <c r="W462">
        <v>5</v>
      </c>
      <c r="X462" s="8" t="s">
        <v>46</v>
      </c>
      <c r="Y462" s="15">
        <v>0.12</v>
      </c>
      <c r="Z462">
        <v>3</v>
      </c>
      <c r="AA462">
        <v>1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 t="str">
        <f t="shared" si="37"/>
        <v>0-3</v>
      </c>
      <c r="AI462">
        <v>0</v>
      </c>
      <c r="AJ462" t="str">
        <f t="shared" si="38"/>
        <v>0-2</v>
      </c>
      <c r="AK462">
        <v>0</v>
      </c>
    </row>
    <row r="463" spans="1:37" x14ac:dyDescent="0.25">
      <c r="A463" s="8">
        <v>462</v>
      </c>
      <c r="B463" t="s">
        <v>52</v>
      </c>
      <c r="C463" t="s">
        <v>37</v>
      </c>
      <c r="D463" s="8">
        <v>35</v>
      </c>
      <c r="E463" t="str">
        <f t="shared" si="39"/>
        <v>26-35</v>
      </c>
      <c r="F463" t="s">
        <v>46</v>
      </c>
      <c r="G463" t="s">
        <v>39</v>
      </c>
      <c r="H463" s="8" t="s">
        <v>40</v>
      </c>
      <c r="I463" s="10">
        <v>1</v>
      </c>
      <c r="J463" t="str">
        <f t="shared" si="35"/>
        <v>Near</v>
      </c>
      <c r="K463">
        <v>3</v>
      </c>
      <c r="L463" t="s">
        <v>53</v>
      </c>
      <c r="M463">
        <v>1</v>
      </c>
      <c r="N463">
        <v>3</v>
      </c>
      <c r="O463">
        <v>2</v>
      </c>
      <c r="P463" t="s">
        <v>42</v>
      </c>
      <c r="Q463">
        <v>3</v>
      </c>
      <c r="R463" s="11">
        <v>195</v>
      </c>
      <c r="S463" s="14">
        <v>80</v>
      </c>
      <c r="T463" s="13">
        <v>4859</v>
      </c>
      <c r="U463" s="13">
        <f t="shared" si="36"/>
        <v>58308</v>
      </c>
      <c r="V463" s="14">
        <v>6698</v>
      </c>
      <c r="W463">
        <v>1</v>
      </c>
      <c r="X463" s="8" t="s">
        <v>46</v>
      </c>
      <c r="Y463" s="15">
        <v>0.16</v>
      </c>
      <c r="Z463">
        <v>3</v>
      </c>
      <c r="AA463">
        <v>4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 t="str">
        <f t="shared" si="37"/>
        <v>4-7</v>
      </c>
      <c r="AI463">
        <v>0</v>
      </c>
      <c r="AJ463" t="str">
        <f t="shared" si="38"/>
        <v>0-2</v>
      </c>
      <c r="AK463">
        <v>3</v>
      </c>
    </row>
    <row r="464" spans="1:37" x14ac:dyDescent="0.25">
      <c r="A464" s="8">
        <v>463</v>
      </c>
      <c r="B464" t="s">
        <v>44</v>
      </c>
      <c r="C464" t="s">
        <v>37</v>
      </c>
      <c r="D464" s="8">
        <v>34</v>
      </c>
      <c r="E464" t="str">
        <f t="shared" si="39"/>
        <v>26-35</v>
      </c>
      <c r="F464" t="s">
        <v>46</v>
      </c>
      <c r="G464" t="s">
        <v>39</v>
      </c>
      <c r="H464" s="8" t="s">
        <v>40</v>
      </c>
      <c r="I464" s="10">
        <v>21</v>
      </c>
      <c r="J464" t="str">
        <f t="shared" si="35"/>
        <v>Far</v>
      </c>
      <c r="K464">
        <v>4</v>
      </c>
      <c r="L464" t="s">
        <v>41</v>
      </c>
      <c r="M464">
        <v>4</v>
      </c>
      <c r="N464">
        <v>4</v>
      </c>
      <c r="O464">
        <v>2</v>
      </c>
      <c r="P464" t="s">
        <v>42</v>
      </c>
      <c r="Q464">
        <v>4</v>
      </c>
      <c r="R464" s="11">
        <v>258</v>
      </c>
      <c r="S464" s="14">
        <v>74</v>
      </c>
      <c r="T464" s="13">
        <v>5337</v>
      </c>
      <c r="U464" s="13">
        <f t="shared" si="36"/>
        <v>64044</v>
      </c>
      <c r="V464" s="14">
        <v>19921</v>
      </c>
      <c r="W464">
        <v>1</v>
      </c>
      <c r="X464" s="8" t="s">
        <v>46</v>
      </c>
      <c r="Y464" s="15">
        <v>0.12</v>
      </c>
      <c r="Z464">
        <v>3</v>
      </c>
      <c r="AA464">
        <v>4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 t="str">
        <f t="shared" si="37"/>
        <v>4-7</v>
      </c>
      <c r="AI464">
        <v>5</v>
      </c>
      <c r="AJ464" t="str">
        <f t="shared" si="38"/>
        <v>3-5</v>
      </c>
      <c r="AK464">
        <v>7</v>
      </c>
    </row>
    <row r="465" spans="1:37" x14ac:dyDescent="0.25">
      <c r="A465" s="8">
        <v>464</v>
      </c>
      <c r="B465" t="s">
        <v>44</v>
      </c>
      <c r="C465" t="s">
        <v>37</v>
      </c>
      <c r="D465" s="8">
        <v>26</v>
      </c>
      <c r="E465" t="str">
        <f t="shared" si="39"/>
        <v>26-35</v>
      </c>
      <c r="F465" t="s">
        <v>38</v>
      </c>
      <c r="G465" t="s">
        <v>39</v>
      </c>
      <c r="H465" s="8" t="s">
        <v>48</v>
      </c>
      <c r="I465" s="10">
        <v>24</v>
      </c>
      <c r="J465" t="str">
        <f t="shared" si="35"/>
        <v>Far</v>
      </c>
      <c r="K465">
        <v>3</v>
      </c>
      <c r="L465" t="s">
        <v>63</v>
      </c>
      <c r="M465">
        <v>3</v>
      </c>
      <c r="N465">
        <v>1</v>
      </c>
      <c r="O465">
        <v>1</v>
      </c>
      <c r="P465" t="s">
        <v>51</v>
      </c>
      <c r="Q465">
        <v>4</v>
      </c>
      <c r="R465" s="11">
        <v>471</v>
      </c>
      <c r="S465" s="14">
        <v>66</v>
      </c>
      <c r="T465" s="13">
        <v>2340</v>
      </c>
      <c r="U465" s="13">
        <f t="shared" si="36"/>
        <v>28080</v>
      </c>
      <c r="V465" s="14">
        <v>23213</v>
      </c>
      <c r="W465">
        <v>1</v>
      </c>
      <c r="X465" s="8" t="s">
        <v>38</v>
      </c>
      <c r="Y465" s="15">
        <v>0.18</v>
      </c>
      <c r="Z465">
        <v>3</v>
      </c>
      <c r="AA465">
        <v>2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 t="str">
        <f t="shared" si="37"/>
        <v>0-3</v>
      </c>
      <c r="AI465">
        <v>0</v>
      </c>
      <c r="AJ465" t="str">
        <f t="shared" si="38"/>
        <v>0-2</v>
      </c>
      <c r="AK465">
        <v>0</v>
      </c>
    </row>
    <row r="466" spans="1:37" x14ac:dyDescent="0.25">
      <c r="A466" s="8">
        <v>465</v>
      </c>
      <c r="B466" t="s">
        <v>52</v>
      </c>
      <c r="C466" t="s">
        <v>37</v>
      </c>
      <c r="D466" s="8">
        <v>37</v>
      </c>
      <c r="E466" t="str">
        <f t="shared" si="39"/>
        <v>36-45</v>
      </c>
      <c r="F466" t="s">
        <v>46</v>
      </c>
      <c r="G466" t="s">
        <v>39</v>
      </c>
      <c r="H466" s="8" t="s">
        <v>48</v>
      </c>
      <c r="I466" s="10">
        <v>1</v>
      </c>
      <c r="J466" t="str">
        <f t="shared" si="35"/>
        <v>Near</v>
      </c>
      <c r="K466">
        <v>3</v>
      </c>
      <c r="L466" t="s">
        <v>63</v>
      </c>
      <c r="M466">
        <v>2</v>
      </c>
      <c r="N466">
        <v>3</v>
      </c>
      <c r="O466">
        <v>3</v>
      </c>
      <c r="P466" t="s">
        <v>55</v>
      </c>
      <c r="Q466">
        <v>4</v>
      </c>
      <c r="R466" s="11">
        <v>799</v>
      </c>
      <c r="S466" s="14">
        <v>59</v>
      </c>
      <c r="T466" s="13">
        <v>7491</v>
      </c>
      <c r="U466" s="13">
        <f t="shared" si="36"/>
        <v>89892</v>
      </c>
      <c r="V466" s="14">
        <v>23848</v>
      </c>
      <c r="W466">
        <v>4</v>
      </c>
      <c r="X466" s="8" t="s">
        <v>46</v>
      </c>
      <c r="Y466" s="15">
        <v>0.17</v>
      </c>
      <c r="Z466">
        <v>3</v>
      </c>
      <c r="AA466">
        <v>4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 t="str">
        <f t="shared" si="37"/>
        <v>4-7</v>
      </c>
      <c r="AI466">
        <v>1</v>
      </c>
      <c r="AJ466" t="str">
        <f t="shared" si="38"/>
        <v>0-2</v>
      </c>
      <c r="AK466">
        <v>2</v>
      </c>
    </row>
    <row r="467" spans="1:37" x14ac:dyDescent="0.25">
      <c r="A467" s="8">
        <v>466</v>
      </c>
      <c r="B467" t="s">
        <v>52</v>
      </c>
      <c r="C467" t="s">
        <v>45</v>
      </c>
      <c r="D467" s="8">
        <v>46</v>
      </c>
      <c r="E467" t="str">
        <f t="shared" si="39"/>
        <v>46-55</v>
      </c>
      <c r="F467" t="s">
        <v>46</v>
      </c>
      <c r="G467" t="s">
        <v>47</v>
      </c>
      <c r="H467" s="8" t="s">
        <v>48</v>
      </c>
      <c r="I467" s="10">
        <v>18</v>
      </c>
      <c r="J467" t="str">
        <f t="shared" si="35"/>
        <v>Far</v>
      </c>
      <c r="K467">
        <v>1</v>
      </c>
      <c r="L467" t="s">
        <v>53</v>
      </c>
      <c r="M467">
        <v>1</v>
      </c>
      <c r="N467">
        <v>3</v>
      </c>
      <c r="O467">
        <v>3</v>
      </c>
      <c r="P467" t="s">
        <v>56</v>
      </c>
      <c r="Q467">
        <v>3</v>
      </c>
      <c r="R467" s="11">
        <v>1034</v>
      </c>
      <c r="S467" s="14">
        <v>86</v>
      </c>
      <c r="T467" s="13">
        <v>10527</v>
      </c>
      <c r="U467" s="13">
        <f t="shared" si="36"/>
        <v>126324</v>
      </c>
      <c r="V467" s="14">
        <v>8984</v>
      </c>
      <c r="W467">
        <v>5</v>
      </c>
      <c r="X467" s="8" t="s">
        <v>46</v>
      </c>
      <c r="Y467" s="15">
        <v>0.11</v>
      </c>
      <c r="Z467">
        <v>3</v>
      </c>
      <c r="AA467">
        <v>4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 t="str">
        <f t="shared" si="37"/>
        <v>0-3</v>
      </c>
      <c r="AI467">
        <v>1</v>
      </c>
      <c r="AJ467" t="str">
        <f t="shared" si="38"/>
        <v>0-2</v>
      </c>
      <c r="AK467">
        <v>2</v>
      </c>
    </row>
    <row r="468" spans="1:37" x14ac:dyDescent="0.25">
      <c r="A468" s="8">
        <v>467</v>
      </c>
      <c r="B468" t="s">
        <v>52</v>
      </c>
      <c r="C468" t="s">
        <v>45</v>
      </c>
      <c r="D468" s="8">
        <v>41</v>
      </c>
      <c r="E468" t="str">
        <f t="shared" si="39"/>
        <v>36-45</v>
      </c>
      <c r="F468" t="s">
        <v>46</v>
      </c>
      <c r="G468" t="s">
        <v>39</v>
      </c>
      <c r="H468" s="8" t="s">
        <v>40</v>
      </c>
      <c r="I468" s="10">
        <v>2</v>
      </c>
      <c r="J468" t="str">
        <f t="shared" si="35"/>
        <v>Near</v>
      </c>
      <c r="K468">
        <v>5</v>
      </c>
      <c r="L468" t="s">
        <v>41</v>
      </c>
      <c r="M468">
        <v>2</v>
      </c>
      <c r="N468">
        <v>3</v>
      </c>
      <c r="O468">
        <v>4</v>
      </c>
      <c r="P468" t="s">
        <v>59</v>
      </c>
      <c r="Q468">
        <v>1</v>
      </c>
      <c r="R468" s="11">
        <v>1276</v>
      </c>
      <c r="S468" s="14">
        <v>91</v>
      </c>
      <c r="T468" s="13">
        <v>16595</v>
      </c>
      <c r="U468" s="13">
        <f t="shared" si="36"/>
        <v>199140</v>
      </c>
      <c r="V468" s="14">
        <v>5626</v>
      </c>
      <c r="W468">
        <v>7</v>
      </c>
      <c r="X468" s="8" t="s">
        <v>46</v>
      </c>
      <c r="Y468" s="15">
        <v>0.16</v>
      </c>
      <c r="Z468">
        <v>3</v>
      </c>
      <c r="AA468">
        <v>2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 t="str">
        <f t="shared" si="37"/>
        <v>16-19</v>
      </c>
      <c r="AI468">
        <v>11</v>
      </c>
      <c r="AJ468" t="str">
        <f t="shared" si="38"/>
        <v>9-11</v>
      </c>
      <c r="AK468">
        <v>8</v>
      </c>
    </row>
    <row r="469" spans="1:37" x14ac:dyDescent="0.25">
      <c r="A469" s="8">
        <v>468</v>
      </c>
      <c r="B469" t="s">
        <v>44</v>
      </c>
      <c r="C469" t="s">
        <v>54</v>
      </c>
      <c r="D469" s="8">
        <v>37</v>
      </c>
      <c r="E469" t="str">
        <f t="shared" si="39"/>
        <v>36-45</v>
      </c>
      <c r="F469" t="s">
        <v>46</v>
      </c>
      <c r="G469" t="s">
        <v>58</v>
      </c>
      <c r="H469" s="8" t="s">
        <v>40</v>
      </c>
      <c r="I469" s="10">
        <v>9</v>
      </c>
      <c r="J469" t="str">
        <f t="shared" si="35"/>
        <v>Moderate</v>
      </c>
      <c r="K469">
        <v>4</v>
      </c>
      <c r="L469" t="s">
        <v>53</v>
      </c>
      <c r="M469">
        <v>1</v>
      </c>
      <c r="N469">
        <v>3</v>
      </c>
      <c r="O469">
        <v>3</v>
      </c>
      <c r="P469" t="s">
        <v>42</v>
      </c>
      <c r="Q469">
        <v>2</v>
      </c>
      <c r="R469" s="11">
        <v>142</v>
      </c>
      <c r="S469" s="14">
        <v>69</v>
      </c>
      <c r="T469" s="13">
        <v>8834</v>
      </c>
      <c r="U469" s="13">
        <f t="shared" si="36"/>
        <v>106008</v>
      </c>
      <c r="V469" s="14">
        <v>24666</v>
      </c>
      <c r="W469">
        <v>1</v>
      </c>
      <c r="X469" s="8" t="s">
        <v>46</v>
      </c>
      <c r="Y469" s="15">
        <v>0.13</v>
      </c>
      <c r="Z469">
        <v>3</v>
      </c>
      <c r="AA469">
        <v>4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 t="str">
        <f t="shared" si="37"/>
        <v>4-7</v>
      </c>
      <c r="AI469">
        <v>7</v>
      </c>
      <c r="AJ469" t="str">
        <f t="shared" si="38"/>
        <v>6-8</v>
      </c>
      <c r="AK469">
        <v>7</v>
      </c>
    </row>
    <row r="470" spans="1:37" x14ac:dyDescent="0.25">
      <c r="A470" s="8">
        <v>469</v>
      </c>
      <c r="B470" t="s">
        <v>44</v>
      </c>
      <c r="C470" t="s">
        <v>54</v>
      </c>
      <c r="D470" s="8">
        <v>52</v>
      </c>
      <c r="E470" t="str">
        <f t="shared" si="39"/>
        <v>46-55</v>
      </c>
      <c r="F470" t="s">
        <v>46</v>
      </c>
      <c r="G470" t="s">
        <v>39</v>
      </c>
      <c r="H470" s="8" t="s">
        <v>48</v>
      </c>
      <c r="I470" s="10">
        <v>6</v>
      </c>
      <c r="J470" t="str">
        <f t="shared" si="35"/>
        <v>Moderate</v>
      </c>
      <c r="K470">
        <v>2</v>
      </c>
      <c r="L470" t="s">
        <v>63</v>
      </c>
      <c r="M470">
        <v>4</v>
      </c>
      <c r="N470">
        <v>3</v>
      </c>
      <c r="O470">
        <v>2</v>
      </c>
      <c r="P470" t="s">
        <v>49</v>
      </c>
      <c r="Q470">
        <v>1</v>
      </c>
      <c r="R470" s="11">
        <v>956</v>
      </c>
      <c r="S470" s="14">
        <v>78</v>
      </c>
      <c r="T470" s="13">
        <v>5577</v>
      </c>
      <c r="U470" s="13">
        <f t="shared" si="36"/>
        <v>66924</v>
      </c>
      <c r="V470" s="14">
        <v>22087</v>
      </c>
      <c r="W470">
        <v>3</v>
      </c>
      <c r="X470" s="8" t="s">
        <v>38</v>
      </c>
      <c r="Y470" s="15">
        <v>0.12</v>
      </c>
      <c r="Z470">
        <v>3</v>
      </c>
      <c r="AA470">
        <v>2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 t="str">
        <f t="shared" si="37"/>
        <v>8-11</v>
      </c>
      <c r="AI470">
        <v>6</v>
      </c>
      <c r="AJ470" t="str">
        <f t="shared" si="38"/>
        <v>6-8</v>
      </c>
      <c r="AK470">
        <v>9</v>
      </c>
    </row>
    <row r="471" spans="1:37" x14ac:dyDescent="0.25">
      <c r="A471" s="8">
        <v>470</v>
      </c>
      <c r="B471" t="s">
        <v>44</v>
      </c>
      <c r="C471" t="s">
        <v>45</v>
      </c>
      <c r="D471" s="8">
        <v>32</v>
      </c>
      <c r="E471" t="str">
        <f t="shared" si="39"/>
        <v>26-35</v>
      </c>
      <c r="F471" t="s">
        <v>38</v>
      </c>
      <c r="G471" t="s">
        <v>58</v>
      </c>
      <c r="H471" s="8" t="s">
        <v>40</v>
      </c>
      <c r="I471" s="10">
        <v>11</v>
      </c>
      <c r="J471" t="str">
        <f t="shared" si="35"/>
        <v>Moderate</v>
      </c>
      <c r="K471">
        <v>4</v>
      </c>
      <c r="L471" t="s">
        <v>50</v>
      </c>
      <c r="M471">
        <v>4</v>
      </c>
      <c r="N471">
        <v>4</v>
      </c>
      <c r="O471">
        <v>2</v>
      </c>
      <c r="P471" t="s">
        <v>42</v>
      </c>
      <c r="Q471">
        <v>3</v>
      </c>
      <c r="R471" s="11">
        <v>1474</v>
      </c>
      <c r="S471" s="14">
        <v>60</v>
      </c>
      <c r="T471" s="13">
        <v>4707</v>
      </c>
      <c r="U471" s="13">
        <f t="shared" si="36"/>
        <v>56484</v>
      </c>
      <c r="V471" s="14">
        <v>23914</v>
      </c>
      <c r="W471">
        <v>8</v>
      </c>
      <c r="X471" s="8" t="s">
        <v>46</v>
      </c>
      <c r="Y471" s="15">
        <v>0.12</v>
      </c>
      <c r="Z471">
        <v>3</v>
      </c>
      <c r="AA471">
        <v>4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 t="str">
        <f t="shared" si="37"/>
        <v>0-3</v>
      </c>
      <c r="AI471">
        <v>1</v>
      </c>
      <c r="AJ471" t="str">
        <f t="shared" si="38"/>
        <v>0-2</v>
      </c>
      <c r="AK471">
        <v>2</v>
      </c>
    </row>
    <row r="472" spans="1:37" x14ac:dyDescent="0.25">
      <c r="A472" s="8">
        <v>471</v>
      </c>
      <c r="B472" t="s">
        <v>44</v>
      </c>
      <c r="C472" t="s">
        <v>45</v>
      </c>
      <c r="D472" s="8">
        <v>24</v>
      </c>
      <c r="E472" t="str">
        <f t="shared" si="39"/>
        <v>18-25</v>
      </c>
      <c r="F472" t="s">
        <v>46</v>
      </c>
      <c r="G472" t="s">
        <v>47</v>
      </c>
      <c r="H472" s="8" t="s">
        <v>40</v>
      </c>
      <c r="I472" s="10">
        <v>24</v>
      </c>
      <c r="J472" t="str">
        <f t="shared" si="35"/>
        <v>Far</v>
      </c>
      <c r="K472">
        <v>3</v>
      </c>
      <c r="L472" t="s">
        <v>53</v>
      </c>
      <c r="M472">
        <v>4</v>
      </c>
      <c r="N472">
        <v>3</v>
      </c>
      <c r="O472">
        <v>1</v>
      </c>
      <c r="P472" t="s">
        <v>60</v>
      </c>
      <c r="Q472">
        <v>4</v>
      </c>
      <c r="R472" s="11">
        <v>535</v>
      </c>
      <c r="S472" s="14">
        <v>38</v>
      </c>
      <c r="T472" s="13">
        <v>2400</v>
      </c>
      <c r="U472" s="13">
        <f t="shared" si="36"/>
        <v>28800</v>
      </c>
      <c r="V472" s="14">
        <v>5530</v>
      </c>
      <c r="W472">
        <v>0</v>
      </c>
      <c r="X472" s="8" t="s">
        <v>46</v>
      </c>
      <c r="Y472" s="15">
        <v>0.13</v>
      </c>
      <c r="Z472">
        <v>3</v>
      </c>
      <c r="AA472">
        <v>3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 t="str">
        <f t="shared" si="37"/>
        <v>0-3</v>
      </c>
      <c r="AI472">
        <v>2</v>
      </c>
      <c r="AJ472" t="str">
        <f t="shared" si="38"/>
        <v>0-2</v>
      </c>
      <c r="AK472">
        <v>1</v>
      </c>
    </row>
    <row r="473" spans="1:37" x14ac:dyDescent="0.25">
      <c r="A473" s="8">
        <v>472</v>
      </c>
      <c r="B473" t="s">
        <v>52</v>
      </c>
      <c r="C473" t="s">
        <v>45</v>
      </c>
      <c r="D473" s="8">
        <v>38</v>
      </c>
      <c r="E473" t="str">
        <f t="shared" si="39"/>
        <v>36-45</v>
      </c>
      <c r="F473" t="s">
        <v>46</v>
      </c>
      <c r="G473" t="s">
        <v>39</v>
      </c>
      <c r="H473" s="8" t="s">
        <v>48</v>
      </c>
      <c r="I473" s="10">
        <v>10</v>
      </c>
      <c r="J473" t="str">
        <f t="shared" si="35"/>
        <v>Moderate</v>
      </c>
      <c r="K473">
        <v>3</v>
      </c>
      <c r="L473" t="s">
        <v>53</v>
      </c>
      <c r="M473">
        <v>3</v>
      </c>
      <c r="N473">
        <v>3</v>
      </c>
      <c r="O473">
        <v>2</v>
      </c>
      <c r="P473" t="s">
        <v>56</v>
      </c>
      <c r="Q473">
        <v>3</v>
      </c>
      <c r="R473" s="11">
        <v>1495</v>
      </c>
      <c r="S473" s="14">
        <v>76</v>
      </c>
      <c r="T473" s="13">
        <v>9824</v>
      </c>
      <c r="U473" s="13">
        <f t="shared" si="36"/>
        <v>117888</v>
      </c>
      <c r="V473" s="14">
        <v>22174</v>
      </c>
      <c r="W473">
        <v>3</v>
      </c>
      <c r="X473" s="8" t="s">
        <v>46</v>
      </c>
      <c r="Y473" s="15">
        <v>0.19</v>
      </c>
      <c r="Z473">
        <v>3</v>
      </c>
      <c r="AA473">
        <v>3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 t="str">
        <f t="shared" si="37"/>
        <v>0-3</v>
      </c>
      <c r="AI473">
        <v>0</v>
      </c>
      <c r="AJ473" t="str">
        <f t="shared" si="38"/>
        <v>0-2</v>
      </c>
      <c r="AK473">
        <v>0</v>
      </c>
    </row>
    <row r="474" spans="1:37" x14ac:dyDescent="0.25">
      <c r="A474" s="8">
        <v>473</v>
      </c>
      <c r="B474" t="s">
        <v>52</v>
      </c>
      <c r="C474" t="s">
        <v>45</v>
      </c>
      <c r="D474" s="8">
        <v>37</v>
      </c>
      <c r="E474" t="str">
        <f t="shared" si="39"/>
        <v>36-45</v>
      </c>
      <c r="F474" t="s">
        <v>46</v>
      </c>
      <c r="G474" t="s">
        <v>39</v>
      </c>
      <c r="H474" s="8" t="s">
        <v>48</v>
      </c>
      <c r="I474" s="10">
        <v>1</v>
      </c>
      <c r="J474" t="str">
        <f t="shared" si="35"/>
        <v>Near</v>
      </c>
      <c r="K474">
        <v>4</v>
      </c>
      <c r="L474" t="s">
        <v>41</v>
      </c>
      <c r="M474">
        <v>2</v>
      </c>
      <c r="N474">
        <v>3</v>
      </c>
      <c r="O474">
        <v>2</v>
      </c>
      <c r="P474" t="s">
        <v>55</v>
      </c>
      <c r="Q474">
        <v>2</v>
      </c>
      <c r="R474" s="11">
        <v>446</v>
      </c>
      <c r="S474" s="14">
        <v>65</v>
      </c>
      <c r="T474" s="13">
        <v>6447</v>
      </c>
      <c r="U474" s="13">
        <f t="shared" si="36"/>
        <v>77364</v>
      </c>
      <c r="V474" s="14">
        <v>15701</v>
      </c>
      <c r="W474">
        <v>6</v>
      </c>
      <c r="X474" s="8" t="s">
        <v>46</v>
      </c>
      <c r="Y474" s="15">
        <v>0.12</v>
      </c>
      <c r="Z474">
        <v>3</v>
      </c>
      <c r="AA474">
        <v>2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 t="str">
        <f t="shared" si="37"/>
        <v>4-7</v>
      </c>
      <c r="AI474">
        <v>4</v>
      </c>
      <c r="AJ474" t="str">
        <f t="shared" si="38"/>
        <v>3-5</v>
      </c>
      <c r="AK474">
        <v>3</v>
      </c>
    </row>
    <row r="475" spans="1:37" x14ac:dyDescent="0.25">
      <c r="A475" s="8">
        <v>474</v>
      </c>
      <c r="B475" t="s">
        <v>44</v>
      </c>
      <c r="C475" t="s">
        <v>54</v>
      </c>
      <c r="D475" s="8">
        <v>49</v>
      </c>
      <c r="E475" t="str">
        <f t="shared" si="39"/>
        <v>46-55</v>
      </c>
      <c r="F475" t="s">
        <v>46</v>
      </c>
      <c r="G475" t="s">
        <v>39</v>
      </c>
      <c r="H475" s="8" t="s">
        <v>48</v>
      </c>
      <c r="I475" s="10">
        <v>18</v>
      </c>
      <c r="J475" t="str">
        <f t="shared" si="35"/>
        <v>Far</v>
      </c>
      <c r="K475">
        <v>4</v>
      </c>
      <c r="L475" t="s">
        <v>41</v>
      </c>
      <c r="M475">
        <v>4</v>
      </c>
      <c r="N475">
        <v>2</v>
      </c>
      <c r="O475">
        <v>5</v>
      </c>
      <c r="P475" t="s">
        <v>61</v>
      </c>
      <c r="Q475">
        <v>3</v>
      </c>
      <c r="R475" s="11">
        <v>1245</v>
      </c>
      <c r="S475" s="14">
        <v>58</v>
      </c>
      <c r="T475" s="13">
        <v>19502</v>
      </c>
      <c r="U475" s="13">
        <f t="shared" si="36"/>
        <v>234024</v>
      </c>
      <c r="V475" s="14">
        <v>2125</v>
      </c>
      <c r="W475">
        <v>1</v>
      </c>
      <c r="X475" s="8" t="s">
        <v>38</v>
      </c>
      <c r="Y475" s="15">
        <v>0.17</v>
      </c>
      <c r="Z475">
        <v>3</v>
      </c>
      <c r="AA475">
        <v>3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 t="str">
        <f t="shared" si="37"/>
        <v>8-11</v>
      </c>
      <c r="AI475">
        <v>0</v>
      </c>
      <c r="AJ475" t="str">
        <f t="shared" si="38"/>
        <v>0-2</v>
      </c>
      <c r="AK475">
        <v>9</v>
      </c>
    </row>
    <row r="476" spans="1:37" x14ac:dyDescent="0.25">
      <c r="A476" s="8">
        <v>475</v>
      </c>
      <c r="B476" t="s">
        <v>44</v>
      </c>
      <c r="C476" t="s">
        <v>45</v>
      </c>
      <c r="D476" s="8">
        <v>24</v>
      </c>
      <c r="E476" t="str">
        <f t="shared" si="39"/>
        <v>18-25</v>
      </c>
      <c r="F476" t="s">
        <v>46</v>
      </c>
      <c r="G476" t="s">
        <v>39</v>
      </c>
      <c r="H476" s="8" t="s">
        <v>48</v>
      </c>
      <c r="I476" s="10">
        <v>23</v>
      </c>
      <c r="J476" t="str">
        <f t="shared" si="35"/>
        <v>Far</v>
      </c>
      <c r="K476">
        <v>3</v>
      </c>
      <c r="L476" t="s">
        <v>53</v>
      </c>
      <c r="M476">
        <v>2</v>
      </c>
      <c r="N476">
        <v>4</v>
      </c>
      <c r="O476">
        <v>1</v>
      </c>
      <c r="P476" t="s">
        <v>49</v>
      </c>
      <c r="Q476">
        <v>4</v>
      </c>
      <c r="R476" s="11">
        <v>691</v>
      </c>
      <c r="S476" s="14">
        <v>89</v>
      </c>
      <c r="T476" s="13">
        <v>2725</v>
      </c>
      <c r="U476" s="13">
        <f t="shared" si="36"/>
        <v>32700</v>
      </c>
      <c r="V476" s="14">
        <v>21630</v>
      </c>
      <c r="W476">
        <v>1</v>
      </c>
      <c r="X476" s="8" t="s">
        <v>38</v>
      </c>
      <c r="Y476" s="15">
        <v>0.11</v>
      </c>
      <c r="Z476">
        <v>3</v>
      </c>
      <c r="AA476">
        <v>2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 t="str">
        <f t="shared" si="37"/>
        <v>4-7</v>
      </c>
      <c r="AI476">
        <v>1</v>
      </c>
      <c r="AJ476" t="str">
        <f t="shared" si="38"/>
        <v>0-2</v>
      </c>
      <c r="AK476">
        <v>4</v>
      </c>
    </row>
    <row r="477" spans="1:37" x14ac:dyDescent="0.25">
      <c r="A477" s="8">
        <v>476</v>
      </c>
      <c r="B477" t="s">
        <v>44</v>
      </c>
      <c r="C477" t="s">
        <v>45</v>
      </c>
      <c r="D477" s="8">
        <v>26</v>
      </c>
      <c r="E477" t="str">
        <f t="shared" si="39"/>
        <v>26-35</v>
      </c>
      <c r="F477" t="s">
        <v>46</v>
      </c>
      <c r="G477" t="s">
        <v>39</v>
      </c>
      <c r="H477" s="8" t="s">
        <v>40</v>
      </c>
      <c r="I477" s="10">
        <v>28</v>
      </c>
      <c r="J477" t="str">
        <f t="shared" si="35"/>
        <v>Far</v>
      </c>
      <c r="K477">
        <v>2</v>
      </c>
      <c r="L477" t="s">
        <v>62</v>
      </c>
      <c r="M477">
        <v>1</v>
      </c>
      <c r="N477">
        <v>3</v>
      </c>
      <c r="O477">
        <v>2</v>
      </c>
      <c r="P477" t="s">
        <v>42</v>
      </c>
      <c r="Q477">
        <v>2</v>
      </c>
      <c r="R477" s="11">
        <v>703</v>
      </c>
      <c r="S477" s="14">
        <v>66</v>
      </c>
      <c r="T477" s="13">
        <v>6272</v>
      </c>
      <c r="U477" s="13">
        <f t="shared" si="36"/>
        <v>75264</v>
      </c>
      <c r="V477" s="14">
        <v>7428</v>
      </c>
      <c r="W477">
        <v>1</v>
      </c>
      <c r="X477" s="8" t="s">
        <v>46</v>
      </c>
      <c r="Y477" s="15">
        <v>0.2</v>
      </c>
      <c r="Z477">
        <v>4</v>
      </c>
      <c r="AA477">
        <v>4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 t="str">
        <f t="shared" si="37"/>
        <v>0-3</v>
      </c>
      <c r="AI477">
        <v>1</v>
      </c>
      <c r="AJ477" t="str">
        <f t="shared" si="38"/>
        <v>0-2</v>
      </c>
      <c r="AK477">
        <v>4</v>
      </c>
    </row>
    <row r="478" spans="1:37" x14ac:dyDescent="0.25">
      <c r="A478" s="8">
        <v>477</v>
      </c>
      <c r="B478" t="s">
        <v>44</v>
      </c>
      <c r="C478" t="s">
        <v>45</v>
      </c>
      <c r="D478" s="8">
        <v>24</v>
      </c>
      <c r="E478" t="str">
        <f t="shared" si="39"/>
        <v>18-25</v>
      </c>
      <c r="F478" t="s">
        <v>46</v>
      </c>
      <c r="G478" t="s">
        <v>39</v>
      </c>
      <c r="H478" s="8" t="s">
        <v>48</v>
      </c>
      <c r="I478" s="10">
        <v>17</v>
      </c>
      <c r="J478" t="str">
        <f t="shared" si="35"/>
        <v>Far</v>
      </c>
      <c r="K478">
        <v>2</v>
      </c>
      <c r="L478" t="s">
        <v>50</v>
      </c>
      <c r="M478">
        <v>4</v>
      </c>
      <c r="N478">
        <v>2</v>
      </c>
      <c r="O478">
        <v>1</v>
      </c>
      <c r="P478" t="s">
        <v>51</v>
      </c>
      <c r="Q478">
        <v>2</v>
      </c>
      <c r="R478" s="11">
        <v>823</v>
      </c>
      <c r="S478" s="14">
        <v>94</v>
      </c>
      <c r="T478" s="13">
        <v>2127</v>
      </c>
      <c r="U478" s="13">
        <f t="shared" si="36"/>
        <v>25524</v>
      </c>
      <c r="V478" s="14">
        <v>9100</v>
      </c>
      <c r="W478">
        <v>1</v>
      </c>
      <c r="X478" s="8" t="s">
        <v>46</v>
      </c>
      <c r="Y478" s="15">
        <v>0.21</v>
      </c>
      <c r="Z478">
        <v>4</v>
      </c>
      <c r="AA478">
        <v>4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 t="str">
        <f t="shared" si="37"/>
        <v>0-3</v>
      </c>
      <c r="AI478">
        <v>0</v>
      </c>
      <c r="AJ478" t="str">
        <f t="shared" si="38"/>
        <v>0-2</v>
      </c>
      <c r="AK478">
        <v>0</v>
      </c>
    </row>
    <row r="479" spans="1:37" x14ac:dyDescent="0.25">
      <c r="A479" s="8">
        <v>478</v>
      </c>
      <c r="B479" t="s">
        <v>44</v>
      </c>
      <c r="C479" t="s">
        <v>45</v>
      </c>
      <c r="D479" s="8">
        <v>50</v>
      </c>
      <c r="E479" t="str">
        <f t="shared" si="39"/>
        <v>46-55</v>
      </c>
      <c r="F479" t="s">
        <v>46</v>
      </c>
      <c r="G479" t="s">
        <v>47</v>
      </c>
      <c r="H479" s="8" t="s">
        <v>64</v>
      </c>
      <c r="I479" s="10">
        <v>3</v>
      </c>
      <c r="J479" t="str">
        <f t="shared" si="35"/>
        <v>Near</v>
      </c>
      <c r="K479">
        <v>3</v>
      </c>
      <c r="L479" t="s">
        <v>53</v>
      </c>
      <c r="M479">
        <v>1</v>
      </c>
      <c r="N479">
        <v>3</v>
      </c>
      <c r="O479">
        <v>5</v>
      </c>
      <c r="P479" t="s">
        <v>59</v>
      </c>
      <c r="Q479">
        <v>2</v>
      </c>
      <c r="R479" s="11">
        <v>1246</v>
      </c>
      <c r="S479" s="14">
        <v>99</v>
      </c>
      <c r="T479" s="13">
        <v>18200</v>
      </c>
      <c r="U479" s="13">
        <f t="shared" si="36"/>
        <v>218400</v>
      </c>
      <c r="V479" s="14">
        <v>7999</v>
      </c>
      <c r="W479">
        <v>1</v>
      </c>
      <c r="X479" s="8" t="s">
        <v>46</v>
      </c>
      <c r="Y479" s="15">
        <v>0.11</v>
      </c>
      <c r="Z479">
        <v>3</v>
      </c>
      <c r="AA479">
        <v>3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 t="str">
        <f t="shared" si="37"/>
        <v>4-7</v>
      </c>
      <c r="AI479">
        <v>10</v>
      </c>
      <c r="AJ479" t="str">
        <f t="shared" si="38"/>
        <v>9-11</v>
      </c>
      <c r="AK479">
        <v>7</v>
      </c>
    </row>
    <row r="480" spans="1:37" x14ac:dyDescent="0.25">
      <c r="A480" s="8">
        <v>479</v>
      </c>
      <c r="B480" t="s">
        <v>44</v>
      </c>
      <c r="C480" t="s">
        <v>45</v>
      </c>
      <c r="D480" s="8">
        <v>25</v>
      </c>
      <c r="E480" t="str">
        <f t="shared" si="39"/>
        <v>26-35</v>
      </c>
      <c r="F480" t="s">
        <v>46</v>
      </c>
      <c r="G480" t="s">
        <v>39</v>
      </c>
      <c r="H480" s="8" t="s">
        <v>40</v>
      </c>
      <c r="I480" s="10">
        <v>13</v>
      </c>
      <c r="J480" t="str">
        <f t="shared" si="35"/>
        <v>Moderate</v>
      </c>
      <c r="K480">
        <v>1</v>
      </c>
      <c r="L480" t="s">
        <v>53</v>
      </c>
      <c r="M480">
        <v>2</v>
      </c>
      <c r="N480">
        <v>3</v>
      </c>
      <c r="O480">
        <v>1</v>
      </c>
      <c r="P480" t="s">
        <v>60</v>
      </c>
      <c r="Q480">
        <v>3</v>
      </c>
      <c r="R480" s="11">
        <v>622</v>
      </c>
      <c r="S480" s="14">
        <v>40</v>
      </c>
      <c r="T480" s="13">
        <v>2096</v>
      </c>
      <c r="U480" s="13">
        <f t="shared" si="36"/>
        <v>25152</v>
      </c>
      <c r="V480" s="14">
        <v>26376</v>
      </c>
      <c r="W480">
        <v>1</v>
      </c>
      <c r="X480" s="8" t="s">
        <v>46</v>
      </c>
      <c r="Y480" s="15">
        <v>0.11</v>
      </c>
      <c r="Z480">
        <v>3</v>
      </c>
      <c r="AA480">
        <v>3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 t="str">
        <f t="shared" si="37"/>
        <v>4-7</v>
      </c>
      <c r="AI480">
        <v>0</v>
      </c>
      <c r="AJ480" t="str">
        <f t="shared" si="38"/>
        <v>0-2</v>
      </c>
      <c r="AK480">
        <v>6</v>
      </c>
    </row>
    <row r="481" spans="1:37" x14ac:dyDescent="0.25">
      <c r="A481" s="8">
        <v>480</v>
      </c>
      <c r="B481" t="s">
        <v>52</v>
      </c>
      <c r="C481" t="s">
        <v>45</v>
      </c>
      <c r="D481" s="8">
        <v>24</v>
      </c>
      <c r="E481" t="str">
        <f t="shared" si="39"/>
        <v>18-25</v>
      </c>
      <c r="F481" t="s">
        <v>38</v>
      </c>
      <c r="G481" t="s">
        <v>47</v>
      </c>
      <c r="H481" s="8" t="s">
        <v>48</v>
      </c>
      <c r="I481" s="10">
        <v>7</v>
      </c>
      <c r="J481" t="str">
        <f t="shared" si="35"/>
        <v>Moderate</v>
      </c>
      <c r="K481">
        <v>3</v>
      </c>
      <c r="L481" t="s">
        <v>41</v>
      </c>
      <c r="M481">
        <v>1</v>
      </c>
      <c r="N481">
        <v>3</v>
      </c>
      <c r="O481">
        <v>1</v>
      </c>
      <c r="P481" t="s">
        <v>51</v>
      </c>
      <c r="Q481">
        <v>3</v>
      </c>
      <c r="R481" s="11">
        <v>1287</v>
      </c>
      <c r="S481" s="14">
        <v>55</v>
      </c>
      <c r="T481" s="13">
        <v>2886</v>
      </c>
      <c r="U481" s="13">
        <f t="shared" si="36"/>
        <v>34632</v>
      </c>
      <c r="V481" s="14">
        <v>14168</v>
      </c>
      <c r="W481">
        <v>1</v>
      </c>
      <c r="X481" s="8" t="s">
        <v>38</v>
      </c>
      <c r="Y481" s="15">
        <v>0.16</v>
      </c>
      <c r="Z481">
        <v>3</v>
      </c>
      <c r="AA481">
        <v>4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 t="str">
        <f t="shared" si="37"/>
        <v>0-3</v>
      </c>
      <c r="AI481">
        <v>1</v>
      </c>
      <c r="AJ481" t="str">
        <f t="shared" si="38"/>
        <v>0-2</v>
      </c>
      <c r="AK481">
        <v>2</v>
      </c>
    </row>
    <row r="482" spans="1:37" x14ac:dyDescent="0.25">
      <c r="A482" s="8">
        <v>481</v>
      </c>
      <c r="B482" t="s">
        <v>44</v>
      </c>
      <c r="C482" t="s">
        <v>45</v>
      </c>
      <c r="D482" s="8">
        <v>30</v>
      </c>
      <c r="E482" t="str">
        <f t="shared" si="39"/>
        <v>26-35</v>
      </c>
      <c r="F482" t="s">
        <v>38</v>
      </c>
      <c r="G482" t="s">
        <v>47</v>
      </c>
      <c r="H482" s="8" t="s">
        <v>40</v>
      </c>
      <c r="I482" s="10">
        <v>12</v>
      </c>
      <c r="J482" t="str">
        <f t="shared" si="35"/>
        <v>Moderate</v>
      </c>
      <c r="K482">
        <v>4</v>
      </c>
      <c r="L482" t="s">
        <v>41</v>
      </c>
      <c r="M482">
        <v>2</v>
      </c>
      <c r="N482">
        <v>2</v>
      </c>
      <c r="O482">
        <v>1</v>
      </c>
      <c r="P482" t="s">
        <v>60</v>
      </c>
      <c r="Q482">
        <v>1</v>
      </c>
      <c r="R482" s="11">
        <v>448</v>
      </c>
      <c r="S482" s="14">
        <v>74</v>
      </c>
      <c r="T482" s="13">
        <v>2033</v>
      </c>
      <c r="U482" s="13">
        <f t="shared" si="36"/>
        <v>24396</v>
      </c>
      <c r="V482" s="14">
        <v>14470</v>
      </c>
      <c r="W482">
        <v>1</v>
      </c>
      <c r="X482" s="8" t="s">
        <v>46</v>
      </c>
      <c r="Y482" s="15">
        <v>0.18</v>
      </c>
      <c r="Z482">
        <v>3</v>
      </c>
      <c r="AA482">
        <v>3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 t="str">
        <f t="shared" si="37"/>
        <v>0-3</v>
      </c>
      <c r="AI482">
        <v>0</v>
      </c>
      <c r="AJ482" t="str">
        <f t="shared" si="38"/>
        <v>0-2</v>
      </c>
      <c r="AK482">
        <v>0</v>
      </c>
    </row>
    <row r="483" spans="1:37" x14ac:dyDescent="0.25">
      <c r="A483" s="8">
        <v>482</v>
      </c>
      <c r="B483" t="s">
        <v>44</v>
      </c>
      <c r="C483" t="s">
        <v>45</v>
      </c>
      <c r="D483" s="8">
        <v>34</v>
      </c>
      <c r="E483" t="str">
        <f t="shared" si="39"/>
        <v>26-35</v>
      </c>
      <c r="F483" t="s">
        <v>46</v>
      </c>
      <c r="G483" t="s">
        <v>39</v>
      </c>
      <c r="H483" s="8" t="s">
        <v>48</v>
      </c>
      <c r="I483" s="10">
        <v>1</v>
      </c>
      <c r="J483" t="str">
        <f t="shared" si="35"/>
        <v>Near</v>
      </c>
      <c r="K483">
        <v>2</v>
      </c>
      <c r="L483" t="s">
        <v>41</v>
      </c>
      <c r="M483">
        <v>2</v>
      </c>
      <c r="N483">
        <v>2</v>
      </c>
      <c r="O483">
        <v>1</v>
      </c>
      <c r="P483" t="s">
        <v>49</v>
      </c>
      <c r="Q483">
        <v>4</v>
      </c>
      <c r="R483" s="11">
        <v>254</v>
      </c>
      <c r="S483" s="14">
        <v>83</v>
      </c>
      <c r="T483" s="13">
        <v>3622</v>
      </c>
      <c r="U483" s="13">
        <f t="shared" si="36"/>
        <v>43464</v>
      </c>
      <c r="V483" s="14">
        <v>22794</v>
      </c>
      <c r="W483">
        <v>1</v>
      </c>
      <c r="X483" s="8" t="s">
        <v>38</v>
      </c>
      <c r="Y483" s="15">
        <v>0.13</v>
      </c>
      <c r="Z483">
        <v>3</v>
      </c>
      <c r="AA483">
        <v>4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 t="str">
        <f t="shared" si="37"/>
        <v>4-7</v>
      </c>
      <c r="AI483">
        <v>1</v>
      </c>
      <c r="AJ483" t="str">
        <f t="shared" si="38"/>
        <v>0-2</v>
      </c>
      <c r="AK483">
        <v>3</v>
      </c>
    </row>
    <row r="484" spans="1:37" x14ac:dyDescent="0.25">
      <c r="A484" s="8">
        <v>483</v>
      </c>
      <c r="B484" t="s">
        <v>44</v>
      </c>
      <c r="C484" t="s">
        <v>54</v>
      </c>
      <c r="D484" s="8">
        <v>31</v>
      </c>
      <c r="E484" t="str">
        <f t="shared" si="39"/>
        <v>26-35</v>
      </c>
      <c r="F484" t="s">
        <v>38</v>
      </c>
      <c r="G484" t="s">
        <v>39</v>
      </c>
      <c r="H484" s="8" t="s">
        <v>40</v>
      </c>
      <c r="I484" s="10">
        <v>13</v>
      </c>
      <c r="J484" t="str">
        <f t="shared" si="35"/>
        <v>Moderate</v>
      </c>
      <c r="K484">
        <v>4</v>
      </c>
      <c r="L484" t="s">
        <v>53</v>
      </c>
      <c r="M484">
        <v>2</v>
      </c>
      <c r="N484">
        <v>3</v>
      </c>
      <c r="O484">
        <v>2</v>
      </c>
      <c r="P484" t="s">
        <v>42</v>
      </c>
      <c r="Q484">
        <v>1</v>
      </c>
      <c r="R484" s="11">
        <v>1365</v>
      </c>
      <c r="S484" s="14">
        <v>46</v>
      </c>
      <c r="T484" s="13">
        <v>4233</v>
      </c>
      <c r="U484" s="13">
        <f t="shared" si="36"/>
        <v>50796</v>
      </c>
      <c r="V484" s="14">
        <v>11512</v>
      </c>
      <c r="W484">
        <v>2</v>
      </c>
      <c r="X484" s="8" t="s">
        <v>46</v>
      </c>
      <c r="Y484" s="15">
        <v>0.17</v>
      </c>
      <c r="Z484">
        <v>3</v>
      </c>
      <c r="AA484">
        <v>3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 t="str">
        <f t="shared" si="37"/>
        <v>0-3</v>
      </c>
      <c r="AI484">
        <v>1</v>
      </c>
      <c r="AJ484" t="str">
        <f t="shared" si="38"/>
        <v>0-2</v>
      </c>
      <c r="AK484">
        <v>2</v>
      </c>
    </row>
    <row r="485" spans="1:37" x14ac:dyDescent="0.25">
      <c r="A485" s="8">
        <v>484</v>
      </c>
      <c r="B485" t="s">
        <v>44</v>
      </c>
      <c r="C485" t="s">
        <v>37</v>
      </c>
      <c r="D485" s="8">
        <v>35</v>
      </c>
      <c r="E485" t="str">
        <f t="shared" si="39"/>
        <v>26-35</v>
      </c>
      <c r="F485" t="s">
        <v>46</v>
      </c>
      <c r="G485" t="s">
        <v>39</v>
      </c>
      <c r="H485" s="8" t="s">
        <v>48</v>
      </c>
      <c r="I485" s="10">
        <v>25</v>
      </c>
      <c r="J485" t="str">
        <f t="shared" si="35"/>
        <v>Far</v>
      </c>
      <c r="K485">
        <v>2</v>
      </c>
      <c r="L485" t="s">
        <v>50</v>
      </c>
      <c r="M485">
        <v>1</v>
      </c>
      <c r="N485">
        <v>2</v>
      </c>
      <c r="O485">
        <v>2</v>
      </c>
      <c r="P485" t="s">
        <v>51</v>
      </c>
      <c r="Q485">
        <v>4</v>
      </c>
      <c r="R485" s="11">
        <v>538</v>
      </c>
      <c r="S485" s="14">
        <v>54</v>
      </c>
      <c r="T485" s="13">
        <v>3681</v>
      </c>
      <c r="U485" s="13">
        <f t="shared" si="36"/>
        <v>44172</v>
      </c>
      <c r="V485" s="14">
        <v>14004</v>
      </c>
      <c r="W485">
        <v>4</v>
      </c>
      <c r="X485" s="8" t="s">
        <v>46</v>
      </c>
      <c r="Y485" s="15">
        <v>0.14000000000000001</v>
      </c>
      <c r="Z485">
        <v>3</v>
      </c>
      <c r="AA485">
        <v>4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 t="str">
        <f t="shared" si="37"/>
        <v>0-3</v>
      </c>
      <c r="AI485">
        <v>0</v>
      </c>
      <c r="AJ485" t="str">
        <f t="shared" si="38"/>
        <v>0-2</v>
      </c>
      <c r="AK485">
        <v>2</v>
      </c>
    </row>
    <row r="486" spans="1:37" x14ac:dyDescent="0.25">
      <c r="A486" s="8">
        <v>485</v>
      </c>
      <c r="B486" t="s">
        <v>44</v>
      </c>
      <c r="C486" t="s">
        <v>54</v>
      </c>
      <c r="D486" s="8">
        <v>31</v>
      </c>
      <c r="E486" t="str">
        <f t="shared" si="39"/>
        <v>26-35</v>
      </c>
      <c r="F486" t="s">
        <v>46</v>
      </c>
      <c r="G486" t="s">
        <v>39</v>
      </c>
      <c r="H486" s="8" t="s">
        <v>40</v>
      </c>
      <c r="I486" s="10">
        <v>6</v>
      </c>
      <c r="J486" t="str">
        <f t="shared" si="35"/>
        <v>Moderate</v>
      </c>
      <c r="K486">
        <v>4</v>
      </c>
      <c r="L486" t="s">
        <v>53</v>
      </c>
      <c r="M486">
        <v>1</v>
      </c>
      <c r="N486">
        <v>4</v>
      </c>
      <c r="O486">
        <v>2</v>
      </c>
      <c r="P486" t="s">
        <v>42</v>
      </c>
      <c r="Q486">
        <v>4</v>
      </c>
      <c r="R486" s="11">
        <v>525</v>
      </c>
      <c r="S486" s="14">
        <v>66</v>
      </c>
      <c r="T486" s="13">
        <v>5460</v>
      </c>
      <c r="U486" s="13">
        <f t="shared" si="36"/>
        <v>65520</v>
      </c>
      <c r="V486" s="14">
        <v>6219</v>
      </c>
      <c r="W486">
        <v>4</v>
      </c>
      <c r="X486" s="8" t="s">
        <v>46</v>
      </c>
      <c r="Y486" s="15">
        <v>0.22</v>
      </c>
      <c r="Z486">
        <v>4</v>
      </c>
      <c r="AA486">
        <v>4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 t="str">
        <f t="shared" si="37"/>
        <v>4-7</v>
      </c>
      <c r="AI486">
        <v>5</v>
      </c>
      <c r="AJ486" t="str">
        <f t="shared" si="38"/>
        <v>3-5</v>
      </c>
      <c r="AK486">
        <v>7</v>
      </c>
    </row>
    <row r="487" spans="1:37" x14ac:dyDescent="0.25">
      <c r="A487" s="8">
        <v>486</v>
      </c>
      <c r="B487" t="s">
        <v>52</v>
      </c>
      <c r="C487" t="s">
        <v>54</v>
      </c>
      <c r="D487" s="8">
        <v>27</v>
      </c>
      <c r="E487" t="str">
        <f t="shared" si="39"/>
        <v>26-35</v>
      </c>
      <c r="F487" t="s">
        <v>46</v>
      </c>
      <c r="G487" t="s">
        <v>39</v>
      </c>
      <c r="H487" s="8" t="s">
        <v>48</v>
      </c>
      <c r="I487" s="10">
        <v>6</v>
      </c>
      <c r="J487" t="str">
        <f t="shared" si="35"/>
        <v>Moderate</v>
      </c>
      <c r="K487">
        <v>4</v>
      </c>
      <c r="L487" t="s">
        <v>53</v>
      </c>
      <c r="M487">
        <v>1</v>
      </c>
      <c r="N487">
        <v>2</v>
      </c>
      <c r="O487">
        <v>1</v>
      </c>
      <c r="P487" t="s">
        <v>49</v>
      </c>
      <c r="Q487">
        <v>3</v>
      </c>
      <c r="R487" s="11">
        <v>798</v>
      </c>
      <c r="S487" s="14">
        <v>66</v>
      </c>
      <c r="T487" s="13">
        <v>2187</v>
      </c>
      <c r="U487" s="13">
        <f t="shared" si="36"/>
        <v>26244</v>
      </c>
      <c r="V487" s="14">
        <v>5013</v>
      </c>
      <c r="W487">
        <v>0</v>
      </c>
      <c r="X487" s="8" t="s">
        <v>46</v>
      </c>
      <c r="Y487" s="15">
        <v>0.12</v>
      </c>
      <c r="Z487">
        <v>3</v>
      </c>
      <c r="AA487">
        <v>3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 t="str">
        <f t="shared" si="37"/>
        <v>0-3</v>
      </c>
      <c r="AI487">
        <v>0</v>
      </c>
      <c r="AJ487" t="str">
        <f t="shared" si="38"/>
        <v>0-2</v>
      </c>
      <c r="AK487">
        <v>3</v>
      </c>
    </row>
    <row r="488" spans="1:37" x14ac:dyDescent="0.25">
      <c r="A488" s="8">
        <v>487</v>
      </c>
      <c r="B488" t="s">
        <v>44</v>
      </c>
      <c r="C488" t="s">
        <v>45</v>
      </c>
      <c r="D488" s="8">
        <v>37</v>
      </c>
      <c r="E488" t="str">
        <f t="shared" si="39"/>
        <v>36-45</v>
      </c>
      <c r="F488" t="s">
        <v>46</v>
      </c>
      <c r="G488" t="s">
        <v>39</v>
      </c>
      <c r="H488" s="8" t="s">
        <v>40</v>
      </c>
      <c r="I488" s="10">
        <v>2</v>
      </c>
      <c r="J488" t="str">
        <f t="shared" si="35"/>
        <v>Near</v>
      </c>
      <c r="K488">
        <v>3</v>
      </c>
      <c r="L488" t="s">
        <v>62</v>
      </c>
      <c r="M488">
        <v>4</v>
      </c>
      <c r="N488">
        <v>3</v>
      </c>
      <c r="O488">
        <v>2</v>
      </c>
      <c r="P488" t="s">
        <v>42</v>
      </c>
      <c r="Q488">
        <v>3</v>
      </c>
      <c r="R488" s="11">
        <v>558</v>
      </c>
      <c r="S488" s="14">
        <v>75</v>
      </c>
      <c r="T488" s="13">
        <v>9602</v>
      </c>
      <c r="U488" s="13">
        <f t="shared" si="36"/>
        <v>115224</v>
      </c>
      <c r="V488" s="14">
        <v>3010</v>
      </c>
      <c r="W488">
        <v>4</v>
      </c>
      <c r="X488" s="8" t="s">
        <v>38</v>
      </c>
      <c r="Y488" s="15">
        <v>0.11</v>
      </c>
      <c r="Z488">
        <v>3</v>
      </c>
      <c r="AA488">
        <v>3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 t="str">
        <f t="shared" si="37"/>
        <v>0-3</v>
      </c>
      <c r="AI488">
        <v>1</v>
      </c>
      <c r="AJ488" t="str">
        <f t="shared" si="38"/>
        <v>0-2</v>
      </c>
      <c r="AK488">
        <v>0</v>
      </c>
    </row>
    <row r="489" spans="1:37" x14ac:dyDescent="0.25">
      <c r="A489" s="8">
        <v>488</v>
      </c>
      <c r="B489" t="s">
        <v>52</v>
      </c>
      <c r="C489" t="s">
        <v>37</v>
      </c>
      <c r="D489" s="8">
        <v>20</v>
      </c>
      <c r="E489" t="str">
        <f t="shared" si="39"/>
        <v>18-25</v>
      </c>
      <c r="F489" t="s">
        <v>46</v>
      </c>
      <c r="G489" t="s">
        <v>39</v>
      </c>
      <c r="H489" s="8" t="s">
        <v>48</v>
      </c>
      <c r="I489" s="10">
        <v>1</v>
      </c>
      <c r="J489" t="str">
        <f t="shared" si="35"/>
        <v>Near</v>
      </c>
      <c r="K489">
        <v>3</v>
      </c>
      <c r="L489" t="s">
        <v>41</v>
      </c>
      <c r="M489">
        <v>4</v>
      </c>
      <c r="N489">
        <v>2</v>
      </c>
      <c r="O489">
        <v>1</v>
      </c>
      <c r="P489" t="s">
        <v>49</v>
      </c>
      <c r="Q489">
        <v>2</v>
      </c>
      <c r="R489" s="11">
        <v>959</v>
      </c>
      <c r="S489" s="14">
        <v>83</v>
      </c>
      <c r="T489" s="13">
        <v>2836</v>
      </c>
      <c r="U489" s="13">
        <f t="shared" si="36"/>
        <v>34032</v>
      </c>
      <c r="V489" s="14">
        <v>11757</v>
      </c>
      <c r="W489">
        <v>1</v>
      </c>
      <c r="X489" s="8" t="s">
        <v>46</v>
      </c>
      <c r="Y489" s="15">
        <v>0.13</v>
      </c>
      <c r="Z489">
        <v>3</v>
      </c>
      <c r="AA489">
        <v>4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 t="str">
        <f t="shared" si="37"/>
        <v>0-3</v>
      </c>
      <c r="AI489">
        <v>0</v>
      </c>
      <c r="AJ489" t="str">
        <f t="shared" si="38"/>
        <v>0-2</v>
      </c>
      <c r="AK489">
        <v>0</v>
      </c>
    </row>
    <row r="490" spans="1:37" x14ac:dyDescent="0.25">
      <c r="A490" s="8">
        <v>489</v>
      </c>
      <c r="B490" t="s">
        <v>52</v>
      </c>
      <c r="C490" t="s">
        <v>45</v>
      </c>
      <c r="D490" s="8">
        <v>42</v>
      </c>
      <c r="E490" t="str">
        <f t="shared" si="39"/>
        <v>36-45</v>
      </c>
      <c r="F490" t="s">
        <v>46</v>
      </c>
      <c r="G490" t="s">
        <v>39</v>
      </c>
      <c r="H490" s="8" t="s">
        <v>48</v>
      </c>
      <c r="I490" s="10">
        <v>2</v>
      </c>
      <c r="J490" t="str">
        <f t="shared" si="35"/>
        <v>Near</v>
      </c>
      <c r="K490">
        <v>4</v>
      </c>
      <c r="L490" t="s">
        <v>41</v>
      </c>
      <c r="M490">
        <v>3</v>
      </c>
      <c r="N490">
        <v>3</v>
      </c>
      <c r="O490">
        <v>2</v>
      </c>
      <c r="P490" t="s">
        <v>56</v>
      </c>
      <c r="Q490">
        <v>4</v>
      </c>
      <c r="R490" s="11">
        <v>622</v>
      </c>
      <c r="S490" s="14">
        <v>81</v>
      </c>
      <c r="T490" s="13">
        <v>4089</v>
      </c>
      <c r="U490" s="13">
        <f t="shared" si="36"/>
        <v>49068</v>
      </c>
      <c r="V490" s="14">
        <v>5718</v>
      </c>
      <c r="W490">
        <v>1</v>
      </c>
      <c r="X490" s="8" t="s">
        <v>46</v>
      </c>
      <c r="Y490" s="15">
        <v>0.13</v>
      </c>
      <c r="Z490">
        <v>3</v>
      </c>
      <c r="AA490">
        <v>2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 t="str">
        <f t="shared" si="37"/>
        <v>0-3</v>
      </c>
      <c r="AI490">
        <v>2</v>
      </c>
      <c r="AJ490" t="str">
        <f t="shared" si="38"/>
        <v>0-2</v>
      </c>
      <c r="AK490">
        <v>2</v>
      </c>
    </row>
    <row r="491" spans="1:37" x14ac:dyDescent="0.25">
      <c r="A491" s="8">
        <v>490</v>
      </c>
      <c r="B491" t="s">
        <v>44</v>
      </c>
      <c r="C491" t="s">
        <v>54</v>
      </c>
      <c r="D491" s="8">
        <v>43</v>
      </c>
      <c r="E491" t="str">
        <f t="shared" si="39"/>
        <v>36-45</v>
      </c>
      <c r="F491" t="s">
        <v>46</v>
      </c>
      <c r="G491" t="s">
        <v>39</v>
      </c>
      <c r="H491" s="8" t="s">
        <v>48</v>
      </c>
      <c r="I491" s="10">
        <v>6</v>
      </c>
      <c r="J491" t="str">
        <f t="shared" si="35"/>
        <v>Moderate</v>
      </c>
      <c r="K491">
        <v>4</v>
      </c>
      <c r="L491" t="s">
        <v>50</v>
      </c>
      <c r="M491">
        <v>2</v>
      </c>
      <c r="N491">
        <v>2</v>
      </c>
      <c r="O491">
        <v>4</v>
      </c>
      <c r="P491" t="s">
        <v>61</v>
      </c>
      <c r="Q491">
        <v>4</v>
      </c>
      <c r="R491" s="11">
        <v>782</v>
      </c>
      <c r="S491" s="14">
        <v>50</v>
      </c>
      <c r="T491" s="13">
        <v>16627</v>
      </c>
      <c r="U491" s="13">
        <f t="shared" si="36"/>
        <v>199524</v>
      </c>
      <c r="V491" s="14">
        <v>2671</v>
      </c>
      <c r="W491">
        <v>4</v>
      </c>
      <c r="X491" s="8" t="s">
        <v>38</v>
      </c>
      <c r="Y491" s="15">
        <v>0.14000000000000001</v>
      </c>
      <c r="Z491">
        <v>3</v>
      </c>
      <c r="AA491">
        <v>3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 t="str">
        <f t="shared" si="37"/>
        <v>0-3</v>
      </c>
      <c r="AI491">
        <v>0</v>
      </c>
      <c r="AJ491" t="str">
        <f t="shared" si="38"/>
        <v>0-2</v>
      </c>
      <c r="AK491">
        <v>0</v>
      </c>
    </row>
    <row r="492" spans="1:37" x14ac:dyDescent="0.25">
      <c r="A492" s="8">
        <v>491</v>
      </c>
      <c r="B492" t="s">
        <v>52</v>
      </c>
      <c r="C492" t="s">
        <v>37</v>
      </c>
      <c r="D492" s="8">
        <v>38</v>
      </c>
      <c r="E492" t="str">
        <f t="shared" si="39"/>
        <v>36-45</v>
      </c>
      <c r="F492" t="s">
        <v>46</v>
      </c>
      <c r="G492" t="s">
        <v>39</v>
      </c>
      <c r="H492" s="8" t="s">
        <v>48</v>
      </c>
      <c r="I492" s="10">
        <v>1</v>
      </c>
      <c r="J492" t="str">
        <f t="shared" si="35"/>
        <v>Near</v>
      </c>
      <c r="K492">
        <v>1</v>
      </c>
      <c r="L492" t="s">
        <v>41</v>
      </c>
      <c r="M492">
        <v>3</v>
      </c>
      <c r="N492">
        <v>3</v>
      </c>
      <c r="O492">
        <v>1</v>
      </c>
      <c r="P492" t="s">
        <v>49</v>
      </c>
      <c r="Q492">
        <v>1</v>
      </c>
      <c r="R492" s="11">
        <v>362</v>
      </c>
      <c r="S492" s="14">
        <v>43</v>
      </c>
      <c r="T492" s="13">
        <v>2619</v>
      </c>
      <c r="U492" s="13">
        <f t="shared" si="36"/>
        <v>31428</v>
      </c>
      <c r="V492" s="14">
        <v>14561</v>
      </c>
      <c r="W492">
        <v>3</v>
      </c>
      <c r="X492" s="8" t="s">
        <v>46</v>
      </c>
      <c r="Y492" s="15">
        <v>0.17</v>
      </c>
      <c r="Z492">
        <v>3</v>
      </c>
      <c r="AA492">
        <v>4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 t="str">
        <f t="shared" si="37"/>
        <v>0-3</v>
      </c>
      <c r="AI492">
        <v>0</v>
      </c>
      <c r="AJ492" t="str">
        <f t="shared" si="38"/>
        <v>0-2</v>
      </c>
      <c r="AK492">
        <v>0</v>
      </c>
    </row>
    <row r="493" spans="1:37" x14ac:dyDescent="0.25">
      <c r="A493" s="8">
        <v>492</v>
      </c>
      <c r="B493" t="s">
        <v>44</v>
      </c>
      <c r="C493" t="s">
        <v>54</v>
      </c>
      <c r="D493" s="8">
        <v>43</v>
      </c>
      <c r="E493" t="str">
        <f t="shared" si="39"/>
        <v>36-45</v>
      </c>
      <c r="F493" t="s">
        <v>46</v>
      </c>
      <c r="G493" t="s">
        <v>47</v>
      </c>
      <c r="H493" s="8" t="s">
        <v>48</v>
      </c>
      <c r="I493" s="10">
        <v>9</v>
      </c>
      <c r="J493" t="str">
        <f t="shared" si="35"/>
        <v>Moderate</v>
      </c>
      <c r="K493">
        <v>5</v>
      </c>
      <c r="L493" t="s">
        <v>53</v>
      </c>
      <c r="M493">
        <v>4</v>
      </c>
      <c r="N493">
        <v>3</v>
      </c>
      <c r="O493">
        <v>2</v>
      </c>
      <c r="P493" t="s">
        <v>51</v>
      </c>
      <c r="Q493">
        <v>3</v>
      </c>
      <c r="R493" s="11">
        <v>1001</v>
      </c>
      <c r="S493" s="14">
        <v>72</v>
      </c>
      <c r="T493" s="13">
        <v>5679</v>
      </c>
      <c r="U493" s="13">
        <f t="shared" si="36"/>
        <v>68148</v>
      </c>
      <c r="V493" s="14">
        <v>19627</v>
      </c>
      <c r="W493">
        <v>3</v>
      </c>
      <c r="X493" s="8" t="s">
        <v>38</v>
      </c>
      <c r="Y493" s="15">
        <v>0.13</v>
      </c>
      <c r="Z493">
        <v>3</v>
      </c>
      <c r="AA493">
        <v>2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 t="str">
        <f t="shared" si="37"/>
        <v>4-7</v>
      </c>
      <c r="AI493">
        <v>4</v>
      </c>
      <c r="AJ493" t="str">
        <f t="shared" si="38"/>
        <v>3-5</v>
      </c>
      <c r="AK493">
        <v>7</v>
      </c>
    </row>
    <row r="494" spans="1:37" x14ac:dyDescent="0.25">
      <c r="A494" s="8">
        <v>493</v>
      </c>
      <c r="B494" t="s">
        <v>52</v>
      </c>
      <c r="C494" t="s">
        <v>45</v>
      </c>
      <c r="D494" s="8">
        <v>48</v>
      </c>
      <c r="E494" t="str">
        <f t="shared" si="39"/>
        <v>46-55</v>
      </c>
      <c r="F494" t="s">
        <v>46</v>
      </c>
      <c r="G494" t="s">
        <v>39</v>
      </c>
      <c r="H494" s="8" t="s">
        <v>48</v>
      </c>
      <c r="I494" s="10">
        <v>1</v>
      </c>
      <c r="J494" t="str">
        <f t="shared" si="35"/>
        <v>Near</v>
      </c>
      <c r="K494">
        <v>4</v>
      </c>
      <c r="L494" t="s">
        <v>41</v>
      </c>
      <c r="M494">
        <v>4</v>
      </c>
      <c r="N494">
        <v>2</v>
      </c>
      <c r="O494">
        <v>4</v>
      </c>
      <c r="P494" t="s">
        <v>59</v>
      </c>
      <c r="Q494">
        <v>1</v>
      </c>
      <c r="R494" s="11">
        <v>1236</v>
      </c>
      <c r="S494" s="14">
        <v>40</v>
      </c>
      <c r="T494" s="13">
        <v>15402</v>
      </c>
      <c r="U494" s="13">
        <f t="shared" si="36"/>
        <v>184824</v>
      </c>
      <c r="V494" s="14">
        <v>17997</v>
      </c>
      <c r="W494">
        <v>7</v>
      </c>
      <c r="X494" s="8" t="s">
        <v>46</v>
      </c>
      <c r="Y494" s="15">
        <v>0.11</v>
      </c>
      <c r="Z494">
        <v>3</v>
      </c>
      <c r="AA494">
        <v>1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 t="str">
        <f t="shared" si="37"/>
        <v>0-3</v>
      </c>
      <c r="AI494">
        <v>0</v>
      </c>
      <c r="AJ494" t="str">
        <f t="shared" si="38"/>
        <v>0-2</v>
      </c>
      <c r="AK494">
        <v>2</v>
      </c>
    </row>
    <row r="495" spans="1:37" x14ac:dyDescent="0.25">
      <c r="A495" s="8">
        <v>494</v>
      </c>
      <c r="B495" t="s">
        <v>52</v>
      </c>
      <c r="C495" t="s">
        <v>37</v>
      </c>
      <c r="D495" s="8">
        <v>44</v>
      </c>
      <c r="E495" t="str">
        <f t="shared" si="39"/>
        <v>36-45</v>
      </c>
      <c r="F495" t="s">
        <v>46</v>
      </c>
      <c r="G495" t="s">
        <v>39</v>
      </c>
      <c r="H495" s="8" t="s">
        <v>64</v>
      </c>
      <c r="I495" s="10">
        <v>1</v>
      </c>
      <c r="J495" t="str">
        <f t="shared" si="35"/>
        <v>Near</v>
      </c>
      <c r="K495">
        <v>4</v>
      </c>
      <c r="L495" t="s">
        <v>41</v>
      </c>
      <c r="M495">
        <v>1</v>
      </c>
      <c r="N495">
        <v>2</v>
      </c>
      <c r="O495">
        <v>2</v>
      </c>
      <c r="P495" t="s">
        <v>64</v>
      </c>
      <c r="Q495">
        <v>3</v>
      </c>
      <c r="R495" s="11">
        <v>1112</v>
      </c>
      <c r="S495" s="14">
        <v>50</v>
      </c>
      <c r="T495" s="13">
        <v>5985</v>
      </c>
      <c r="U495" s="13">
        <f t="shared" si="36"/>
        <v>71820</v>
      </c>
      <c r="V495" s="14">
        <v>26894</v>
      </c>
      <c r="W495">
        <v>4</v>
      </c>
      <c r="X495" s="8" t="s">
        <v>46</v>
      </c>
      <c r="Y495" s="15">
        <v>0.11</v>
      </c>
      <c r="Z495">
        <v>3</v>
      </c>
      <c r="AA495">
        <v>2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 t="str">
        <f t="shared" si="37"/>
        <v>0-3</v>
      </c>
      <c r="AI495">
        <v>0</v>
      </c>
      <c r="AJ495" t="str">
        <f t="shared" si="38"/>
        <v>0-2</v>
      </c>
      <c r="AK495">
        <v>2</v>
      </c>
    </row>
    <row r="496" spans="1:37" x14ac:dyDescent="0.25">
      <c r="A496" s="8">
        <v>495</v>
      </c>
      <c r="B496" t="s">
        <v>52</v>
      </c>
      <c r="C496" t="s">
        <v>54</v>
      </c>
      <c r="D496" s="8">
        <v>34</v>
      </c>
      <c r="E496" t="str">
        <f t="shared" si="39"/>
        <v>26-35</v>
      </c>
      <c r="F496" t="s">
        <v>46</v>
      </c>
      <c r="G496" t="s">
        <v>39</v>
      </c>
      <c r="H496" s="8" t="s">
        <v>40</v>
      </c>
      <c r="I496" s="10">
        <v>14</v>
      </c>
      <c r="J496" t="str">
        <f t="shared" si="35"/>
        <v>Moderate</v>
      </c>
      <c r="K496">
        <v>3</v>
      </c>
      <c r="L496" t="s">
        <v>63</v>
      </c>
      <c r="M496">
        <v>3</v>
      </c>
      <c r="N496">
        <v>3</v>
      </c>
      <c r="O496">
        <v>1</v>
      </c>
      <c r="P496" t="s">
        <v>60</v>
      </c>
      <c r="Q496">
        <v>3</v>
      </c>
      <c r="R496" s="11">
        <v>204</v>
      </c>
      <c r="S496" s="14">
        <v>31</v>
      </c>
      <c r="T496" s="13">
        <v>2579</v>
      </c>
      <c r="U496" s="13">
        <f t="shared" si="36"/>
        <v>30948</v>
      </c>
      <c r="V496" s="14">
        <v>2912</v>
      </c>
      <c r="W496">
        <v>1</v>
      </c>
      <c r="X496" s="8" t="s">
        <v>38</v>
      </c>
      <c r="Y496" s="15">
        <v>0.18</v>
      </c>
      <c r="Z496">
        <v>3</v>
      </c>
      <c r="AA496">
        <v>4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 t="str">
        <f t="shared" si="37"/>
        <v>0-3</v>
      </c>
      <c r="AI496">
        <v>0</v>
      </c>
      <c r="AJ496" t="str">
        <f t="shared" si="38"/>
        <v>0-2</v>
      </c>
      <c r="AK496">
        <v>6</v>
      </c>
    </row>
    <row r="497" spans="1:37" x14ac:dyDescent="0.25">
      <c r="A497" s="8">
        <v>496</v>
      </c>
      <c r="B497" t="s">
        <v>44</v>
      </c>
      <c r="C497" t="s">
        <v>54</v>
      </c>
      <c r="D497" s="8">
        <v>27</v>
      </c>
      <c r="E497" t="str">
        <f t="shared" si="39"/>
        <v>26-35</v>
      </c>
      <c r="F497" t="s">
        <v>38</v>
      </c>
      <c r="G497" t="s">
        <v>39</v>
      </c>
      <c r="H497" s="8" t="s">
        <v>40</v>
      </c>
      <c r="I497" s="10">
        <v>2</v>
      </c>
      <c r="J497" t="str">
        <f t="shared" si="35"/>
        <v>Near</v>
      </c>
      <c r="K497">
        <v>1</v>
      </c>
      <c r="L497" t="s">
        <v>62</v>
      </c>
      <c r="M497">
        <v>3</v>
      </c>
      <c r="N497">
        <v>3</v>
      </c>
      <c r="O497">
        <v>1</v>
      </c>
      <c r="P497" t="s">
        <v>60</v>
      </c>
      <c r="Q497">
        <v>1</v>
      </c>
      <c r="R497" s="11">
        <v>1420</v>
      </c>
      <c r="S497" s="14">
        <v>85</v>
      </c>
      <c r="T497" s="13">
        <v>3041</v>
      </c>
      <c r="U497" s="13">
        <f t="shared" si="36"/>
        <v>36492</v>
      </c>
      <c r="V497" s="14">
        <v>16346</v>
      </c>
      <c r="W497">
        <v>0</v>
      </c>
      <c r="X497" s="8" t="s">
        <v>46</v>
      </c>
      <c r="Y497" s="15">
        <v>0.11</v>
      </c>
      <c r="Z497">
        <v>3</v>
      </c>
      <c r="AA497">
        <v>2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 t="str">
        <f t="shared" si="37"/>
        <v>0-3</v>
      </c>
      <c r="AI497">
        <v>0</v>
      </c>
      <c r="AJ497" t="str">
        <f t="shared" si="38"/>
        <v>0-2</v>
      </c>
      <c r="AK497">
        <v>2</v>
      </c>
    </row>
    <row r="498" spans="1:37" x14ac:dyDescent="0.25">
      <c r="A498" s="8">
        <v>497</v>
      </c>
      <c r="B498" t="s">
        <v>44</v>
      </c>
      <c r="C498" t="s">
        <v>37</v>
      </c>
      <c r="D498" s="8">
        <v>21</v>
      </c>
      <c r="E498" t="str">
        <f t="shared" si="39"/>
        <v>18-25</v>
      </c>
      <c r="F498" t="s">
        <v>46</v>
      </c>
      <c r="G498" t="s">
        <v>39</v>
      </c>
      <c r="H498" s="8" t="s">
        <v>40</v>
      </c>
      <c r="I498" s="10">
        <v>22</v>
      </c>
      <c r="J498" t="str">
        <f t="shared" si="35"/>
        <v>Far</v>
      </c>
      <c r="K498">
        <v>1</v>
      </c>
      <c r="L498" t="s">
        <v>63</v>
      </c>
      <c r="M498">
        <v>3</v>
      </c>
      <c r="N498">
        <v>3</v>
      </c>
      <c r="O498">
        <v>1</v>
      </c>
      <c r="P498" t="s">
        <v>60</v>
      </c>
      <c r="Q498">
        <v>3</v>
      </c>
      <c r="R498" s="11">
        <v>1343</v>
      </c>
      <c r="S498" s="14">
        <v>49</v>
      </c>
      <c r="T498" s="13">
        <v>3447</v>
      </c>
      <c r="U498" s="13">
        <f t="shared" si="36"/>
        <v>41364</v>
      </c>
      <c r="V498" s="14">
        <v>24444</v>
      </c>
      <c r="W498">
        <v>1</v>
      </c>
      <c r="X498" s="8" t="s">
        <v>46</v>
      </c>
      <c r="Y498" s="15">
        <v>0.11</v>
      </c>
      <c r="Z498">
        <v>3</v>
      </c>
      <c r="AA498">
        <v>3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 t="str">
        <f t="shared" si="37"/>
        <v>0-3</v>
      </c>
      <c r="AI498">
        <v>1</v>
      </c>
      <c r="AJ498" t="str">
        <f t="shared" si="38"/>
        <v>0-2</v>
      </c>
      <c r="AK498">
        <v>2</v>
      </c>
    </row>
    <row r="499" spans="1:37" x14ac:dyDescent="0.25">
      <c r="A499" s="8">
        <v>498</v>
      </c>
      <c r="B499" t="s">
        <v>44</v>
      </c>
      <c r="C499" t="s">
        <v>45</v>
      </c>
      <c r="D499" s="8">
        <v>44</v>
      </c>
      <c r="E499" t="str">
        <f t="shared" si="39"/>
        <v>36-45</v>
      </c>
      <c r="F499" t="s">
        <v>46</v>
      </c>
      <c r="G499" t="s">
        <v>39</v>
      </c>
      <c r="H499" s="8" t="s">
        <v>48</v>
      </c>
      <c r="I499" s="10">
        <v>3</v>
      </c>
      <c r="J499" t="str">
        <f t="shared" si="35"/>
        <v>Near</v>
      </c>
      <c r="K499">
        <v>4</v>
      </c>
      <c r="L499" t="s">
        <v>50</v>
      </c>
      <c r="M499">
        <v>4</v>
      </c>
      <c r="N499">
        <v>3</v>
      </c>
      <c r="O499">
        <v>5</v>
      </c>
      <c r="P499" t="s">
        <v>59</v>
      </c>
      <c r="Q499">
        <v>4</v>
      </c>
      <c r="R499" s="11">
        <v>1315</v>
      </c>
      <c r="S499" s="14">
        <v>35</v>
      </c>
      <c r="T499" s="13">
        <v>19513</v>
      </c>
      <c r="U499" s="13">
        <f t="shared" si="36"/>
        <v>234156</v>
      </c>
      <c r="V499" s="14">
        <v>9358</v>
      </c>
      <c r="W499">
        <v>4</v>
      </c>
      <c r="X499" s="8" t="s">
        <v>38</v>
      </c>
      <c r="Y499" s="15">
        <v>0.12</v>
      </c>
      <c r="Z499">
        <v>3</v>
      </c>
      <c r="AA499">
        <v>1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 t="str">
        <f t="shared" si="37"/>
        <v>0-3</v>
      </c>
      <c r="AI499">
        <v>0</v>
      </c>
      <c r="AJ499" t="str">
        <f t="shared" si="38"/>
        <v>0-2</v>
      </c>
      <c r="AK499">
        <v>1</v>
      </c>
    </row>
    <row r="500" spans="1:37" x14ac:dyDescent="0.25">
      <c r="A500" s="8">
        <v>499</v>
      </c>
      <c r="B500" t="s">
        <v>44</v>
      </c>
      <c r="C500" t="s">
        <v>45</v>
      </c>
      <c r="D500" s="8">
        <v>22</v>
      </c>
      <c r="E500" t="str">
        <f t="shared" si="39"/>
        <v>18-25</v>
      </c>
      <c r="F500" t="s">
        <v>46</v>
      </c>
      <c r="G500" t="s">
        <v>39</v>
      </c>
      <c r="H500" s="8" t="s">
        <v>48</v>
      </c>
      <c r="I500" s="10">
        <v>6</v>
      </c>
      <c r="J500" t="str">
        <f t="shared" si="35"/>
        <v>Moderate</v>
      </c>
      <c r="K500">
        <v>1</v>
      </c>
      <c r="L500" t="s">
        <v>53</v>
      </c>
      <c r="M500">
        <v>1</v>
      </c>
      <c r="N500">
        <v>3</v>
      </c>
      <c r="O500">
        <v>1</v>
      </c>
      <c r="P500" t="s">
        <v>49</v>
      </c>
      <c r="Q500">
        <v>3</v>
      </c>
      <c r="R500" s="11">
        <v>604</v>
      </c>
      <c r="S500" s="14">
        <v>69</v>
      </c>
      <c r="T500" s="13">
        <v>2773</v>
      </c>
      <c r="U500" s="13">
        <f t="shared" si="36"/>
        <v>33276</v>
      </c>
      <c r="V500" s="14">
        <v>12145</v>
      </c>
      <c r="W500">
        <v>0</v>
      </c>
      <c r="X500" s="8" t="s">
        <v>46</v>
      </c>
      <c r="Y500" s="15">
        <v>0.2</v>
      </c>
      <c r="Z500">
        <v>4</v>
      </c>
      <c r="AA500">
        <v>4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 t="str">
        <f t="shared" si="37"/>
        <v>0-3</v>
      </c>
      <c r="AI500">
        <v>2</v>
      </c>
      <c r="AJ500" t="str">
        <f t="shared" si="38"/>
        <v>0-2</v>
      </c>
      <c r="AK500">
        <v>2</v>
      </c>
    </row>
    <row r="501" spans="1:37" x14ac:dyDescent="0.25">
      <c r="A501" s="8">
        <v>500</v>
      </c>
      <c r="B501" t="s">
        <v>44</v>
      </c>
      <c r="C501" t="s">
        <v>54</v>
      </c>
      <c r="D501" s="8">
        <v>33</v>
      </c>
      <c r="E501" t="str">
        <f t="shared" si="39"/>
        <v>26-35</v>
      </c>
      <c r="F501" t="s">
        <v>46</v>
      </c>
      <c r="G501" t="s">
        <v>39</v>
      </c>
      <c r="H501" s="8" t="s">
        <v>40</v>
      </c>
      <c r="I501" s="10">
        <v>8</v>
      </c>
      <c r="J501" t="str">
        <f t="shared" si="35"/>
        <v>Moderate</v>
      </c>
      <c r="K501">
        <v>4</v>
      </c>
      <c r="L501" t="s">
        <v>62</v>
      </c>
      <c r="M501">
        <v>3</v>
      </c>
      <c r="N501">
        <v>3</v>
      </c>
      <c r="O501">
        <v>2</v>
      </c>
      <c r="P501" t="s">
        <v>42</v>
      </c>
      <c r="Q501">
        <v>3</v>
      </c>
      <c r="R501" s="11">
        <v>1216</v>
      </c>
      <c r="S501" s="14">
        <v>39</v>
      </c>
      <c r="T501" s="13">
        <v>7104</v>
      </c>
      <c r="U501" s="13">
        <f t="shared" si="36"/>
        <v>85248</v>
      </c>
      <c r="V501" s="14">
        <v>20431</v>
      </c>
      <c r="W501">
        <v>0</v>
      </c>
      <c r="X501" s="8" t="s">
        <v>46</v>
      </c>
      <c r="Y501" s="15">
        <v>0.12</v>
      </c>
      <c r="Z501">
        <v>3</v>
      </c>
      <c r="AA501">
        <v>4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 t="str">
        <f t="shared" si="37"/>
        <v>0-3</v>
      </c>
      <c r="AI501">
        <v>1</v>
      </c>
      <c r="AJ501" t="str">
        <f t="shared" si="38"/>
        <v>0-2</v>
      </c>
      <c r="AK501">
        <v>2</v>
      </c>
    </row>
    <row r="502" spans="1:37" x14ac:dyDescent="0.25">
      <c r="A502" s="8">
        <v>501</v>
      </c>
      <c r="B502" t="s">
        <v>52</v>
      </c>
      <c r="C502" t="s">
        <v>45</v>
      </c>
      <c r="D502" s="8">
        <v>32</v>
      </c>
      <c r="E502" t="str">
        <f t="shared" si="39"/>
        <v>26-35</v>
      </c>
      <c r="F502" t="s">
        <v>46</v>
      </c>
      <c r="G502" t="s">
        <v>39</v>
      </c>
      <c r="H502" s="8" t="s">
        <v>48</v>
      </c>
      <c r="I502" s="10">
        <v>9</v>
      </c>
      <c r="J502" t="str">
        <f t="shared" si="35"/>
        <v>Moderate</v>
      </c>
      <c r="K502">
        <v>4</v>
      </c>
      <c r="L502" t="s">
        <v>41</v>
      </c>
      <c r="M502">
        <v>1</v>
      </c>
      <c r="N502">
        <v>3</v>
      </c>
      <c r="O502">
        <v>2</v>
      </c>
      <c r="P502" t="s">
        <v>49</v>
      </c>
      <c r="Q502">
        <v>4</v>
      </c>
      <c r="R502" s="11">
        <v>646</v>
      </c>
      <c r="S502" s="14">
        <v>92</v>
      </c>
      <c r="T502" s="13">
        <v>6322</v>
      </c>
      <c r="U502" s="13">
        <f t="shared" si="36"/>
        <v>75864</v>
      </c>
      <c r="V502" s="14">
        <v>18089</v>
      </c>
      <c r="W502">
        <v>1</v>
      </c>
      <c r="X502" s="8" t="s">
        <v>38</v>
      </c>
      <c r="Y502" s="15">
        <v>0.12</v>
      </c>
      <c r="Z502">
        <v>3</v>
      </c>
      <c r="AA502">
        <v>4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 t="str">
        <f t="shared" si="37"/>
        <v>4-7</v>
      </c>
      <c r="AI502">
        <v>0</v>
      </c>
      <c r="AJ502" t="str">
        <f t="shared" si="38"/>
        <v>0-2</v>
      </c>
      <c r="AK502">
        <v>5</v>
      </c>
    </row>
    <row r="503" spans="1:37" x14ac:dyDescent="0.25">
      <c r="A503" s="8">
        <v>502</v>
      </c>
      <c r="B503" t="s">
        <v>52</v>
      </c>
      <c r="C503" t="s">
        <v>54</v>
      </c>
      <c r="D503" s="8">
        <v>30</v>
      </c>
      <c r="E503" t="str">
        <f t="shared" si="39"/>
        <v>26-35</v>
      </c>
      <c r="F503" t="s">
        <v>46</v>
      </c>
      <c r="G503" t="s">
        <v>47</v>
      </c>
      <c r="H503" s="8" t="s">
        <v>48</v>
      </c>
      <c r="I503" s="10">
        <v>3</v>
      </c>
      <c r="J503" t="str">
        <f t="shared" si="35"/>
        <v>Near</v>
      </c>
      <c r="K503">
        <v>3</v>
      </c>
      <c r="L503" t="s">
        <v>53</v>
      </c>
      <c r="M503">
        <v>3</v>
      </c>
      <c r="N503">
        <v>3</v>
      </c>
      <c r="O503">
        <v>1</v>
      </c>
      <c r="P503" t="s">
        <v>49</v>
      </c>
      <c r="Q503">
        <v>3</v>
      </c>
      <c r="R503" s="11">
        <v>160</v>
      </c>
      <c r="S503" s="14">
        <v>71</v>
      </c>
      <c r="T503" s="13">
        <v>2083</v>
      </c>
      <c r="U503" s="13">
        <f t="shared" si="36"/>
        <v>24996</v>
      </c>
      <c r="V503" s="14">
        <v>22653</v>
      </c>
      <c r="W503">
        <v>1</v>
      </c>
      <c r="X503" s="8" t="s">
        <v>46</v>
      </c>
      <c r="Y503" s="15">
        <v>0.2</v>
      </c>
      <c r="Z503">
        <v>4</v>
      </c>
      <c r="AA503">
        <v>3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 t="str">
        <f t="shared" si="37"/>
        <v>0-3</v>
      </c>
      <c r="AI503">
        <v>0</v>
      </c>
      <c r="AJ503" t="str">
        <f t="shared" si="38"/>
        <v>0-2</v>
      </c>
      <c r="AK503">
        <v>0</v>
      </c>
    </row>
    <row r="504" spans="1:37" x14ac:dyDescent="0.25">
      <c r="A504" s="8">
        <v>503</v>
      </c>
      <c r="B504" t="s">
        <v>52</v>
      </c>
      <c r="C504" t="s">
        <v>37</v>
      </c>
      <c r="D504" s="8">
        <v>53</v>
      </c>
      <c r="E504" t="str">
        <f t="shared" si="39"/>
        <v>46-55</v>
      </c>
      <c r="F504" t="s">
        <v>46</v>
      </c>
      <c r="G504" t="s">
        <v>39</v>
      </c>
      <c r="H504" s="8" t="s">
        <v>40</v>
      </c>
      <c r="I504" s="10">
        <v>1</v>
      </c>
      <c r="J504" t="str">
        <f t="shared" si="35"/>
        <v>Near</v>
      </c>
      <c r="K504">
        <v>1</v>
      </c>
      <c r="L504" t="s">
        <v>53</v>
      </c>
      <c r="M504">
        <v>4</v>
      </c>
      <c r="N504">
        <v>3</v>
      </c>
      <c r="O504">
        <v>2</v>
      </c>
      <c r="P504" t="s">
        <v>42</v>
      </c>
      <c r="Q504">
        <v>1</v>
      </c>
      <c r="R504" s="11">
        <v>238</v>
      </c>
      <c r="S504" s="14">
        <v>34</v>
      </c>
      <c r="T504" s="13">
        <v>8381</v>
      </c>
      <c r="U504" s="13">
        <f t="shared" si="36"/>
        <v>100572</v>
      </c>
      <c r="V504" s="14">
        <v>7507</v>
      </c>
      <c r="W504">
        <v>7</v>
      </c>
      <c r="X504" s="8" t="s">
        <v>46</v>
      </c>
      <c r="Y504" s="15">
        <v>0.2</v>
      </c>
      <c r="Z504">
        <v>4</v>
      </c>
      <c r="AA504">
        <v>4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 t="str">
        <f t="shared" si="37"/>
        <v>4-7</v>
      </c>
      <c r="AI504">
        <v>8</v>
      </c>
      <c r="AJ504" t="str">
        <f t="shared" si="38"/>
        <v>6-8</v>
      </c>
      <c r="AK504">
        <v>10</v>
      </c>
    </row>
    <row r="505" spans="1:37" x14ac:dyDescent="0.25">
      <c r="A505" s="8">
        <v>504</v>
      </c>
      <c r="B505" t="s">
        <v>44</v>
      </c>
      <c r="C505" t="s">
        <v>45</v>
      </c>
      <c r="D505" s="8">
        <v>34</v>
      </c>
      <c r="E505" t="str">
        <f t="shared" si="39"/>
        <v>26-35</v>
      </c>
      <c r="F505" t="s">
        <v>46</v>
      </c>
      <c r="G505" t="s">
        <v>39</v>
      </c>
      <c r="H505" s="8" t="s">
        <v>48</v>
      </c>
      <c r="I505" s="10">
        <v>1</v>
      </c>
      <c r="J505" t="str">
        <f t="shared" si="35"/>
        <v>Near</v>
      </c>
      <c r="K505">
        <v>5</v>
      </c>
      <c r="L505" t="s">
        <v>41</v>
      </c>
      <c r="M505">
        <v>2</v>
      </c>
      <c r="N505">
        <v>3</v>
      </c>
      <c r="O505">
        <v>1</v>
      </c>
      <c r="P505" t="s">
        <v>49</v>
      </c>
      <c r="Q505">
        <v>4</v>
      </c>
      <c r="R505" s="11">
        <v>1397</v>
      </c>
      <c r="S505" s="14">
        <v>42</v>
      </c>
      <c r="T505" s="13">
        <v>2691</v>
      </c>
      <c r="U505" s="13">
        <f t="shared" si="36"/>
        <v>32292</v>
      </c>
      <c r="V505" s="14">
        <v>7660</v>
      </c>
      <c r="W505">
        <v>1</v>
      </c>
      <c r="X505" s="8" t="s">
        <v>46</v>
      </c>
      <c r="Y505" s="15">
        <v>0.12</v>
      </c>
      <c r="Z505">
        <v>3</v>
      </c>
      <c r="AA505">
        <v>4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 t="str">
        <f t="shared" si="37"/>
        <v>8-11</v>
      </c>
      <c r="AI505">
        <v>8</v>
      </c>
      <c r="AJ505" t="str">
        <f t="shared" si="38"/>
        <v>6-8</v>
      </c>
      <c r="AK505">
        <v>8</v>
      </c>
    </row>
    <row r="506" spans="1:37" x14ac:dyDescent="0.25">
      <c r="A506" s="8">
        <v>505</v>
      </c>
      <c r="B506" t="s">
        <v>52</v>
      </c>
      <c r="C506" t="s">
        <v>45</v>
      </c>
      <c r="D506" s="8">
        <v>45</v>
      </c>
      <c r="E506" t="str">
        <f t="shared" si="39"/>
        <v>36-45</v>
      </c>
      <c r="F506" t="s">
        <v>38</v>
      </c>
      <c r="G506" t="s">
        <v>47</v>
      </c>
      <c r="H506" s="8" t="s">
        <v>40</v>
      </c>
      <c r="I506" s="10">
        <v>26</v>
      </c>
      <c r="J506" t="str">
        <f t="shared" si="35"/>
        <v>Far</v>
      </c>
      <c r="K506">
        <v>4</v>
      </c>
      <c r="L506" t="s">
        <v>41</v>
      </c>
      <c r="M506">
        <v>1</v>
      </c>
      <c r="N506">
        <v>3</v>
      </c>
      <c r="O506">
        <v>2</v>
      </c>
      <c r="P506" t="s">
        <v>42</v>
      </c>
      <c r="Q506">
        <v>1</v>
      </c>
      <c r="R506" s="11">
        <v>306</v>
      </c>
      <c r="S506" s="14">
        <v>100</v>
      </c>
      <c r="T506" s="13">
        <v>4286</v>
      </c>
      <c r="U506" s="13">
        <f t="shared" si="36"/>
        <v>51432</v>
      </c>
      <c r="V506" s="14">
        <v>5630</v>
      </c>
      <c r="W506">
        <v>2</v>
      </c>
      <c r="X506" s="8" t="s">
        <v>46</v>
      </c>
      <c r="Y506" s="15">
        <v>0.14000000000000001</v>
      </c>
      <c r="Z506">
        <v>3</v>
      </c>
      <c r="AA506">
        <v>4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 t="str">
        <f t="shared" si="37"/>
        <v>0-3</v>
      </c>
      <c r="AI506">
        <v>0</v>
      </c>
      <c r="AJ506" t="str">
        <f t="shared" si="38"/>
        <v>0-2</v>
      </c>
      <c r="AK506">
        <v>0</v>
      </c>
    </row>
    <row r="507" spans="1:37" x14ac:dyDescent="0.25">
      <c r="A507" s="8">
        <v>506</v>
      </c>
      <c r="B507" t="s">
        <v>52</v>
      </c>
      <c r="C507" t="s">
        <v>45</v>
      </c>
      <c r="D507" s="8">
        <v>26</v>
      </c>
      <c r="E507" t="str">
        <f t="shared" si="39"/>
        <v>26-35</v>
      </c>
      <c r="F507" t="s">
        <v>46</v>
      </c>
      <c r="G507" t="s">
        <v>39</v>
      </c>
      <c r="H507" s="8" t="s">
        <v>48</v>
      </c>
      <c r="I507" s="10">
        <v>6</v>
      </c>
      <c r="J507" t="str">
        <f t="shared" si="35"/>
        <v>Moderate</v>
      </c>
      <c r="K507">
        <v>3</v>
      </c>
      <c r="L507" t="s">
        <v>41</v>
      </c>
      <c r="M507">
        <v>3</v>
      </c>
      <c r="N507">
        <v>3</v>
      </c>
      <c r="O507">
        <v>1</v>
      </c>
      <c r="P507" t="s">
        <v>51</v>
      </c>
      <c r="Q507">
        <v>4</v>
      </c>
      <c r="R507" s="11">
        <v>991</v>
      </c>
      <c r="S507" s="14">
        <v>71</v>
      </c>
      <c r="T507" s="13">
        <v>2659</v>
      </c>
      <c r="U507" s="13">
        <f t="shared" si="36"/>
        <v>31908</v>
      </c>
      <c r="V507" s="14">
        <v>17759</v>
      </c>
      <c r="W507">
        <v>1</v>
      </c>
      <c r="X507" s="8" t="s">
        <v>38</v>
      </c>
      <c r="Y507" s="15">
        <v>0.13</v>
      </c>
      <c r="Z507">
        <v>3</v>
      </c>
      <c r="AA507">
        <v>3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 t="str">
        <f t="shared" si="37"/>
        <v>0-3</v>
      </c>
      <c r="AI507">
        <v>0</v>
      </c>
      <c r="AJ507" t="str">
        <f t="shared" si="38"/>
        <v>0-2</v>
      </c>
      <c r="AK507">
        <v>2</v>
      </c>
    </row>
    <row r="508" spans="1:37" x14ac:dyDescent="0.25">
      <c r="A508" s="8">
        <v>507</v>
      </c>
      <c r="B508" t="s">
        <v>44</v>
      </c>
      <c r="C508" t="s">
        <v>45</v>
      </c>
      <c r="D508" s="8">
        <v>37</v>
      </c>
      <c r="E508" t="str">
        <f t="shared" si="39"/>
        <v>36-45</v>
      </c>
      <c r="F508" t="s">
        <v>46</v>
      </c>
      <c r="G508" t="s">
        <v>39</v>
      </c>
      <c r="H508" s="8" t="s">
        <v>48</v>
      </c>
      <c r="I508" s="10">
        <v>3</v>
      </c>
      <c r="J508" t="str">
        <f t="shared" si="35"/>
        <v>Near</v>
      </c>
      <c r="K508">
        <v>3</v>
      </c>
      <c r="L508" t="s">
        <v>50</v>
      </c>
      <c r="M508">
        <v>3</v>
      </c>
      <c r="N508">
        <v>3</v>
      </c>
      <c r="O508">
        <v>3</v>
      </c>
      <c r="P508" t="s">
        <v>55</v>
      </c>
      <c r="Q508">
        <v>3</v>
      </c>
      <c r="R508" s="11">
        <v>482</v>
      </c>
      <c r="S508" s="14">
        <v>36</v>
      </c>
      <c r="T508" s="13">
        <v>9434</v>
      </c>
      <c r="U508" s="13">
        <f t="shared" si="36"/>
        <v>113208</v>
      </c>
      <c r="V508" s="14">
        <v>9606</v>
      </c>
      <c r="W508">
        <v>1</v>
      </c>
      <c r="X508" s="8" t="s">
        <v>46</v>
      </c>
      <c r="Y508" s="15">
        <v>0.15</v>
      </c>
      <c r="Z508">
        <v>3</v>
      </c>
      <c r="AA508">
        <v>3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 t="str">
        <f t="shared" si="37"/>
        <v>4-7</v>
      </c>
      <c r="AI508">
        <v>7</v>
      </c>
      <c r="AJ508" t="str">
        <f t="shared" si="38"/>
        <v>6-8</v>
      </c>
      <c r="AK508">
        <v>8</v>
      </c>
    </row>
    <row r="509" spans="1:37" x14ac:dyDescent="0.25">
      <c r="A509" s="8">
        <v>508</v>
      </c>
      <c r="B509" t="s">
        <v>52</v>
      </c>
      <c r="C509" t="s">
        <v>45</v>
      </c>
      <c r="D509" s="8">
        <v>29</v>
      </c>
      <c r="E509" t="str">
        <f t="shared" si="39"/>
        <v>26-35</v>
      </c>
      <c r="F509" t="s">
        <v>46</v>
      </c>
      <c r="G509" t="s">
        <v>39</v>
      </c>
      <c r="H509" s="8" t="s">
        <v>40</v>
      </c>
      <c r="I509" s="10">
        <v>3</v>
      </c>
      <c r="J509" t="str">
        <f t="shared" si="35"/>
        <v>Near</v>
      </c>
      <c r="K509">
        <v>2</v>
      </c>
      <c r="L509" t="s">
        <v>53</v>
      </c>
      <c r="M509">
        <v>2</v>
      </c>
      <c r="N509">
        <v>3</v>
      </c>
      <c r="O509">
        <v>2</v>
      </c>
      <c r="P509" t="s">
        <v>42</v>
      </c>
      <c r="Q509">
        <v>3</v>
      </c>
      <c r="R509" s="11">
        <v>1176</v>
      </c>
      <c r="S509" s="14">
        <v>62</v>
      </c>
      <c r="T509" s="13">
        <v>5561</v>
      </c>
      <c r="U509" s="13">
        <f t="shared" si="36"/>
        <v>66732</v>
      </c>
      <c r="V509" s="14">
        <v>3487</v>
      </c>
      <c r="W509">
        <v>1</v>
      </c>
      <c r="X509" s="8" t="s">
        <v>46</v>
      </c>
      <c r="Y509" s="15">
        <v>0.14000000000000001</v>
      </c>
      <c r="Z509">
        <v>3</v>
      </c>
      <c r="AA509">
        <v>1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 t="str">
        <f t="shared" si="37"/>
        <v>0-3</v>
      </c>
      <c r="AI509">
        <v>1</v>
      </c>
      <c r="AJ509" t="str">
        <f t="shared" si="38"/>
        <v>0-2</v>
      </c>
      <c r="AK509">
        <v>2</v>
      </c>
    </row>
    <row r="510" spans="1:37" x14ac:dyDescent="0.25">
      <c r="A510" s="8">
        <v>509</v>
      </c>
      <c r="B510" t="s">
        <v>44</v>
      </c>
      <c r="C510" t="s">
        <v>37</v>
      </c>
      <c r="D510" s="8">
        <v>35</v>
      </c>
      <c r="E510" t="str">
        <f t="shared" si="39"/>
        <v>26-35</v>
      </c>
      <c r="F510" t="s">
        <v>46</v>
      </c>
      <c r="G510" t="s">
        <v>39</v>
      </c>
      <c r="H510" s="8" t="s">
        <v>48</v>
      </c>
      <c r="I510" s="10">
        <v>6</v>
      </c>
      <c r="J510" t="str">
        <f t="shared" si="35"/>
        <v>Moderate</v>
      </c>
      <c r="K510">
        <v>4</v>
      </c>
      <c r="L510" t="s">
        <v>41</v>
      </c>
      <c r="M510">
        <v>2</v>
      </c>
      <c r="N510">
        <v>1</v>
      </c>
      <c r="O510">
        <v>2</v>
      </c>
      <c r="P510" t="s">
        <v>49</v>
      </c>
      <c r="Q510">
        <v>4</v>
      </c>
      <c r="R510" s="11">
        <v>1017</v>
      </c>
      <c r="S510" s="14">
        <v>82</v>
      </c>
      <c r="T510" s="13">
        <v>6646</v>
      </c>
      <c r="U510" s="13">
        <f t="shared" si="36"/>
        <v>79752</v>
      </c>
      <c r="V510" s="14">
        <v>19368</v>
      </c>
      <c r="W510">
        <v>1</v>
      </c>
      <c r="X510" s="8" t="s">
        <v>46</v>
      </c>
      <c r="Y510" s="15">
        <v>0.13</v>
      </c>
      <c r="Z510">
        <v>3</v>
      </c>
      <c r="AA510">
        <v>2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 t="str">
        <f t="shared" si="37"/>
        <v>8-11</v>
      </c>
      <c r="AI510">
        <v>11</v>
      </c>
      <c r="AJ510" t="str">
        <f t="shared" si="38"/>
        <v>9-11</v>
      </c>
      <c r="AK510">
        <v>8</v>
      </c>
    </row>
    <row r="511" spans="1:37" x14ac:dyDescent="0.25">
      <c r="A511" s="8">
        <v>510</v>
      </c>
      <c r="B511" t="s">
        <v>44</v>
      </c>
      <c r="C511" t="s">
        <v>54</v>
      </c>
      <c r="D511" s="8">
        <v>33</v>
      </c>
      <c r="E511" t="str">
        <f t="shared" si="39"/>
        <v>26-35</v>
      </c>
      <c r="F511" t="s">
        <v>46</v>
      </c>
      <c r="G511" t="s">
        <v>47</v>
      </c>
      <c r="H511" s="8" t="s">
        <v>48</v>
      </c>
      <c r="I511" s="10">
        <v>6</v>
      </c>
      <c r="J511" t="str">
        <f t="shared" si="35"/>
        <v>Moderate</v>
      </c>
      <c r="K511">
        <v>3</v>
      </c>
      <c r="L511" t="s">
        <v>41</v>
      </c>
      <c r="M511">
        <v>3</v>
      </c>
      <c r="N511">
        <v>3</v>
      </c>
      <c r="O511">
        <v>2</v>
      </c>
      <c r="P511" t="s">
        <v>56</v>
      </c>
      <c r="Q511">
        <v>4</v>
      </c>
      <c r="R511" s="11">
        <v>1296</v>
      </c>
      <c r="S511" s="14">
        <v>30</v>
      </c>
      <c r="T511" s="13">
        <v>7725</v>
      </c>
      <c r="U511" s="13">
        <f t="shared" si="36"/>
        <v>92700</v>
      </c>
      <c r="V511" s="14">
        <v>5335</v>
      </c>
      <c r="W511">
        <v>3</v>
      </c>
      <c r="X511" s="8" t="s">
        <v>46</v>
      </c>
      <c r="Y511" s="15">
        <v>0.23</v>
      </c>
      <c r="Z511">
        <v>4</v>
      </c>
      <c r="AA511">
        <v>3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 t="str">
        <f t="shared" si="37"/>
        <v>8-11</v>
      </c>
      <c r="AI511">
        <v>4</v>
      </c>
      <c r="AJ511" t="str">
        <f t="shared" si="38"/>
        <v>3-5</v>
      </c>
      <c r="AK511">
        <v>7</v>
      </c>
    </row>
    <row r="512" spans="1:37" x14ac:dyDescent="0.25">
      <c r="A512" s="8">
        <v>511</v>
      </c>
      <c r="B512" t="s">
        <v>44</v>
      </c>
      <c r="C512" t="s">
        <v>45</v>
      </c>
      <c r="D512" s="8">
        <v>54</v>
      </c>
      <c r="E512" t="str">
        <f t="shared" si="39"/>
        <v>46-55</v>
      </c>
      <c r="F512" t="s">
        <v>46</v>
      </c>
      <c r="G512" t="s">
        <v>39</v>
      </c>
      <c r="H512" s="8" t="s">
        <v>64</v>
      </c>
      <c r="I512" s="10">
        <v>19</v>
      </c>
      <c r="J512" t="str">
        <f t="shared" si="35"/>
        <v>Far</v>
      </c>
      <c r="K512">
        <v>4</v>
      </c>
      <c r="L512" t="s">
        <v>53</v>
      </c>
      <c r="M512">
        <v>3</v>
      </c>
      <c r="N512">
        <v>3</v>
      </c>
      <c r="O512">
        <v>3</v>
      </c>
      <c r="P512" t="s">
        <v>64</v>
      </c>
      <c r="Q512">
        <v>2</v>
      </c>
      <c r="R512" s="11">
        <v>397</v>
      </c>
      <c r="S512" s="14">
        <v>88</v>
      </c>
      <c r="T512" s="13">
        <v>10725</v>
      </c>
      <c r="U512" s="13">
        <f t="shared" si="36"/>
        <v>128700</v>
      </c>
      <c r="V512" s="14">
        <v>6729</v>
      </c>
      <c r="W512">
        <v>2</v>
      </c>
      <c r="X512" s="8" t="s">
        <v>46</v>
      </c>
      <c r="Y512" s="15">
        <v>0.15</v>
      </c>
      <c r="Z512">
        <v>3</v>
      </c>
      <c r="AA512">
        <v>3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 t="str">
        <f t="shared" si="37"/>
        <v>4-7</v>
      </c>
      <c r="AI512">
        <v>7</v>
      </c>
      <c r="AJ512" t="str">
        <f t="shared" si="38"/>
        <v>6-8</v>
      </c>
      <c r="AK512">
        <v>1</v>
      </c>
    </row>
    <row r="513" spans="1:37" x14ac:dyDescent="0.25">
      <c r="A513" s="8">
        <v>512</v>
      </c>
      <c r="B513" t="s">
        <v>44</v>
      </c>
      <c r="C513" t="s">
        <v>54</v>
      </c>
      <c r="D513" s="8">
        <v>36</v>
      </c>
      <c r="E513" t="str">
        <f t="shared" si="39"/>
        <v>36-45</v>
      </c>
      <c r="F513" t="s">
        <v>46</v>
      </c>
      <c r="G513" t="s">
        <v>39</v>
      </c>
      <c r="H513" s="8" t="s">
        <v>48</v>
      </c>
      <c r="I513" s="10">
        <v>9</v>
      </c>
      <c r="J513" t="str">
        <f t="shared" si="35"/>
        <v>Moderate</v>
      </c>
      <c r="K513">
        <v>2</v>
      </c>
      <c r="L513" t="s">
        <v>53</v>
      </c>
      <c r="M513">
        <v>2</v>
      </c>
      <c r="N513">
        <v>2</v>
      </c>
      <c r="O513">
        <v>2</v>
      </c>
      <c r="P513" t="s">
        <v>55</v>
      </c>
      <c r="Q513">
        <v>2</v>
      </c>
      <c r="R513" s="11">
        <v>913</v>
      </c>
      <c r="S513" s="14">
        <v>48</v>
      </c>
      <c r="T513" s="13">
        <v>8847</v>
      </c>
      <c r="U513" s="13">
        <f t="shared" si="36"/>
        <v>106164</v>
      </c>
      <c r="V513" s="14">
        <v>13934</v>
      </c>
      <c r="W513">
        <v>2</v>
      </c>
      <c r="X513" s="8" t="s">
        <v>38</v>
      </c>
      <c r="Y513" s="15">
        <v>0.11</v>
      </c>
      <c r="Z513">
        <v>3</v>
      </c>
      <c r="AA513">
        <v>3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 t="str">
        <f t="shared" si="37"/>
        <v>0-3</v>
      </c>
      <c r="AI513">
        <v>0</v>
      </c>
      <c r="AJ513" t="str">
        <f t="shared" si="38"/>
        <v>0-2</v>
      </c>
      <c r="AK513">
        <v>2</v>
      </c>
    </row>
    <row r="514" spans="1:37" x14ac:dyDescent="0.25">
      <c r="A514" s="8">
        <v>513</v>
      </c>
      <c r="B514" t="s">
        <v>44</v>
      </c>
      <c r="C514" t="s">
        <v>37</v>
      </c>
      <c r="D514" s="8">
        <v>27</v>
      </c>
      <c r="E514" t="str">
        <f t="shared" si="39"/>
        <v>26-35</v>
      </c>
      <c r="F514" t="s">
        <v>46</v>
      </c>
      <c r="G514" t="s">
        <v>39</v>
      </c>
      <c r="H514" s="8" t="s">
        <v>48</v>
      </c>
      <c r="I514" s="10">
        <v>3</v>
      </c>
      <c r="J514" t="str">
        <f t="shared" si="35"/>
        <v>Near</v>
      </c>
      <c r="K514">
        <v>4</v>
      </c>
      <c r="L514" t="s">
        <v>53</v>
      </c>
      <c r="M514">
        <v>1</v>
      </c>
      <c r="N514">
        <v>2</v>
      </c>
      <c r="O514">
        <v>1</v>
      </c>
      <c r="P514" t="s">
        <v>49</v>
      </c>
      <c r="Q514">
        <v>4</v>
      </c>
      <c r="R514" s="11">
        <v>1115</v>
      </c>
      <c r="S514" s="14">
        <v>54</v>
      </c>
      <c r="T514" s="13">
        <v>2045</v>
      </c>
      <c r="U514" s="13">
        <f t="shared" si="36"/>
        <v>24540</v>
      </c>
      <c r="V514" s="14">
        <v>15174</v>
      </c>
      <c r="W514">
        <v>0</v>
      </c>
      <c r="X514" s="8" t="s">
        <v>46</v>
      </c>
      <c r="Y514" s="15">
        <v>0.13</v>
      </c>
      <c r="Z514">
        <v>3</v>
      </c>
      <c r="AA514">
        <v>4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 t="str">
        <f t="shared" si="37"/>
        <v>0-3</v>
      </c>
      <c r="AI514">
        <v>1</v>
      </c>
      <c r="AJ514" t="str">
        <f t="shared" si="38"/>
        <v>0-2</v>
      </c>
      <c r="AK514">
        <v>1</v>
      </c>
    </row>
    <row r="515" spans="1:37" x14ac:dyDescent="0.25">
      <c r="A515" s="8">
        <v>514</v>
      </c>
      <c r="B515" t="s">
        <v>44</v>
      </c>
      <c r="C515" t="s">
        <v>37</v>
      </c>
      <c r="D515" s="8">
        <v>20</v>
      </c>
      <c r="E515" t="str">
        <f t="shared" si="39"/>
        <v>18-25</v>
      </c>
      <c r="F515" t="s">
        <v>38</v>
      </c>
      <c r="G515" t="s">
        <v>39</v>
      </c>
      <c r="H515" s="8" t="s">
        <v>48</v>
      </c>
      <c r="I515" s="10">
        <v>10</v>
      </c>
      <c r="J515" t="str">
        <f t="shared" ref="J515:J578" si="40">IF(I515&lt;=5,"Near",IF(I515&lt;=15,"Moderate",IF(I515&gt;15,"Far")))</f>
        <v>Moderate</v>
      </c>
      <c r="K515">
        <v>1</v>
      </c>
      <c r="L515" t="s">
        <v>53</v>
      </c>
      <c r="M515">
        <v>4</v>
      </c>
      <c r="N515">
        <v>3</v>
      </c>
      <c r="O515">
        <v>1</v>
      </c>
      <c r="P515" t="s">
        <v>49</v>
      </c>
      <c r="Q515">
        <v>3</v>
      </c>
      <c r="R515" s="11">
        <v>1362</v>
      </c>
      <c r="S515" s="14">
        <v>32</v>
      </c>
      <c r="T515" s="13">
        <v>1009</v>
      </c>
      <c r="U515" s="13">
        <f t="shared" ref="U515:U578" si="41">T515*12</f>
        <v>12108</v>
      </c>
      <c r="V515" s="14">
        <v>26999</v>
      </c>
      <c r="W515">
        <v>1</v>
      </c>
      <c r="X515" s="8" t="s">
        <v>38</v>
      </c>
      <c r="Y515" s="15">
        <v>0.11</v>
      </c>
      <c r="Z515">
        <v>3</v>
      </c>
      <c r="AA515">
        <v>4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 t="str">
        <f t="shared" ref="AH515:AH578" si="42">IF(AG:AG&lt;=3,"0-3", IF(AG:AG&lt;=7,"4-7", IF(AG:AG&lt;=11,"8-11", IF(AG:AG&lt;=15,"12-15","16-19"))))</f>
        <v>0-3</v>
      </c>
      <c r="AI515">
        <v>1</v>
      </c>
      <c r="AJ515" t="str">
        <f t="shared" ref="AJ515:AJ578" si="43">IF(AI:AI&lt;=2,"0-2",IF(AI:AI&lt;=5,"3-5", IF(AI:AI&lt;=8,"6-8", IF(AI:AI&lt;=11,"9-11","12-15"))))</f>
        <v>0-2</v>
      </c>
      <c r="AK515">
        <v>1</v>
      </c>
    </row>
    <row r="516" spans="1:37" x14ac:dyDescent="0.25">
      <c r="A516" s="8">
        <v>515</v>
      </c>
      <c r="B516" t="s">
        <v>44</v>
      </c>
      <c r="C516" t="s">
        <v>37</v>
      </c>
      <c r="D516" s="8">
        <v>33</v>
      </c>
      <c r="E516" t="str">
        <f t="shared" ref="E516:E579" si="44">IF(D516&lt;25,"18-25",IF(D516&lt;=35,"26-35",IF(D516&lt;=45,"36-45",IF(D516&lt;=55,"46-55",IF(D516&gt;55,"55+")))))</f>
        <v>26-35</v>
      </c>
      <c r="F516" t="s">
        <v>38</v>
      </c>
      <c r="G516" t="s">
        <v>47</v>
      </c>
      <c r="H516" s="8" t="s">
        <v>48</v>
      </c>
      <c r="I516" s="10">
        <v>3</v>
      </c>
      <c r="J516" t="str">
        <f t="shared" si="40"/>
        <v>Near</v>
      </c>
      <c r="K516">
        <v>3</v>
      </c>
      <c r="L516" t="s">
        <v>41</v>
      </c>
      <c r="M516">
        <v>1</v>
      </c>
      <c r="N516">
        <v>3</v>
      </c>
      <c r="O516">
        <v>1</v>
      </c>
      <c r="P516" t="s">
        <v>49</v>
      </c>
      <c r="Q516">
        <v>1</v>
      </c>
      <c r="R516" s="11">
        <v>1076</v>
      </c>
      <c r="S516" s="14">
        <v>70</v>
      </c>
      <c r="T516" s="13">
        <v>3348</v>
      </c>
      <c r="U516" s="13">
        <f t="shared" si="41"/>
        <v>40176</v>
      </c>
      <c r="V516" s="14">
        <v>3164</v>
      </c>
      <c r="W516">
        <v>1</v>
      </c>
      <c r="X516" s="8" t="s">
        <v>38</v>
      </c>
      <c r="Y516" s="15">
        <v>0.11</v>
      </c>
      <c r="Z516">
        <v>3</v>
      </c>
      <c r="AA516">
        <v>1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 t="str">
        <f t="shared" si="42"/>
        <v>8-11</v>
      </c>
      <c r="AI516">
        <v>9</v>
      </c>
      <c r="AJ516" t="str">
        <f t="shared" si="43"/>
        <v>9-11</v>
      </c>
      <c r="AK516">
        <v>7</v>
      </c>
    </row>
    <row r="517" spans="1:37" x14ac:dyDescent="0.25">
      <c r="A517" s="8">
        <v>516</v>
      </c>
      <c r="B517" t="s">
        <v>44</v>
      </c>
      <c r="C517" t="s">
        <v>45</v>
      </c>
      <c r="D517" s="8">
        <v>35</v>
      </c>
      <c r="E517" t="str">
        <f t="shared" si="44"/>
        <v>26-35</v>
      </c>
      <c r="F517" t="s">
        <v>46</v>
      </c>
      <c r="G517" t="s">
        <v>58</v>
      </c>
      <c r="H517" s="8" t="s">
        <v>48</v>
      </c>
      <c r="I517" s="10">
        <v>3</v>
      </c>
      <c r="J517" t="str">
        <f t="shared" si="40"/>
        <v>Near</v>
      </c>
      <c r="K517">
        <v>3</v>
      </c>
      <c r="L517" t="s">
        <v>41</v>
      </c>
      <c r="M517">
        <v>3</v>
      </c>
      <c r="N517">
        <v>2</v>
      </c>
      <c r="O517">
        <v>1</v>
      </c>
      <c r="P517" t="s">
        <v>51</v>
      </c>
      <c r="Q517">
        <v>3</v>
      </c>
      <c r="R517" s="11">
        <v>727</v>
      </c>
      <c r="S517" s="14">
        <v>41</v>
      </c>
      <c r="T517" s="13">
        <v>1281</v>
      </c>
      <c r="U517" s="13">
        <f t="shared" si="41"/>
        <v>15372</v>
      </c>
      <c r="V517" s="14">
        <v>16900</v>
      </c>
      <c r="W517">
        <v>1</v>
      </c>
      <c r="X517" s="8" t="s">
        <v>46</v>
      </c>
      <c r="Y517" s="15">
        <v>0.18</v>
      </c>
      <c r="Z517">
        <v>3</v>
      </c>
      <c r="AA517">
        <v>3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 t="str">
        <f t="shared" si="42"/>
        <v>0-3</v>
      </c>
      <c r="AI517">
        <v>0</v>
      </c>
      <c r="AJ517" t="str">
        <f t="shared" si="43"/>
        <v>0-2</v>
      </c>
      <c r="AK517">
        <v>0</v>
      </c>
    </row>
    <row r="518" spans="1:37" x14ac:dyDescent="0.25">
      <c r="A518" s="8">
        <v>517</v>
      </c>
      <c r="B518" t="s">
        <v>44</v>
      </c>
      <c r="C518" t="s">
        <v>45</v>
      </c>
      <c r="D518" s="8">
        <v>23</v>
      </c>
      <c r="E518" t="str">
        <f t="shared" si="44"/>
        <v>18-25</v>
      </c>
      <c r="F518" t="s">
        <v>46</v>
      </c>
      <c r="G518" t="s">
        <v>39</v>
      </c>
      <c r="H518" s="8" t="s">
        <v>48</v>
      </c>
      <c r="I518" s="10">
        <v>4</v>
      </c>
      <c r="J518" t="str">
        <f t="shared" si="40"/>
        <v>Near</v>
      </c>
      <c r="K518">
        <v>3</v>
      </c>
      <c r="L518" t="s">
        <v>53</v>
      </c>
      <c r="M518">
        <v>1</v>
      </c>
      <c r="N518">
        <v>4</v>
      </c>
      <c r="O518">
        <v>1</v>
      </c>
      <c r="P518" t="s">
        <v>49</v>
      </c>
      <c r="Q518">
        <v>1</v>
      </c>
      <c r="R518" s="11">
        <v>885</v>
      </c>
      <c r="S518" s="14">
        <v>58</v>
      </c>
      <c r="T518" s="13">
        <v>2819</v>
      </c>
      <c r="U518" s="13">
        <f t="shared" si="41"/>
        <v>33828</v>
      </c>
      <c r="V518" s="14">
        <v>8544</v>
      </c>
      <c r="W518">
        <v>2</v>
      </c>
      <c r="X518" s="8" t="s">
        <v>46</v>
      </c>
      <c r="Y518" s="15">
        <v>0.16</v>
      </c>
      <c r="Z518">
        <v>3</v>
      </c>
      <c r="AA518">
        <v>1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 t="str">
        <f t="shared" si="42"/>
        <v>0-3</v>
      </c>
      <c r="AI518">
        <v>0</v>
      </c>
      <c r="AJ518" t="str">
        <f t="shared" si="43"/>
        <v>0-2</v>
      </c>
      <c r="AK518">
        <v>2</v>
      </c>
    </row>
    <row r="519" spans="1:37" x14ac:dyDescent="0.25">
      <c r="A519" s="8">
        <v>518</v>
      </c>
      <c r="B519" t="s">
        <v>44</v>
      </c>
      <c r="C519" t="s">
        <v>45</v>
      </c>
      <c r="D519" s="8">
        <v>25</v>
      </c>
      <c r="E519" t="str">
        <f t="shared" si="44"/>
        <v>26-35</v>
      </c>
      <c r="F519" t="s">
        <v>46</v>
      </c>
      <c r="G519" t="s">
        <v>39</v>
      </c>
      <c r="H519" s="8" t="s">
        <v>40</v>
      </c>
      <c r="I519" s="10">
        <v>8</v>
      </c>
      <c r="J519" t="str">
        <f t="shared" si="40"/>
        <v>Moderate</v>
      </c>
      <c r="K519">
        <v>3</v>
      </c>
      <c r="L519" t="s">
        <v>41</v>
      </c>
      <c r="M519">
        <v>4</v>
      </c>
      <c r="N519">
        <v>4</v>
      </c>
      <c r="O519">
        <v>2</v>
      </c>
      <c r="P519" t="s">
        <v>42</v>
      </c>
      <c r="Q519">
        <v>2</v>
      </c>
      <c r="R519" s="11">
        <v>810</v>
      </c>
      <c r="S519" s="14">
        <v>57</v>
      </c>
      <c r="T519" s="13">
        <v>4851</v>
      </c>
      <c r="U519" s="13">
        <f t="shared" si="41"/>
        <v>58212</v>
      </c>
      <c r="V519" s="14">
        <v>15678</v>
      </c>
      <c r="W519">
        <v>0</v>
      </c>
      <c r="X519" s="8" t="s">
        <v>46</v>
      </c>
      <c r="Y519" s="15">
        <v>0.22</v>
      </c>
      <c r="Z519">
        <v>4</v>
      </c>
      <c r="AA519">
        <v>3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 t="str">
        <f t="shared" si="42"/>
        <v>0-3</v>
      </c>
      <c r="AI519">
        <v>1</v>
      </c>
      <c r="AJ519" t="str">
        <f t="shared" si="43"/>
        <v>0-2</v>
      </c>
      <c r="AK519">
        <v>2</v>
      </c>
    </row>
    <row r="520" spans="1:37" x14ac:dyDescent="0.25">
      <c r="A520" s="8">
        <v>519</v>
      </c>
      <c r="B520" t="s">
        <v>52</v>
      </c>
      <c r="C520" t="s">
        <v>37</v>
      </c>
      <c r="D520" s="8">
        <v>38</v>
      </c>
      <c r="E520" t="str">
        <f t="shared" si="44"/>
        <v>36-45</v>
      </c>
      <c r="F520" t="s">
        <v>46</v>
      </c>
      <c r="G520" t="s">
        <v>39</v>
      </c>
      <c r="H520" s="8" t="s">
        <v>40</v>
      </c>
      <c r="I520" s="10">
        <v>7</v>
      </c>
      <c r="J520" t="str">
        <f t="shared" si="40"/>
        <v>Moderate</v>
      </c>
      <c r="K520">
        <v>4</v>
      </c>
      <c r="L520" t="s">
        <v>62</v>
      </c>
      <c r="M520">
        <v>4</v>
      </c>
      <c r="N520">
        <v>2</v>
      </c>
      <c r="O520">
        <v>2</v>
      </c>
      <c r="P520" t="s">
        <v>42</v>
      </c>
      <c r="Q520">
        <v>4</v>
      </c>
      <c r="R520" s="11">
        <v>243</v>
      </c>
      <c r="S520" s="14">
        <v>46</v>
      </c>
      <c r="T520" s="13">
        <v>4028</v>
      </c>
      <c r="U520" s="13">
        <f t="shared" si="41"/>
        <v>48336</v>
      </c>
      <c r="V520" s="14">
        <v>7791</v>
      </c>
      <c r="W520">
        <v>0</v>
      </c>
      <c r="X520" s="8" t="s">
        <v>46</v>
      </c>
      <c r="Y520" s="15">
        <v>0.2</v>
      </c>
      <c r="Z520">
        <v>4</v>
      </c>
      <c r="AA520">
        <v>1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 t="str">
        <f t="shared" si="42"/>
        <v>4-7</v>
      </c>
      <c r="AI520">
        <v>0</v>
      </c>
      <c r="AJ520" t="str">
        <f t="shared" si="43"/>
        <v>0-2</v>
      </c>
      <c r="AK520">
        <v>5</v>
      </c>
    </row>
    <row r="521" spans="1:37" x14ac:dyDescent="0.25">
      <c r="A521" s="8">
        <v>520</v>
      </c>
      <c r="B521" t="s">
        <v>44</v>
      </c>
      <c r="C521" t="s">
        <v>54</v>
      </c>
      <c r="D521" s="8">
        <v>29</v>
      </c>
      <c r="E521" t="str">
        <f t="shared" si="44"/>
        <v>26-35</v>
      </c>
      <c r="F521" t="s">
        <v>46</v>
      </c>
      <c r="G521" t="s">
        <v>47</v>
      </c>
      <c r="H521" s="8" t="s">
        <v>48</v>
      </c>
      <c r="I521" s="10">
        <v>1</v>
      </c>
      <c r="J521" t="str">
        <f t="shared" si="40"/>
        <v>Near</v>
      </c>
      <c r="K521">
        <v>4</v>
      </c>
      <c r="L521" t="s">
        <v>41</v>
      </c>
      <c r="M521">
        <v>2</v>
      </c>
      <c r="N521">
        <v>1</v>
      </c>
      <c r="O521">
        <v>1</v>
      </c>
      <c r="P521" t="s">
        <v>49</v>
      </c>
      <c r="Q521">
        <v>4</v>
      </c>
      <c r="R521" s="11">
        <v>806</v>
      </c>
      <c r="S521" s="14">
        <v>76</v>
      </c>
      <c r="T521" s="13">
        <v>2720</v>
      </c>
      <c r="U521" s="13">
        <f t="shared" si="41"/>
        <v>32640</v>
      </c>
      <c r="V521" s="14">
        <v>18959</v>
      </c>
      <c r="W521">
        <v>1</v>
      </c>
      <c r="X521" s="8" t="s">
        <v>46</v>
      </c>
      <c r="Y521" s="15">
        <v>0.18</v>
      </c>
      <c r="Z521">
        <v>3</v>
      </c>
      <c r="AA521">
        <v>4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 t="str">
        <f t="shared" si="42"/>
        <v>4-7</v>
      </c>
      <c r="AI521">
        <v>2</v>
      </c>
      <c r="AJ521" t="str">
        <f t="shared" si="43"/>
        <v>0-2</v>
      </c>
      <c r="AK521">
        <v>8</v>
      </c>
    </row>
    <row r="522" spans="1:37" x14ac:dyDescent="0.25">
      <c r="A522" s="8">
        <v>521</v>
      </c>
      <c r="B522" t="s">
        <v>44</v>
      </c>
      <c r="C522" t="s">
        <v>45</v>
      </c>
      <c r="D522" s="8">
        <v>48</v>
      </c>
      <c r="E522" t="str">
        <f t="shared" si="44"/>
        <v>46-55</v>
      </c>
      <c r="F522" t="s">
        <v>46</v>
      </c>
      <c r="G522" t="s">
        <v>39</v>
      </c>
      <c r="H522" s="8" t="s">
        <v>40</v>
      </c>
      <c r="I522" s="10">
        <v>2</v>
      </c>
      <c r="J522" t="str">
        <f t="shared" si="40"/>
        <v>Near</v>
      </c>
      <c r="K522">
        <v>1</v>
      </c>
      <c r="L522" t="s">
        <v>62</v>
      </c>
      <c r="M522">
        <v>2</v>
      </c>
      <c r="N522">
        <v>4</v>
      </c>
      <c r="O522">
        <v>2</v>
      </c>
      <c r="P522" t="s">
        <v>42</v>
      </c>
      <c r="Q522">
        <v>2</v>
      </c>
      <c r="R522" s="11">
        <v>817</v>
      </c>
      <c r="S522" s="14">
        <v>56</v>
      </c>
      <c r="T522" s="13">
        <v>8120</v>
      </c>
      <c r="U522" s="13">
        <f t="shared" si="41"/>
        <v>97440</v>
      </c>
      <c r="V522" s="14">
        <v>18597</v>
      </c>
      <c r="W522">
        <v>3</v>
      </c>
      <c r="X522" s="8" t="s">
        <v>46</v>
      </c>
      <c r="Y522" s="15">
        <v>0.12</v>
      </c>
      <c r="Z522">
        <v>3</v>
      </c>
      <c r="AA522">
        <v>4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 t="str">
        <f t="shared" si="42"/>
        <v>0-3</v>
      </c>
      <c r="AI522">
        <v>2</v>
      </c>
      <c r="AJ522" t="str">
        <f t="shared" si="43"/>
        <v>0-2</v>
      </c>
      <c r="AK522">
        <v>2</v>
      </c>
    </row>
    <row r="523" spans="1:37" x14ac:dyDescent="0.25">
      <c r="A523" s="8">
        <v>522</v>
      </c>
      <c r="B523" t="s">
        <v>52</v>
      </c>
      <c r="C523" t="s">
        <v>54</v>
      </c>
      <c r="D523" s="8">
        <v>27</v>
      </c>
      <c r="E523" t="str">
        <f t="shared" si="44"/>
        <v>26-35</v>
      </c>
      <c r="F523" t="s">
        <v>46</v>
      </c>
      <c r="G523" t="s">
        <v>47</v>
      </c>
      <c r="H523" s="8" t="s">
        <v>40</v>
      </c>
      <c r="I523" s="10">
        <v>3</v>
      </c>
      <c r="J523" t="str">
        <f t="shared" si="40"/>
        <v>Near</v>
      </c>
      <c r="K523">
        <v>1</v>
      </c>
      <c r="L523" t="s">
        <v>53</v>
      </c>
      <c r="M523">
        <v>4</v>
      </c>
      <c r="N523">
        <v>4</v>
      </c>
      <c r="O523">
        <v>2</v>
      </c>
      <c r="P523" t="s">
        <v>42</v>
      </c>
      <c r="Q523">
        <v>4</v>
      </c>
      <c r="R523" s="11">
        <v>1410</v>
      </c>
      <c r="S523" s="14">
        <v>71</v>
      </c>
      <c r="T523" s="13">
        <v>4647</v>
      </c>
      <c r="U523" s="13">
        <f t="shared" si="41"/>
        <v>55764</v>
      </c>
      <c r="V523" s="14">
        <v>16673</v>
      </c>
      <c r="W523">
        <v>1</v>
      </c>
      <c r="X523" s="8" t="s">
        <v>38</v>
      </c>
      <c r="Y523" s="15">
        <v>0.2</v>
      </c>
      <c r="Z523">
        <v>4</v>
      </c>
      <c r="AA523">
        <v>2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 t="str">
        <f t="shared" si="42"/>
        <v>4-7</v>
      </c>
      <c r="AI523">
        <v>0</v>
      </c>
      <c r="AJ523" t="str">
        <f t="shared" si="43"/>
        <v>0-2</v>
      </c>
      <c r="AK523">
        <v>4</v>
      </c>
    </row>
    <row r="524" spans="1:37" x14ac:dyDescent="0.25">
      <c r="A524" s="8">
        <v>523</v>
      </c>
      <c r="B524" t="s">
        <v>44</v>
      </c>
      <c r="C524" t="s">
        <v>37</v>
      </c>
      <c r="D524" s="8">
        <v>37</v>
      </c>
      <c r="E524" t="str">
        <f t="shared" si="44"/>
        <v>36-45</v>
      </c>
      <c r="F524" t="s">
        <v>46</v>
      </c>
      <c r="G524" t="s">
        <v>39</v>
      </c>
      <c r="H524" s="8" t="s">
        <v>48</v>
      </c>
      <c r="I524" s="10">
        <v>10</v>
      </c>
      <c r="J524" t="str">
        <f t="shared" si="40"/>
        <v>Moderate</v>
      </c>
      <c r="K524">
        <v>2</v>
      </c>
      <c r="L524" t="s">
        <v>41</v>
      </c>
      <c r="M524">
        <v>4</v>
      </c>
      <c r="N524">
        <v>4</v>
      </c>
      <c r="O524">
        <v>1</v>
      </c>
      <c r="P524" t="s">
        <v>49</v>
      </c>
      <c r="Q524">
        <v>4</v>
      </c>
      <c r="R524" s="11">
        <v>1225</v>
      </c>
      <c r="S524" s="14">
        <v>80</v>
      </c>
      <c r="T524" s="13">
        <v>4680</v>
      </c>
      <c r="U524" s="13">
        <f t="shared" si="41"/>
        <v>56160</v>
      </c>
      <c r="V524" s="14">
        <v>15232</v>
      </c>
      <c r="W524">
        <v>3</v>
      </c>
      <c r="X524" s="8" t="s">
        <v>46</v>
      </c>
      <c r="Y524" s="15">
        <v>0.17</v>
      </c>
      <c r="Z524">
        <v>3</v>
      </c>
      <c r="AA524">
        <v>1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 t="str">
        <f t="shared" si="42"/>
        <v>0-3</v>
      </c>
      <c r="AI524">
        <v>0</v>
      </c>
      <c r="AJ524" t="str">
        <f t="shared" si="43"/>
        <v>0-2</v>
      </c>
      <c r="AK524">
        <v>0</v>
      </c>
    </row>
    <row r="525" spans="1:37" x14ac:dyDescent="0.25">
      <c r="A525" s="8">
        <v>524</v>
      </c>
      <c r="B525" t="s">
        <v>44</v>
      </c>
      <c r="C525" t="s">
        <v>45</v>
      </c>
      <c r="D525" s="8">
        <v>50</v>
      </c>
      <c r="E525" t="str">
        <f t="shared" si="44"/>
        <v>46-55</v>
      </c>
      <c r="F525" t="s">
        <v>46</v>
      </c>
      <c r="G525" t="s">
        <v>39</v>
      </c>
      <c r="H525" s="8" t="s">
        <v>48</v>
      </c>
      <c r="I525" s="10">
        <v>28</v>
      </c>
      <c r="J525" t="str">
        <f t="shared" si="40"/>
        <v>Far</v>
      </c>
      <c r="K525">
        <v>1</v>
      </c>
      <c r="L525" t="s">
        <v>53</v>
      </c>
      <c r="M525">
        <v>4</v>
      </c>
      <c r="N525">
        <v>4</v>
      </c>
      <c r="O525">
        <v>1</v>
      </c>
      <c r="P525" t="s">
        <v>51</v>
      </c>
      <c r="Q525">
        <v>3</v>
      </c>
      <c r="R525" s="11">
        <v>1207</v>
      </c>
      <c r="S525" s="14">
        <v>74</v>
      </c>
      <c r="T525" s="13">
        <v>3221</v>
      </c>
      <c r="U525" s="13">
        <f t="shared" si="41"/>
        <v>38652</v>
      </c>
      <c r="V525" s="14">
        <v>3297</v>
      </c>
      <c r="W525">
        <v>1</v>
      </c>
      <c r="X525" s="8" t="s">
        <v>38</v>
      </c>
      <c r="Y525" s="15">
        <v>0.11</v>
      </c>
      <c r="Z525">
        <v>3</v>
      </c>
      <c r="AA525">
        <v>3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 t="str">
        <f t="shared" si="42"/>
        <v>8-11</v>
      </c>
      <c r="AI525">
        <v>3</v>
      </c>
      <c r="AJ525" t="str">
        <f t="shared" si="43"/>
        <v>3-5</v>
      </c>
      <c r="AK525">
        <v>8</v>
      </c>
    </row>
    <row r="526" spans="1:37" x14ac:dyDescent="0.25">
      <c r="A526" s="8">
        <v>525</v>
      </c>
      <c r="B526" t="s">
        <v>52</v>
      </c>
      <c r="C526" t="s">
        <v>37</v>
      </c>
      <c r="D526" s="8">
        <v>34</v>
      </c>
      <c r="E526" t="str">
        <f t="shared" si="44"/>
        <v>26-35</v>
      </c>
      <c r="F526" t="s">
        <v>46</v>
      </c>
      <c r="G526" t="s">
        <v>39</v>
      </c>
      <c r="H526" s="8" t="s">
        <v>48</v>
      </c>
      <c r="I526" s="10">
        <v>9</v>
      </c>
      <c r="J526" t="str">
        <f t="shared" si="40"/>
        <v>Moderate</v>
      </c>
      <c r="K526">
        <v>3</v>
      </c>
      <c r="L526" t="s">
        <v>53</v>
      </c>
      <c r="M526">
        <v>4</v>
      </c>
      <c r="N526">
        <v>2</v>
      </c>
      <c r="O526">
        <v>3</v>
      </c>
      <c r="P526" t="s">
        <v>56</v>
      </c>
      <c r="Q526">
        <v>2</v>
      </c>
      <c r="R526" s="11">
        <v>1442</v>
      </c>
      <c r="S526" s="14">
        <v>46</v>
      </c>
      <c r="T526" s="13">
        <v>8621</v>
      </c>
      <c r="U526" s="13">
        <f t="shared" si="41"/>
        <v>103452</v>
      </c>
      <c r="V526" s="14">
        <v>17654</v>
      </c>
      <c r="W526">
        <v>1</v>
      </c>
      <c r="X526" s="8" t="s">
        <v>46</v>
      </c>
      <c r="Y526" s="15">
        <v>0.14000000000000001</v>
      </c>
      <c r="Z526">
        <v>3</v>
      </c>
      <c r="AA526">
        <v>2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 t="str">
        <f t="shared" si="42"/>
        <v>4-7</v>
      </c>
      <c r="AI526">
        <v>7</v>
      </c>
      <c r="AJ526" t="str">
        <f t="shared" si="43"/>
        <v>6-8</v>
      </c>
      <c r="AK526">
        <v>7</v>
      </c>
    </row>
    <row r="527" spans="1:37" x14ac:dyDescent="0.25">
      <c r="A527" s="8">
        <v>526</v>
      </c>
      <c r="B527" t="s">
        <v>52</v>
      </c>
      <c r="C527" t="s">
        <v>37</v>
      </c>
      <c r="D527" s="8">
        <v>24</v>
      </c>
      <c r="E527" t="str">
        <f t="shared" si="44"/>
        <v>18-25</v>
      </c>
      <c r="F527" t="s">
        <v>38</v>
      </c>
      <c r="G527" t="s">
        <v>39</v>
      </c>
      <c r="H527" s="8" t="s">
        <v>40</v>
      </c>
      <c r="I527" s="10">
        <v>3</v>
      </c>
      <c r="J527" t="str">
        <f t="shared" si="40"/>
        <v>Near</v>
      </c>
      <c r="K527">
        <v>2</v>
      </c>
      <c r="L527" t="s">
        <v>41</v>
      </c>
      <c r="M527">
        <v>1</v>
      </c>
      <c r="N527">
        <v>3</v>
      </c>
      <c r="O527">
        <v>2</v>
      </c>
      <c r="P527" t="s">
        <v>42</v>
      </c>
      <c r="Q527">
        <v>3</v>
      </c>
      <c r="R527" s="11">
        <v>693</v>
      </c>
      <c r="S527" s="14">
        <v>65</v>
      </c>
      <c r="T527" s="13">
        <v>4577</v>
      </c>
      <c r="U527" s="13">
        <f t="shared" si="41"/>
        <v>54924</v>
      </c>
      <c r="V527" s="14">
        <v>24785</v>
      </c>
      <c r="W527">
        <v>9</v>
      </c>
      <c r="X527" s="8" t="s">
        <v>46</v>
      </c>
      <c r="Y527" s="15">
        <v>0.14000000000000001</v>
      </c>
      <c r="Z527">
        <v>3</v>
      </c>
      <c r="AA527">
        <v>1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 t="str">
        <f t="shared" si="42"/>
        <v>0-3</v>
      </c>
      <c r="AI527">
        <v>2</v>
      </c>
      <c r="AJ527" t="str">
        <f t="shared" si="43"/>
        <v>0-2</v>
      </c>
      <c r="AK527">
        <v>0</v>
      </c>
    </row>
    <row r="528" spans="1:37" x14ac:dyDescent="0.25">
      <c r="A528" s="8">
        <v>527</v>
      </c>
      <c r="B528" t="s">
        <v>52</v>
      </c>
      <c r="C528" t="s">
        <v>37</v>
      </c>
      <c r="D528" s="8">
        <v>39</v>
      </c>
      <c r="E528" t="str">
        <f t="shared" si="44"/>
        <v>36-45</v>
      </c>
      <c r="F528" t="s">
        <v>46</v>
      </c>
      <c r="G528" t="s">
        <v>39</v>
      </c>
      <c r="H528" s="8" t="s">
        <v>48</v>
      </c>
      <c r="I528" s="10">
        <v>2</v>
      </c>
      <c r="J528" t="str">
        <f t="shared" si="40"/>
        <v>Near</v>
      </c>
      <c r="K528">
        <v>4</v>
      </c>
      <c r="L528" t="s">
        <v>63</v>
      </c>
      <c r="M528">
        <v>4</v>
      </c>
      <c r="N528">
        <v>2</v>
      </c>
      <c r="O528">
        <v>2</v>
      </c>
      <c r="P528" t="s">
        <v>56</v>
      </c>
      <c r="Q528">
        <v>3</v>
      </c>
      <c r="R528" s="11">
        <v>408</v>
      </c>
      <c r="S528" s="14">
        <v>80</v>
      </c>
      <c r="T528" s="13">
        <v>4553</v>
      </c>
      <c r="U528" s="13">
        <f t="shared" si="41"/>
        <v>54636</v>
      </c>
      <c r="V528" s="14">
        <v>20978</v>
      </c>
      <c r="W528">
        <v>1</v>
      </c>
      <c r="X528" s="8" t="s">
        <v>46</v>
      </c>
      <c r="Y528" s="15">
        <v>0.11</v>
      </c>
      <c r="Z528">
        <v>3</v>
      </c>
      <c r="AA528">
        <v>1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 t="str">
        <f t="shared" si="42"/>
        <v>4-7</v>
      </c>
      <c r="AI528">
        <v>11</v>
      </c>
      <c r="AJ528" t="str">
        <f t="shared" si="43"/>
        <v>9-11</v>
      </c>
      <c r="AK528">
        <v>10</v>
      </c>
    </row>
    <row r="529" spans="1:37" x14ac:dyDescent="0.25">
      <c r="A529" s="8">
        <v>528</v>
      </c>
      <c r="B529" t="s">
        <v>44</v>
      </c>
      <c r="C529" t="s">
        <v>37</v>
      </c>
      <c r="D529" s="8">
        <v>32</v>
      </c>
      <c r="E529" t="str">
        <f t="shared" si="44"/>
        <v>26-35</v>
      </c>
      <c r="F529" t="s">
        <v>46</v>
      </c>
      <c r="G529" t="s">
        <v>39</v>
      </c>
      <c r="H529" s="8" t="s">
        <v>40</v>
      </c>
      <c r="I529" s="10">
        <v>10</v>
      </c>
      <c r="J529" t="str">
        <f t="shared" si="40"/>
        <v>Moderate</v>
      </c>
      <c r="K529">
        <v>3</v>
      </c>
      <c r="L529" t="s">
        <v>62</v>
      </c>
      <c r="M529">
        <v>4</v>
      </c>
      <c r="N529">
        <v>3</v>
      </c>
      <c r="O529">
        <v>2</v>
      </c>
      <c r="P529" t="s">
        <v>42</v>
      </c>
      <c r="Q529">
        <v>4</v>
      </c>
      <c r="R529" s="11">
        <v>929</v>
      </c>
      <c r="S529" s="14">
        <v>55</v>
      </c>
      <c r="T529" s="13">
        <v>5396</v>
      </c>
      <c r="U529" s="13">
        <f t="shared" si="41"/>
        <v>64752</v>
      </c>
      <c r="V529" s="14">
        <v>21703</v>
      </c>
      <c r="W529">
        <v>1</v>
      </c>
      <c r="X529" s="8" t="s">
        <v>46</v>
      </c>
      <c r="Y529" s="15">
        <v>0.12</v>
      </c>
      <c r="Z529">
        <v>3</v>
      </c>
      <c r="AA529">
        <v>4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 t="str">
        <f t="shared" si="42"/>
        <v>4-7</v>
      </c>
      <c r="AI529">
        <v>0</v>
      </c>
      <c r="AJ529" t="str">
        <f t="shared" si="43"/>
        <v>0-2</v>
      </c>
      <c r="AK529">
        <v>8</v>
      </c>
    </row>
    <row r="530" spans="1:37" x14ac:dyDescent="0.25">
      <c r="A530" s="8">
        <v>529</v>
      </c>
      <c r="B530" t="s">
        <v>44</v>
      </c>
      <c r="C530" t="s">
        <v>45</v>
      </c>
      <c r="D530" s="8">
        <v>50</v>
      </c>
      <c r="E530" t="str">
        <f t="shared" si="44"/>
        <v>46-55</v>
      </c>
      <c r="F530" t="s">
        <v>38</v>
      </c>
      <c r="G530" t="s">
        <v>47</v>
      </c>
      <c r="H530" s="8" t="s">
        <v>40</v>
      </c>
      <c r="I530" s="10">
        <v>8</v>
      </c>
      <c r="J530" t="str">
        <f t="shared" si="40"/>
        <v>Moderate</v>
      </c>
      <c r="K530">
        <v>2</v>
      </c>
      <c r="L530" t="s">
        <v>63</v>
      </c>
      <c r="M530">
        <v>2</v>
      </c>
      <c r="N530">
        <v>3</v>
      </c>
      <c r="O530">
        <v>2</v>
      </c>
      <c r="P530" t="s">
        <v>42</v>
      </c>
      <c r="Q530">
        <v>3</v>
      </c>
      <c r="R530" s="11">
        <v>562</v>
      </c>
      <c r="S530" s="14">
        <v>50</v>
      </c>
      <c r="T530" s="13">
        <v>6796</v>
      </c>
      <c r="U530" s="13">
        <f t="shared" si="41"/>
        <v>81552</v>
      </c>
      <c r="V530" s="14">
        <v>23452</v>
      </c>
      <c r="W530">
        <v>3</v>
      </c>
      <c r="X530" s="8" t="s">
        <v>38</v>
      </c>
      <c r="Y530" s="15">
        <v>0.14000000000000001</v>
      </c>
      <c r="Z530">
        <v>3</v>
      </c>
      <c r="AA530">
        <v>1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 t="str">
        <f t="shared" si="42"/>
        <v>0-3</v>
      </c>
      <c r="AI530">
        <v>1</v>
      </c>
      <c r="AJ530" t="str">
        <f t="shared" si="43"/>
        <v>0-2</v>
      </c>
      <c r="AK530">
        <v>3</v>
      </c>
    </row>
    <row r="531" spans="1:37" x14ac:dyDescent="0.25">
      <c r="A531" s="8">
        <v>530</v>
      </c>
      <c r="B531" t="s">
        <v>52</v>
      </c>
      <c r="C531" t="s">
        <v>37</v>
      </c>
      <c r="D531" s="8">
        <v>38</v>
      </c>
      <c r="E531" t="str">
        <f t="shared" si="44"/>
        <v>36-45</v>
      </c>
      <c r="F531" t="s">
        <v>46</v>
      </c>
      <c r="G531" t="s">
        <v>39</v>
      </c>
      <c r="H531" s="8" t="s">
        <v>48</v>
      </c>
      <c r="I531" s="10">
        <v>1</v>
      </c>
      <c r="J531" t="str">
        <f t="shared" si="40"/>
        <v>Near</v>
      </c>
      <c r="K531">
        <v>4</v>
      </c>
      <c r="L531" t="s">
        <v>41</v>
      </c>
      <c r="M531">
        <v>2</v>
      </c>
      <c r="N531">
        <v>4</v>
      </c>
      <c r="O531">
        <v>2</v>
      </c>
      <c r="P531" t="s">
        <v>56</v>
      </c>
      <c r="Q531">
        <v>4</v>
      </c>
      <c r="R531" s="11">
        <v>827</v>
      </c>
      <c r="S531" s="14">
        <v>33</v>
      </c>
      <c r="T531" s="13">
        <v>7625</v>
      </c>
      <c r="U531" s="13">
        <f t="shared" si="41"/>
        <v>91500</v>
      </c>
      <c r="V531" s="14">
        <v>19383</v>
      </c>
      <c r="W531">
        <v>0</v>
      </c>
      <c r="X531" s="8" t="s">
        <v>46</v>
      </c>
      <c r="Y531" s="15">
        <v>0.13</v>
      </c>
      <c r="Z531">
        <v>3</v>
      </c>
      <c r="AA531">
        <v>3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 t="str">
        <f t="shared" si="42"/>
        <v>4-7</v>
      </c>
      <c r="AI531">
        <v>1</v>
      </c>
      <c r="AJ531" t="str">
        <f t="shared" si="43"/>
        <v>0-2</v>
      </c>
      <c r="AK531">
        <v>8</v>
      </c>
    </row>
    <row r="532" spans="1:37" x14ac:dyDescent="0.25">
      <c r="A532" s="8">
        <v>531</v>
      </c>
      <c r="B532" t="s">
        <v>52</v>
      </c>
      <c r="C532" t="s">
        <v>45</v>
      </c>
      <c r="D532" s="8">
        <v>27</v>
      </c>
      <c r="E532" t="str">
        <f t="shared" si="44"/>
        <v>26-35</v>
      </c>
      <c r="F532" t="s">
        <v>46</v>
      </c>
      <c r="G532" t="s">
        <v>39</v>
      </c>
      <c r="H532" s="8" t="s">
        <v>48</v>
      </c>
      <c r="I532" s="10">
        <v>1</v>
      </c>
      <c r="J532" t="str">
        <f t="shared" si="40"/>
        <v>Near</v>
      </c>
      <c r="K532">
        <v>2</v>
      </c>
      <c r="L532" t="s">
        <v>41</v>
      </c>
      <c r="M532">
        <v>3</v>
      </c>
      <c r="N532">
        <v>3</v>
      </c>
      <c r="O532">
        <v>3</v>
      </c>
      <c r="P532" t="s">
        <v>55</v>
      </c>
      <c r="Q532">
        <v>1</v>
      </c>
      <c r="R532" s="11">
        <v>608</v>
      </c>
      <c r="S532" s="14">
        <v>68</v>
      </c>
      <c r="T532" s="13">
        <v>7412</v>
      </c>
      <c r="U532" s="13">
        <f t="shared" si="41"/>
        <v>88944</v>
      </c>
      <c r="V532" s="14">
        <v>6009</v>
      </c>
      <c r="W532">
        <v>1</v>
      </c>
      <c r="X532" s="8" t="s">
        <v>46</v>
      </c>
      <c r="Y532" s="15">
        <v>0.11</v>
      </c>
      <c r="Z532">
        <v>3</v>
      </c>
      <c r="AA532">
        <v>4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 t="str">
        <f t="shared" si="42"/>
        <v>4-7</v>
      </c>
      <c r="AI532">
        <v>0</v>
      </c>
      <c r="AJ532" t="str">
        <f t="shared" si="43"/>
        <v>0-2</v>
      </c>
      <c r="AK532">
        <v>7</v>
      </c>
    </row>
    <row r="533" spans="1:37" x14ac:dyDescent="0.25">
      <c r="A533" s="8">
        <v>532</v>
      </c>
      <c r="B533" t="s">
        <v>52</v>
      </c>
      <c r="C533" t="s">
        <v>37</v>
      </c>
      <c r="D533" s="8">
        <v>32</v>
      </c>
      <c r="E533" t="str">
        <f t="shared" si="44"/>
        <v>26-35</v>
      </c>
      <c r="F533" t="s">
        <v>46</v>
      </c>
      <c r="G533" t="s">
        <v>39</v>
      </c>
      <c r="H533" s="8" t="s">
        <v>48</v>
      </c>
      <c r="I533" s="10">
        <v>3</v>
      </c>
      <c r="J533" t="str">
        <f t="shared" si="40"/>
        <v>Near</v>
      </c>
      <c r="K533">
        <v>2</v>
      </c>
      <c r="L533" t="s">
        <v>41</v>
      </c>
      <c r="M533">
        <v>3</v>
      </c>
      <c r="N533">
        <v>3</v>
      </c>
      <c r="O533">
        <v>3</v>
      </c>
      <c r="P533" t="s">
        <v>61</v>
      </c>
      <c r="Q533">
        <v>4</v>
      </c>
      <c r="R533" s="11">
        <v>1018</v>
      </c>
      <c r="S533" s="14">
        <v>39</v>
      </c>
      <c r="T533" s="13">
        <v>11159</v>
      </c>
      <c r="U533" s="13">
        <f t="shared" si="41"/>
        <v>133908</v>
      </c>
      <c r="V533" s="14">
        <v>19373</v>
      </c>
      <c r="W533">
        <v>3</v>
      </c>
      <c r="X533" s="8" t="s">
        <v>46</v>
      </c>
      <c r="Y533" s="15">
        <v>0.15</v>
      </c>
      <c r="Z533">
        <v>3</v>
      </c>
      <c r="AA533">
        <v>4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 t="str">
        <f t="shared" si="42"/>
        <v>4-7</v>
      </c>
      <c r="AI533">
        <v>7</v>
      </c>
      <c r="AJ533" t="str">
        <f t="shared" si="43"/>
        <v>6-8</v>
      </c>
      <c r="AK533">
        <v>7</v>
      </c>
    </row>
    <row r="534" spans="1:37" x14ac:dyDescent="0.25">
      <c r="A534" s="8">
        <v>533</v>
      </c>
      <c r="B534" t="s">
        <v>44</v>
      </c>
      <c r="C534" t="s">
        <v>37</v>
      </c>
      <c r="D534" s="8">
        <v>47</v>
      </c>
      <c r="E534" t="str">
        <f t="shared" si="44"/>
        <v>46-55</v>
      </c>
      <c r="F534" t="s">
        <v>46</v>
      </c>
      <c r="G534" t="s">
        <v>39</v>
      </c>
      <c r="H534" s="8" t="s">
        <v>40</v>
      </c>
      <c r="I534" s="10">
        <v>14</v>
      </c>
      <c r="J534" t="str">
        <f t="shared" si="40"/>
        <v>Moderate</v>
      </c>
      <c r="K534">
        <v>4</v>
      </c>
      <c r="L534" t="s">
        <v>62</v>
      </c>
      <c r="M534">
        <v>4</v>
      </c>
      <c r="N534">
        <v>3</v>
      </c>
      <c r="O534">
        <v>2</v>
      </c>
      <c r="P534" t="s">
        <v>42</v>
      </c>
      <c r="Q534">
        <v>1</v>
      </c>
      <c r="R534" s="11">
        <v>703</v>
      </c>
      <c r="S534" s="14">
        <v>42</v>
      </c>
      <c r="T534" s="13">
        <v>4960</v>
      </c>
      <c r="U534" s="13">
        <f t="shared" si="41"/>
        <v>59520</v>
      </c>
      <c r="V534" s="14">
        <v>11825</v>
      </c>
      <c r="W534">
        <v>2</v>
      </c>
      <c r="X534" s="8" t="s">
        <v>46</v>
      </c>
      <c r="Y534" s="15">
        <v>0.12</v>
      </c>
      <c r="Z534">
        <v>3</v>
      </c>
      <c r="AA534">
        <v>4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 t="str">
        <f t="shared" si="42"/>
        <v>4-7</v>
      </c>
      <c r="AI534">
        <v>1</v>
      </c>
      <c r="AJ534" t="str">
        <f t="shared" si="43"/>
        <v>0-2</v>
      </c>
      <c r="AK534">
        <v>7</v>
      </c>
    </row>
    <row r="535" spans="1:37" x14ac:dyDescent="0.25">
      <c r="A535" s="8">
        <v>534</v>
      </c>
      <c r="B535" t="s">
        <v>44</v>
      </c>
      <c r="C535" t="s">
        <v>45</v>
      </c>
      <c r="D535" s="8">
        <v>40</v>
      </c>
      <c r="E535" t="str">
        <f t="shared" si="44"/>
        <v>36-45</v>
      </c>
      <c r="F535" t="s">
        <v>46</v>
      </c>
      <c r="G535" t="s">
        <v>47</v>
      </c>
      <c r="H535" s="8" t="s">
        <v>40</v>
      </c>
      <c r="I535" s="10">
        <v>5</v>
      </c>
      <c r="J535" t="str">
        <f t="shared" si="40"/>
        <v>Near</v>
      </c>
      <c r="K535">
        <v>4</v>
      </c>
      <c r="L535" t="s">
        <v>41</v>
      </c>
      <c r="M535">
        <v>4</v>
      </c>
      <c r="N535">
        <v>2</v>
      </c>
      <c r="O535">
        <v>3</v>
      </c>
      <c r="P535" t="s">
        <v>42</v>
      </c>
      <c r="Q535">
        <v>1</v>
      </c>
      <c r="R535" s="11">
        <v>580</v>
      </c>
      <c r="S535" s="14">
        <v>48</v>
      </c>
      <c r="T535" s="13">
        <v>10475</v>
      </c>
      <c r="U535" s="13">
        <f t="shared" si="41"/>
        <v>125700</v>
      </c>
      <c r="V535" s="14">
        <v>23772</v>
      </c>
      <c r="W535">
        <v>5</v>
      </c>
      <c r="X535" s="8" t="s">
        <v>38</v>
      </c>
      <c r="Y535" s="15">
        <v>0.21</v>
      </c>
      <c r="Z535">
        <v>4</v>
      </c>
      <c r="AA535">
        <v>3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 t="str">
        <f t="shared" si="42"/>
        <v>12-15</v>
      </c>
      <c r="AI535">
        <v>1</v>
      </c>
      <c r="AJ535" t="str">
        <f t="shared" si="43"/>
        <v>0-2</v>
      </c>
      <c r="AK535">
        <v>12</v>
      </c>
    </row>
    <row r="536" spans="1:37" x14ac:dyDescent="0.25">
      <c r="A536" s="8">
        <v>535</v>
      </c>
      <c r="B536" t="s">
        <v>44</v>
      </c>
      <c r="C536" t="s">
        <v>45</v>
      </c>
      <c r="D536" s="8">
        <v>53</v>
      </c>
      <c r="E536" t="str">
        <f t="shared" si="44"/>
        <v>46-55</v>
      </c>
      <c r="F536" t="s">
        <v>46</v>
      </c>
      <c r="G536" t="s">
        <v>39</v>
      </c>
      <c r="H536" s="8" t="s">
        <v>48</v>
      </c>
      <c r="I536" s="10">
        <v>7</v>
      </c>
      <c r="J536" t="str">
        <f t="shared" si="40"/>
        <v>Moderate</v>
      </c>
      <c r="K536">
        <v>3</v>
      </c>
      <c r="L536" t="s">
        <v>41</v>
      </c>
      <c r="M536">
        <v>3</v>
      </c>
      <c r="N536">
        <v>4</v>
      </c>
      <c r="O536">
        <v>4</v>
      </c>
      <c r="P536" t="s">
        <v>61</v>
      </c>
      <c r="Q536">
        <v>3</v>
      </c>
      <c r="R536" s="11">
        <v>970</v>
      </c>
      <c r="S536" s="14">
        <v>59</v>
      </c>
      <c r="T536" s="13">
        <v>14814</v>
      </c>
      <c r="U536" s="13">
        <f t="shared" si="41"/>
        <v>177768</v>
      </c>
      <c r="V536" s="14">
        <v>13514</v>
      </c>
      <c r="W536">
        <v>3</v>
      </c>
      <c r="X536" s="8" t="s">
        <v>46</v>
      </c>
      <c r="Y536" s="15">
        <v>0.19</v>
      </c>
      <c r="Z536">
        <v>3</v>
      </c>
      <c r="AA536">
        <v>3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 t="str">
        <f t="shared" si="42"/>
        <v>0-3</v>
      </c>
      <c r="AI536">
        <v>1</v>
      </c>
      <c r="AJ536" t="str">
        <f t="shared" si="43"/>
        <v>0-2</v>
      </c>
      <c r="AK536">
        <v>3</v>
      </c>
    </row>
    <row r="537" spans="1:37" x14ac:dyDescent="0.25">
      <c r="A537" s="8">
        <v>536</v>
      </c>
      <c r="B537" t="s">
        <v>44</v>
      </c>
      <c r="C537" t="s">
        <v>54</v>
      </c>
      <c r="D537" s="8">
        <v>41</v>
      </c>
      <c r="E537" t="str">
        <f t="shared" si="44"/>
        <v>36-45</v>
      </c>
      <c r="F537" t="s">
        <v>46</v>
      </c>
      <c r="G537" t="s">
        <v>39</v>
      </c>
      <c r="H537" s="8" t="s">
        <v>64</v>
      </c>
      <c r="I537" s="10">
        <v>10</v>
      </c>
      <c r="J537" t="str">
        <f t="shared" si="40"/>
        <v>Moderate</v>
      </c>
      <c r="K537">
        <v>4</v>
      </c>
      <c r="L537" t="s">
        <v>64</v>
      </c>
      <c r="M537">
        <v>2</v>
      </c>
      <c r="N537">
        <v>2</v>
      </c>
      <c r="O537">
        <v>5</v>
      </c>
      <c r="P537" t="s">
        <v>59</v>
      </c>
      <c r="Q537">
        <v>4</v>
      </c>
      <c r="R537" s="11">
        <v>427</v>
      </c>
      <c r="S537" s="14">
        <v>73</v>
      </c>
      <c r="T537" s="13">
        <v>19141</v>
      </c>
      <c r="U537" s="13">
        <f t="shared" si="41"/>
        <v>229692</v>
      </c>
      <c r="V537" s="14">
        <v>8861</v>
      </c>
      <c r="W537">
        <v>3</v>
      </c>
      <c r="X537" s="8" t="s">
        <v>46</v>
      </c>
      <c r="Y537" s="15">
        <v>0.15</v>
      </c>
      <c r="Z537">
        <v>3</v>
      </c>
      <c r="AA537">
        <v>2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 t="str">
        <f t="shared" si="42"/>
        <v>4-7</v>
      </c>
      <c r="AI537">
        <v>12</v>
      </c>
      <c r="AJ537" t="str">
        <f t="shared" si="43"/>
        <v>12-15</v>
      </c>
      <c r="AK537">
        <v>6</v>
      </c>
    </row>
    <row r="538" spans="1:37" x14ac:dyDescent="0.25">
      <c r="A538" s="8">
        <v>537</v>
      </c>
      <c r="B538" t="s">
        <v>44</v>
      </c>
      <c r="C538" t="s">
        <v>37</v>
      </c>
      <c r="D538" s="8">
        <v>60</v>
      </c>
      <c r="E538" t="str">
        <f t="shared" si="44"/>
        <v>55+</v>
      </c>
      <c r="F538" t="s">
        <v>46</v>
      </c>
      <c r="G538" t="s">
        <v>39</v>
      </c>
      <c r="H538" s="8" t="s">
        <v>40</v>
      </c>
      <c r="I538" s="10">
        <v>16</v>
      </c>
      <c r="J538" t="str">
        <f t="shared" si="40"/>
        <v>Far</v>
      </c>
      <c r="K538">
        <v>4</v>
      </c>
      <c r="L538" t="s">
        <v>62</v>
      </c>
      <c r="M538">
        <v>1</v>
      </c>
      <c r="N538">
        <v>3</v>
      </c>
      <c r="O538">
        <v>2</v>
      </c>
      <c r="P538" t="s">
        <v>42</v>
      </c>
      <c r="Q538">
        <v>1</v>
      </c>
      <c r="R538" s="11">
        <v>1179</v>
      </c>
      <c r="S538" s="14">
        <v>84</v>
      </c>
      <c r="T538" s="13">
        <v>5405</v>
      </c>
      <c r="U538" s="13">
        <f t="shared" si="41"/>
        <v>64860</v>
      </c>
      <c r="V538" s="14">
        <v>11924</v>
      </c>
      <c r="W538">
        <v>8</v>
      </c>
      <c r="X538" s="8" t="s">
        <v>46</v>
      </c>
      <c r="Y538" s="15">
        <v>0.14000000000000001</v>
      </c>
      <c r="Z538">
        <v>3</v>
      </c>
      <c r="AA538">
        <v>4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 t="str">
        <f t="shared" si="42"/>
        <v>0-3</v>
      </c>
      <c r="AI538">
        <v>2</v>
      </c>
      <c r="AJ538" t="str">
        <f t="shared" si="43"/>
        <v>0-2</v>
      </c>
      <c r="AK538">
        <v>2</v>
      </c>
    </row>
    <row r="539" spans="1:37" x14ac:dyDescent="0.25">
      <c r="A539" s="8">
        <v>538</v>
      </c>
      <c r="B539" t="s">
        <v>44</v>
      </c>
      <c r="C539" t="s">
        <v>54</v>
      </c>
      <c r="D539" s="8">
        <v>27</v>
      </c>
      <c r="E539" t="str">
        <f t="shared" si="44"/>
        <v>26-35</v>
      </c>
      <c r="F539" t="s">
        <v>46</v>
      </c>
      <c r="G539" t="s">
        <v>47</v>
      </c>
      <c r="H539" s="8" t="s">
        <v>48</v>
      </c>
      <c r="I539" s="10">
        <v>10</v>
      </c>
      <c r="J539" t="str">
        <f t="shared" si="40"/>
        <v>Moderate</v>
      </c>
      <c r="K539">
        <v>2</v>
      </c>
      <c r="L539" t="s">
        <v>41</v>
      </c>
      <c r="M539">
        <v>4</v>
      </c>
      <c r="N539">
        <v>3</v>
      </c>
      <c r="O539">
        <v>3</v>
      </c>
      <c r="P539" t="s">
        <v>55</v>
      </c>
      <c r="Q539">
        <v>1</v>
      </c>
      <c r="R539" s="11">
        <v>294</v>
      </c>
      <c r="S539" s="14">
        <v>32</v>
      </c>
      <c r="T539" s="13">
        <v>8793</v>
      </c>
      <c r="U539" s="13">
        <f t="shared" si="41"/>
        <v>105516</v>
      </c>
      <c r="V539" s="14">
        <v>4809</v>
      </c>
      <c r="W539">
        <v>1</v>
      </c>
      <c r="X539" s="8" t="s">
        <v>46</v>
      </c>
      <c r="Y539" s="15">
        <v>0.21</v>
      </c>
      <c r="Z539">
        <v>4</v>
      </c>
      <c r="AA539">
        <v>3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 t="str">
        <f t="shared" si="42"/>
        <v>4-7</v>
      </c>
      <c r="AI539">
        <v>1</v>
      </c>
      <c r="AJ539" t="str">
        <f t="shared" si="43"/>
        <v>0-2</v>
      </c>
      <c r="AK539">
        <v>7</v>
      </c>
    </row>
    <row r="540" spans="1:37" x14ac:dyDescent="0.25">
      <c r="A540" s="8">
        <v>539</v>
      </c>
      <c r="B540" t="s">
        <v>44</v>
      </c>
      <c r="C540" t="s">
        <v>45</v>
      </c>
      <c r="D540" s="8">
        <v>41</v>
      </c>
      <c r="E540" t="str">
        <f t="shared" si="44"/>
        <v>36-45</v>
      </c>
      <c r="F540" t="s">
        <v>46</v>
      </c>
      <c r="G540" t="s">
        <v>39</v>
      </c>
      <c r="H540" s="8" t="s">
        <v>64</v>
      </c>
      <c r="I540" s="10">
        <v>1</v>
      </c>
      <c r="J540" t="str">
        <f t="shared" si="40"/>
        <v>Near</v>
      </c>
      <c r="K540">
        <v>3</v>
      </c>
      <c r="L540" t="s">
        <v>64</v>
      </c>
      <c r="M540">
        <v>4</v>
      </c>
      <c r="N540">
        <v>2</v>
      </c>
      <c r="O540">
        <v>5</v>
      </c>
      <c r="P540" t="s">
        <v>59</v>
      </c>
      <c r="Q540">
        <v>3</v>
      </c>
      <c r="R540" s="11">
        <v>314</v>
      </c>
      <c r="S540" s="14">
        <v>59</v>
      </c>
      <c r="T540" s="13">
        <v>19189</v>
      </c>
      <c r="U540" s="13">
        <f t="shared" si="41"/>
        <v>230268</v>
      </c>
      <c r="V540" s="14">
        <v>19562</v>
      </c>
      <c r="W540">
        <v>1</v>
      </c>
      <c r="X540" s="8" t="s">
        <v>46</v>
      </c>
      <c r="Y540" s="15">
        <v>0.12</v>
      </c>
      <c r="Z540">
        <v>3</v>
      </c>
      <c r="AA540">
        <v>2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 t="str">
        <f t="shared" si="42"/>
        <v>4-7</v>
      </c>
      <c r="AI540">
        <v>2</v>
      </c>
      <c r="AJ540" t="str">
        <f t="shared" si="43"/>
        <v>0-2</v>
      </c>
      <c r="AK540">
        <v>10</v>
      </c>
    </row>
    <row r="541" spans="1:37" x14ac:dyDescent="0.25">
      <c r="A541" s="8">
        <v>540</v>
      </c>
      <c r="B541" t="s">
        <v>44</v>
      </c>
      <c r="C541" t="s">
        <v>45</v>
      </c>
      <c r="D541" s="8">
        <v>50</v>
      </c>
      <c r="E541" t="str">
        <f t="shared" si="44"/>
        <v>46-55</v>
      </c>
      <c r="F541" t="s">
        <v>46</v>
      </c>
      <c r="G541" t="s">
        <v>39</v>
      </c>
      <c r="H541" s="8" t="s">
        <v>40</v>
      </c>
      <c r="I541" s="10">
        <v>8</v>
      </c>
      <c r="J541" t="str">
        <f t="shared" si="40"/>
        <v>Moderate</v>
      </c>
      <c r="K541">
        <v>4</v>
      </c>
      <c r="L541" t="s">
        <v>62</v>
      </c>
      <c r="M541">
        <v>4</v>
      </c>
      <c r="N541">
        <v>3</v>
      </c>
      <c r="O541">
        <v>1</v>
      </c>
      <c r="P541" t="s">
        <v>60</v>
      </c>
      <c r="Q541">
        <v>2</v>
      </c>
      <c r="R541" s="11">
        <v>316</v>
      </c>
      <c r="S541" s="14">
        <v>54</v>
      </c>
      <c r="T541" s="13">
        <v>3875</v>
      </c>
      <c r="U541" s="13">
        <f t="shared" si="41"/>
        <v>46500</v>
      </c>
      <c r="V541" s="14">
        <v>9983</v>
      </c>
      <c r="W541">
        <v>7</v>
      </c>
      <c r="X541" s="8" t="s">
        <v>46</v>
      </c>
      <c r="Y541" s="15">
        <v>0.15</v>
      </c>
      <c r="Z541">
        <v>3</v>
      </c>
      <c r="AA541">
        <v>4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 t="str">
        <f t="shared" si="42"/>
        <v>0-3</v>
      </c>
      <c r="AI541">
        <v>2</v>
      </c>
      <c r="AJ541" t="str">
        <f t="shared" si="43"/>
        <v>0-2</v>
      </c>
      <c r="AK541">
        <v>2</v>
      </c>
    </row>
    <row r="542" spans="1:37" x14ac:dyDescent="0.25">
      <c r="A542" s="8">
        <v>541</v>
      </c>
      <c r="B542" t="s">
        <v>52</v>
      </c>
      <c r="C542" t="s">
        <v>37</v>
      </c>
      <c r="D542" s="8">
        <v>28</v>
      </c>
      <c r="E542" t="str">
        <f t="shared" si="44"/>
        <v>26-35</v>
      </c>
      <c r="F542" t="s">
        <v>38</v>
      </c>
      <c r="G542" t="s">
        <v>39</v>
      </c>
      <c r="H542" s="8" t="s">
        <v>48</v>
      </c>
      <c r="I542" s="10">
        <v>1</v>
      </c>
      <c r="J542" t="str">
        <f t="shared" si="40"/>
        <v>Near</v>
      </c>
      <c r="K542">
        <v>2</v>
      </c>
      <c r="L542" t="s">
        <v>41</v>
      </c>
      <c r="M542">
        <v>1</v>
      </c>
      <c r="N542">
        <v>1</v>
      </c>
      <c r="O542">
        <v>1</v>
      </c>
      <c r="P542" t="s">
        <v>49</v>
      </c>
      <c r="Q542">
        <v>2</v>
      </c>
      <c r="R542" s="11">
        <v>654</v>
      </c>
      <c r="S542" s="14">
        <v>67</v>
      </c>
      <c r="T542" s="13">
        <v>2216</v>
      </c>
      <c r="U542" s="13">
        <f t="shared" si="41"/>
        <v>26592</v>
      </c>
      <c r="V542" s="14">
        <v>3872</v>
      </c>
      <c r="W542">
        <v>7</v>
      </c>
      <c r="X542" s="8" t="s">
        <v>38</v>
      </c>
      <c r="Y542" s="15">
        <v>0.13</v>
      </c>
      <c r="Z542">
        <v>3</v>
      </c>
      <c r="AA542">
        <v>4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 t="str">
        <f t="shared" si="42"/>
        <v>4-7</v>
      </c>
      <c r="AI542">
        <v>3</v>
      </c>
      <c r="AJ542" t="str">
        <f t="shared" si="43"/>
        <v>3-5</v>
      </c>
      <c r="AK542">
        <v>7</v>
      </c>
    </row>
    <row r="543" spans="1:37" x14ac:dyDescent="0.25">
      <c r="A543" s="8">
        <v>542</v>
      </c>
      <c r="B543" t="s">
        <v>52</v>
      </c>
      <c r="C543" t="s">
        <v>45</v>
      </c>
      <c r="D543" s="8">
        <v>36</v>
      </c>
      <c r="E543" t="str">
        <f t="shared" si="44"/>
        <v>36-45</v>
      </c>
      <c r="F543" t="s">
        <v>46</v>
      </c>
      <c r="G543" t="s">
        <v>58</v>
      </c>
      <c r="H543" s="8" t="s">
        <v>48</v>
      </c>
      <c r="I543" s="10">
        <v>8</v>
      </c>
      <c r="J543" t="str">
        <f t="shared" si="40"/>
        <v>Moderate</v>
      </c>
      <c r="K543">
        <v>3</v>
      </c>
      <c r="L543" t="s">
        <v>41</v>
      </c>
      <c r="M543">
        <v>1</v>
      </c>
      <c r="N543">
        <v>4</v>
      </c>
      <c r="O543">
        <v>3</v>
      </c>
      <c r="P543" t="s">
        <v>61</v>
      </c>
      <c r="Q543">
        <v>1</v>
      </c>
      <c r="R543" s="11">
        <v>427</v>
      </c>
      <c r="S543" s="14">
        <v>63</v>
      </c>
      <c r="T543" s="13">
        <v>11713</v>
      </c>
      <c r="U543" s="13">
        <f t="shared" si="41"/>
        <v>140556</v>
      </c>
      <c r="V543" s="14">
        <v>20335</v>
      </c>
      <c r="W543">
        <v>9</v>
      </c>
      <c r="X543" s="8" t="s">
        <v>46</v>
      </c>
      <c r="Y543" s="15">
        <v>0.14000000000000001</v>
      </c>
      <c r="Z543">
        <v>3</v>
      </c>
      <c r="AA543">
        <v>1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 t="str">
        <f t="shared" si="42"/>
        <v>4-7</v>
      </c>
      <c r="AI543">
        <v>0</v>
      </c>
      <c r="AJ543" t="str">
        <f t="shared" si="43"/>
        <v>0-2</v>
      </c>
      <c r="AK543">
        <v>5</v>
      </c>
    </row>
    <row r="544" spans="1:37" x14ac:dyDescent="0.25">
      <c r="A544" s="8">
        <v>543</v>
      </c>
      <c r="B544" t="s">
        <v>52</v>
      </c>
      <c r="C544" t="s">
        <v>37</v>
      </c>
      <c r="D544" s="8">
        <v>38</v>
      </c>
      <c r="E544" t="str">
        <f t="shared" si="44"/>
        <v>36-45</v>
      </c>
      <c r="F544" t="s">
        <v>46</v>
      </c>
      <c r="G544" t="s">
        <v>39</v>
      </c>
      <c r="H544" s="8" t="s">
        <v>48</v>
      </c>
      <c r="I544" s="10">
        <v>1</v>
      </c>
      <c r="J544" t="str">
        <f t="shared" si="40"/>
        <v>Near</v>
      </c>
      <c r="K544">
        <v>3</v>
      </c>
      <c r="L544" t="s">
        <v>41</v>
      </c>
      <c r="M544">
        <v>3</v>
      </c>
      <c r="N544">
        <v>3</v>
      </c>
      <c r="O544">
        <v>3</v>
      </c>
      <c r="P544" t="s">
        <v>55</v>
      </c>
      <c r="Q544">
        <v>3</v>
      </c>
      <c r="R544" s="11">
        <v>168</v>
      </c>
      <c r="S544" s="14">
        <v>81</v>
      </c>
      <c r="T544" s="13">
        <v>7861</v>
      </c>
      <c r="U544" s="13">
        <f t="shared" si="41"/>
        <v>94332</v>
      </c>
      <c r="V544" s="14">
        <v>15397</v>
      </c>
      <c r="W544">
        <v>4</v>
      </c>
      <c r="X544" s="8" t="s">
        <v>38</v>
      </c>
      <c r="Y544" s="15">
        <v>0.14000000000000001</v>
      </c>
      <c r="Z544">
        <v>3</v>
      </c>
      <c r="AA544">
        <v>4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 t="str">
        <f t="shared" si="42"/>
        <v>0-3</v>
      </c>
      <c r="AI544">
        <v>0</v>
      </c>
      <c r="AJ544" t="str">
        <f t="shared" si="43"/>
        <v>0-2</v>
      </c>
      <c r="AK544">
        <v>0</v>
      </c>
    </row>
    <row r="545" spans="1:37" x14ac:dyDescent="0.25">
      <c r="A545" s="8">
        <v>544</v>
      </c>
      <c r="B545" t="s">
        <v>44</v>
      </c>
      <c r="C545" t="s">
        <v>37</v>
      </c>
      <c r="D545" s="8">
        <v>44</v>
      </c>
      <c r="E545" t="str">
        <f t="shared" si="44"/>
        <v>36-45</v>
      </c>
      <c r="F545" t="s">
        <v>46</v>
      </c>
      <c r="G545" t="s">
        <v>58</v>
      </c>
      <c r="H545" s="8" t="s">
        <v>48</v>
      </c>
      <c r="I545" s="10">
        <v>24</v>
      </c>
      <c r="J545" t="str">
        <f t="shared" si="40"/>
        <v>Far</v>
      </c>
      <c r="K545">
        <v>3</v>
      </c>
      <c r="L545" t="s">
        <v>53</v>
      </c>
      <c r="M545">
        <v>1</v>
      </c>
      <c r="N545">
        <v>1</v>
      </c>
      <c r="O545">
        <v>1</v>
      </c>
      <c r="P545" t="s">
        <v>51</v>
      </c>
      <c r="Q545">
        <v>3</v>
      </c>
      <c r="R545" s="11">
        <v>381</v>
      </c>
      <c r="S545" s="14">
        <v>49</v>
      </c>
      <c r="T545" s="13">
        <v>3708</v>
      </c>
      <c r="U545" s="13">
        <f t="shared" si="41"/>
        <v>44496</v>
      </c>
      <c r="V545" s="14">
        <v>2104</v>
      </c>
      <c r="W545">
        <v>2</v>
      </c>
      <c r="X545" s="8" t="s">
        <v>46</v>
      </c>
      <c r="Y545" s="15">
        <v>0.14000000000000001</v>
      </c>
      <c r="Z545">
        <v>3</v>
      </c>
      <c r="AA545">
        <v>3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 t="str">
        <f t="shared" si="42"/>
        <v>0-3</v>
      </c>
      <c r="AI545">
        <v>1</v>
      </c>
      <c r="AJ545" t="str">
        <f t="shared" si="43"/>
        <v>0-2</v>
      </c>
      <c r="AK545">
        <v>4</v>
      </c>
    </row>
    <row r="546" spans="1:37" x14ac:dyDescent="0.25">
      <c r="A546" s="8">
        <v>545</v>
      </c>
      <c r="B546" t="s">
        <v>52</v>
      </c>
      <c r="C546" t="s">
        <v>54</v>
      </c>
      <c r="D546" s="8">
        <v>47</v>
      </c>
      <c r="E546" t="str">
        <f t="shared" si="44"/>
        <v>46-55</v>
      </c>
      <c r="F546" t="s">
        <v>46</v>
      </c>
      <c r="G546" t="s">
        <v>47</v>
      </c>
      <c r="H546" s="8" t="s">
        <v>40</v>
      </c>
      <c r="I546" s="10">
        <v>3</v>
      </c>
      <c r="J546" t="str">
        <f t="shared" si="40"/>
        <v>Near</v>
      </c>
      <c r="K546">
        <v>3</v>
      </c>
      <c r="L546" t="s">
        <v>53</v>
      </c>
      <c r="M546">
        <v>4</v>
      </c>
      <c r="N546">
        <v>3</v>
      </c>
      <c r="O546">
        <v>4</v>
      </c>
      <c r="P546" t="s">
        <v>42</v>
      </c>
      <c r="Q546">
        <v>3</v>
      </c>
      <c r="R546" s="11">
        <v>217</v>
      </c>
      <c r="S546" s="14">
        <v>49</v>
      </c>
      <c r="T546" s="13">
        <v>13770</v>
      </c>
      <c r="U546" s="13">
        <f t="shared" si="41"/>
        <v>165240</v>
      </c>
      <c r="V546" s="14">
        <v>10225</v>
      </c>
      <c r="W546">
        <v>9</v>
      </c>
      <c r="X546" s="8" t="s">
        <v>38</v>
      </c>
      <c r="Y546" s="15">
        <v>0.12</v>
      </c>
      <c r="Z546">
        <v>3</v>
      </c>
      <c r="AA546">
        <v>4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 t="str">
        <f t="shared" si="42"/>
        <v>0-3</v>
      </c>
      <c r="AI546">
        <v>11</v>
      </c>
      <c r="AJ546" t="str">
        <f t="shared" si="43"/>
        <v>9-11</v>
      </c>
      <c r="AK546">
        <v>13</v>
      </c>
    </row>
    <row r="547" spans="1:37" x14ac:dyDescent="0.25">
      <c r="A547" s="8">
        <v>546</v>
      </c>
      <c r="B547" t="s">
        <v>44</v>
      </c>
      <c r="C547" t="s">
        <v>54</v>
      </c>
      <c r="D547" s="8">
        <v>30</v>
      </c>
      <c r="E547" t="str">
        <f t="shared" si="44"/>
        <v>26-35</v>
      </c>
      <c r="F547" t="s">
        <v>46</v>
      </c>
      <c r="G547" t="s">
        <v>39</v>
      </c>
      <c r="H547" s="8" t="s">
        <v>40</v>
      </c>
      <c r="I547" s="10">
        <v>27</v>
      </c>
      <c r="J547" t="str">
        <f t="shared" si="40"/>
        <v>Far</v>
      </c>
      <c r="K547">
        <v>5</v>
      </c>
      <c r="L547" t="s">
        <v>62</v>
      </c>
      <c r="M547">
        <v>3</v>
      </c>
      <c r="N547">
        <v>3</v>
      </c>
      <c r="O547">
        <v>2</v>
      </c>
      <c r="P547" t="s">
        <v>42</v>
      </c>
      <c r="Q547">
        <v>4</v>
      </c>
      <c r="R547" s="11">
        <v>501</v>
      </c>
      <c r="S547" s="14">
        <v>99</v>
      </c>
      <c r="T547" s="13">
        <v>5304</v>
      </c>
      <c r="U547" s="13">
        <f t="shared" si="41"/>
        <v>63648</v>
      </c>
      <c r="V547" s="14">
        <v>25275</v>
      </c>
      <c r="W547">
        <v>7</v>
      </c>
      <c r="X547" s="8" t="s">
        <v>46</v>
      </c>
      <c r="Y547" s="15">
        <v>0.23</v>
      </c>
      <c r="Z547">
        <v>4</v>
      </c>
      <c r="AA547">
        <v>4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 t="str">
        <f t="shared" si="42"/>
        <v>4-7</v>
      </c>
      <c r="AI547">
        <v>7</v>
      </c>
      <c r="AJ547" t="str">
        <f t="shared" si="43"/>
        <v>6-8</v>
      </c>
      <c r="AK547">
        <v>7</v>
      </c>
    </row>
    <row r="548" spans="1:37" x14ac:dyDescent="0.25">
      <c r="A548" s="8">
        <v>547</v>
      </c>
      <c r="B548" t="s">
        <v>44</v>
      </c>
      <c r="C548" t="s">
        <v>37</v>
      </c>
      <c r="D548" s="8">
        <v>29</v>
      </c>
      <c r="E548" t="str">
        <f t="shared" si="44"/>
        <v>26-35</v>
      </c>
      <c r="F548" t="s">
        <v>46</v>
      </c>
      <c r="G548" t="s">
        <v>39</v>
      </c>
      <c r="H548" s="8" t="s">
        <v>40</v>
      </c>
      <c r="I548" s="10">
        <v>10</v>
      </c>
      <c r="J548" t="str">
        <f t="shared" si="40"/>
        <v>Moderate</v>
      </c>
      <c r="K548">
        <v>3</v>
      </c>
      <c r="L548" t="s">
        <v>41</v>
      </c>
      <c r="M548">
        <v>3</v>
      </c>
      <c r="N548">
        <v>3</v>
      </c>
      <c r="O548">
        <v>1</v>
      </c>
      <c r="P548" t="s">
        <v>60</v>
      </c>
      <c r="Q548">
        <v>3</v>
      </c>
      <c r="R548" s="11">
        <v>1396</v>
      </c>
      <c r="S548" s="14">
        <v>99</v>
      </c>
      <c r="T548" s="13">
        <v>2642</v>
      </c>
      <c r="U548" s="13">
        <f t="shared" si="41"/>
        <v>31704</v>
      </c>
      <c r="V548" s="14">
        <v>2755</v>
      </c>
      <c r="W548">
        <v>1</v>
      </c>
      <c r="X548" s="8" t="s">
        <v>46</v>
      </c>
      <c r="Y548" s="15">
        <v>0.11</v>
      </c>
      <c r="Z548">
        <v>3</v>
      </c>
      <c r="AA548">
        <v>3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 t="str">
        <f t="shared" si="42"/>
        <v>0-3</v>
      </c>
      <c r="AI548">
        <v>0</v>
      </c>
      <c r="AJ548" t="str">
        <f t="shared" si="43"/>
        <v>0-2</v>
      </c>
      <c r="AK548">
        <v>0</v>
      </c>
    </row>
    <row r="549" spans="1:37" x14ac:dyDescent="0.25">
      <c r="A549" s="8">
        <v>548</v>
      </c>
      <c r="B549" t="s">
        <v>44</v>
      </c>
      <c r="C549" t="s">
        <v>54</v>
      </c>
      <c r="D549" s="8">
        <v>42</v>
      </c>
      <c r="E549" t="str">
        <f t="shared" si="44"/>
        <v>36-45</v>
      </c>
      <c r="F549" t="s">
        <v>38</v>
      </c>
      <c r="G549" t="s">
        <v>47</v>
      </c>
      <c r="H549" s="8" t="s">
        <v>48</v>
      </c>
      <c r="I549" s="10">
        <v>19</v>
      </c>
      <c r="J549" t="str">
        <f t="shared" si="40"/>
        <v>Far</v>
      </c>
      <c r="K549">
        <v>3</v>
      </c>
      <c r="L549" t="s">
        <v>53</v>
      </c>
      <c r="M549">
        <v>3</v>
      </c>
      <c r="N549">
        <v>4</v>
      </c>
      <c r="O549">
        <v>1</v>
      </c>
      <c r="P549" t="s">
        <v>49</v>
      </c>
      <c r="Q549">
        <v>3</v>
      </c>
      <c r="R549" s="11">
        <v>933</v>
      </c>
      <c r="S549" s="14">
        <v>57</v>
      </c>
      <c r="T549" s="13">
        <v>2759</v>
      </c>
      <c r="U549" s="13">
        <f t="shared" si="41"/>
        <v>33108</v>
      </c>
      <c r="V549" s="14">
        <v>20366</v>
      </c>
      <c r="W549">
        <v>6</v>
      </c>
      <c r="X549" s="8" t="s">
        <v>38</v>
      </c>
      <c r="Y549" s="15">
        <v>0.12</v>
      </c>
      <c r="Z549">
        <v>3</v>
      </c>
      <c r="AA549">
        <v>4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 t="str">
        <f t="shared" si="42"/>
        <v>0-3</v>
      </c>
      <c r="AI549">
        <v>2</v>
      </c>
      <c r="AJ549" t="str">
        <f t="shared" si="43"/>
        <v>0-2</v>
      </c>
      <c r="AK549">
        <v>2</v>
      </c>
    </row>
    <row r="550" spans="1:37" x14ac:dyDescent="0.25">
      <c r="A550" s="8">
        <v>549</v>
      </c>
      <c r="B550" t="s">
        <v>44</v>
      </c>
      <c r="C550" t="s">
        <v>45</v>
      </c>
      <c r="D550" s="8">
        <v>43</v>
      </c>
      <c r="E550" t="str">
        <f t="shared" si="44"/>
        <v>36-45</v>
      </c>
      <c r="F550" t="s">
        <v>46</v>
      </c>
      <c r="G550" t="s">
        <v>47</v>
      </c>
      <c r="H550" s="8" t="s">
        <v>40</v>
      </c>
      <c r="I550" s="10">
        <v>15</v>
      </c>
      <c r="J550" t="str">
        <f t="shared" si="40"/>
        <v>Moderate</v>
      </c>
      <c r="K550">
        <v>3</v>
      </c>
      <c r="L550" t="s">
        <v>41</v>
      </c>
      <c r="M550">
        <v>4</v>
      </c>
      <c r="N550">
        <v>2</v>
      </c>
      <c r="O550">
        <v>2</v>
      </c>
      <c r="P550" t="s">
        <v>42</v>
      </c>
      <c r="Q550">
        <v>4</v>
      </c>
      <c r="R550" s="11">
        <v>775</v>
      </c>
      <c r="S550" s="14">
        <v>47</v>
      </c>
      <c r="T550" s="13">
        <v>6804</v>
      </c>
      <c r="U550" s="13">
        <f t="shared" si="41"/>
        <v>81648</v>
      </c>
      <c r="V550" s="14">
        <v>23683</v>
      </c>
      <c r="W550">
        <v>3</v>
      </c>
      <c r="X550" s="8" t="s">
        <v>46</v>
      </c>
      <c r="Y550" s="15">
        <v>0.18</v>
      </c>
      <c r="Z550">
        <v>3</v>
      </c>
      <c r="AA550">
        <v>3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 t="str">
        <f t="shared" si="42"/>
        <v>0-3</v>
      </c>
      <c r="AI550">
        <v>2</v>
      </c>
      <c r="AJ550" t="str">
        <f t="shared" si="43"/>
        <v>0-2</v>
      </c>
      <c r="AK550">
        <v>2</v>
      </c>
    </row>
    <row r="551" spans="1:37" x14ac:dyDescent="0.25">
      <c r="A551" s="8">
        <v>550</v>
      </c>
      <c r="B551" t="s">
        <v>52</v>
      </c>
      <c r="C551" t="s">
        <v>37</v>
      </c>
      <c r="D551" s="8">
        <v>34</v>
      </c>
      <c r="E551" t="str">
        <f t="shared" si="44"/>
        <v>26-35</v>
      </c>
      <c r="F551" t="s">
        <v>46</v>
      </c>
      <c r="G551" t="s">
        <v>39</v>
      </c>
      <c r="H551" s="8" t="s">
        <v>48</v>
      </c>
      <c r="I551" s="10">
        <v>8</v>
      </c>
      <c r="J551" t="str">
        <f t="shared" si="40"/>
        <v>Moderate</v>
      </c>
      <c r="K551">
        <v>2</v>
      </c>
      <c r="L551" t="s">
        <v>53</v>
      </c>
      <c r="M551">
        <v>2</v>
      </c>
      <c r="N551">
        <v>3</v>
      </c>
      <c r="O551">
        <v>2</v>
      </c>
      <c r="P551" t="s">
        <v>56</v>
      </c>
      <c r="Q551">
        <v>3</v>
      </c>
      <c r="R551" s="11">
        <v>970</v>
      </c>
      <c r="S551" s="14">
        <v>96</v>
      </c>
      <c r="T551" s="13">
        <v>6142</v>
      </c>
      <c r="U551" s="13">
        <f t="shared" si="41"/>
        <v>73704</v>
      </c>
      <c r="V551" s="14">
        <v>7360</v>
      </c>
      <c r="W551">
        <v>3</v>
      </c>
      <c r="X551" s="8" t="s">
        <v>46</v>
      </c>
      <c r="Y551" s="15">
        <v>0.11</v>
      </c>
      <c r="Z551">
        <v>3</v>
      </c>
      <c r="AA551">
        <v>4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 t="str">
        <f t="shared" si="42"/>
        <v>0-3</v>
      </c>
      <c r="AI551">
        <v>4</v>
      </c>
      <c r="AJ551" t="str">
        <f t="shared" si="43"/>
        <v>3-5</v>
      </c>
      <c r="AK551">
        <v>3</v>
      </c>
    </row>
    <row r="552" spans="1:37" x14ac:dyDescent="0.25">
      <c r="A552" s="8">
        <v>551</v>
      </c>
      <c r="B552" t="s">
        <v>44</v>
      </c>
      <c r="C552" t="s">
        <v>45</v>
      </c>
      <c r="D552" s="8">
        <v>23</v>
      </c>
      <c r="E552" t="str">
        <f t="shared" si="44"/>
        <v>18-25</v>
      </c>
      <c r="F552" t="s">
        <v>46</v>
      </c>
      <c r="G552" t="s">
        <v>39</v>
      </c>
      <c r="H552" s="8" t="s">
        <v>48</v>
      </c>
      <c r="I552" s="10">
        <v>9</v>
      </c>
      <c r="J552" t="str">
        <f t="shared" si="40"/>
        <v>Moderate</v>
      </c>
      <c r="K552">
        <v>1</v>
      </c>
      <c r="L552" t="s">
        <v>53</v>
      </c>
      <c r="M552">
        <v>2</v>
      </c>
      <c r="N552">
        <v>3</v>
      </c>
      <c r="O552">
        <v>1</v>
      </c>
      <c r="P552" t="s">
        <v>51</v>
      </c>
      <c r="Q552">
        <v>1</v>
      </c>
      <c r="R552" s="11">
        <v>650</v>
      </c>
      <c r="S552" s="14">
        <v>37</v>
      </c>
      <c r="T552" s="13">
        <v>2500</v>
      </c>
      <c r="U552" s="13">
        <f t="shared" si="41"/>
        <v>30000</v>
      </c>
      <c r="V552" s="14">
        <v>4344</v>
      </c>
      <c r="W552">
        <v>1</v>
      </c>
      <c r="X552" s="8" t="s">
        <v>46</v>
      </c>
      <c r="Y552" s="15">
        <v>0.14000000000000001</v>
      </c>
      <c r="Z552">
        <v>3</v>
      </c>
      <c r="AA552">
        <v>4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 t="str">
        <f t="shared" si="42"/>
        <v>0-3</v>
      </c>
      <c r="AI552">
        <v>0</v>
      </c>
      <c r="AJ552" t="str">
        <f t="shared" si="43"/>
        <v>0-2</v>
      </c>
      <c r="AK552">
        <v>2</v>
      </c>
    </row>
    <row r="553" spans="1:37" x14ac:dyDescent="0.25">
      <c r="A553" s="8">
        <v>552</v>
      </c>
      <c r="B553" t="s">
        <v>52</v>
      </c>
      <c r="C553" t="s">
        <v>45</v>
      </c>
      <c r="D553" s="8">
        <v>39</v>
      </c>
      <c r="E553" t="str">
        <f t="shared" si="44"/>
        <v>36-45</v>
      </c>
      <c r="F553" t="s">
        <v>46</v>
      </c>
      <c r="G553" t="s">
        <v>39</v>
      </c>
      <c r="H553" s="8" t="s">
        <v>64</v>
      </c>
      <c r="I553" s="10">
        <v>3</v>
      </c>
      <c r="J553" t="str">
        <f t="shared" si="40"/>
        <v>Near</v>
      </c>
      <c r="K553">
        <v>3</v>
      </c>
      <c r="L553" t="s">
        <v>64</v>
      </c>
      <c r="M553">
        <v>3</v>
      </c>
      <c r="N553">
        <v>4</v>
      </c>
      <c r="O553">
        <v>2</v>
      </c>
      <c r="P553" t="s">
        <v>64</v>
      </c>
      <c r="Q553">
        <v>2</v>
      </c>
      <c r="R553" s="11">
        <v>141</v>
      </c>
      <c r="S553" s="14">
        <v>44</v>
      </c>
      <c r="T553" s="13">
        <v>6389</v>
      </c>
      <c r="U553" s="13">
        <f t="shared" si="41"/>
        <v>76668</v>
      </c>
      <c r="V553" s="14">
        <v>18767</v>
      </c>
      <c r="W553">
        <v>9</v>
      </c>
      <c r="X553" s="8" t="s">
        <v>46</v>
      </c>
      <c r="Y553" s="15">
        <v>0.15</v>
      </c>
      <c r="Z553">
        <v>3</v>
      </c>
      <c r="AA553">
        <v>3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 t="str">
        <f t="shared" si="42"/>
        <v>0-3</v>
      </c>
      <c r="AI553">
        <v>3</v>
      </c>
      <c r="AJ553" t="str">
        <f t="shared" si="43"/>
        <v>3-5</v>
      </c>
      <c r="AK553">
        <v>6</v>
      </c>
    </row>
    <row r="554" spans="1:37" x14ac:dyDescent="0.25">
      <c r="A554" s="8">
        <v>553</v>
      </c>
      <c r="B554" t="s">
        <v>44</v>
      </c>
      <c r="C554" t="s">
        <v>45</v>
      </c>
      <c r="D554" s="8">
        <v>56</v>
      </c>
      <c r="E554" t="str">
        <f t="shared" si="44"/>
        <v>55+</v>
      </c>
      <c r="F554" t="s">
        <v>46</v>
      </c>
      <c r="G554" t="s">
        <v>39</v>
      </c>
      <c r="H554" s="8" t="s">
        <v>48</v>
      </c>
      <c r="I554" s="10">
        <v>9</v>
      </c>
      <c r="J554" t="str">
        <f t="shared" si="40"/>
        <v>Moderate</v>
      </c>
      <c r="K554">
        <v>3</v>
      </c>
      <c r="L554" t="s">
        <v>53</v>
      </c>
      <c r="M554">
        <v>3</v>
      </c>
      <c r="N554">
        <v>3</v>
      </c>
      <c r="O554">
        <v>4</v>
      </c>
      <c r="P554" t="s">
        <v>56</v>
      </c>
      <c r="Q554">
        <v>4</v>
      </c>
      <c r="R554" s="11">
        <v>832</v>
      </c>
      <c r="S554" s="14">
        <v>81</v>
      </c>
      <c r="T554" s="13">
        <v>11103</v>
      </c>
      <c r="U554" s="13">
        <f t="shared" si="41"/>
        <v>133236</v>
      </c>
      <c r="V554" s="14">
        <v>20420</v>
      </c>
      <c r="W554">
        <v>7</v>
      </c>
      <c r="X554" s="8" t="s">
        <v>46</v>
      </c>
      <c r="Y554" s="15">
        <v>0.11</v>
      </c>
      <c r="Z554">
        <v>3</v>
      </c>
      <c r="AA554">
        <v>3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 t="str">
        <f t="shared" si="42"/>
        <v>4-7</v>
      </c>
      <c r="AI554">
        <v>1</v>
      </c>
      <c r="AJ554" t="str">
        <f t="shared" si="43"/>
        <v>0-2</v>
      </c>
      <c r="AK554">
        <v>1</v>
      </c>
    </row>
    <row r="555" spans="1:37" x14ac:dyDescent="0.25">
      <c r="A555" s="8">
        <v>554</v>
      </c>
      <c r="B555" t="s">
        <v>52</v>
      </c>
      <c r="C555" t="s">
        <v>37</v>
      </c>
      <c r="D555" s="8">
        <v>40</v>
      </c>
      <c r="E555" t="str">
        <f t="shared" si="44"/>
        <v>36-45</v>
      </c>
      <c r="F555" t="s">
        <v>46</v>
      </c>
      <c r="G555" t="s">
        <v>39</v>
      </c>
      <c r="H555" s="8" t="s">
        <v>48</v>
      </c>
      <c r="I555" s="10">
        <v>2</v>
      </c>
      <c r="J555" t="str">
        <f t="shared" si="40"/>
        <v>Near</v>
      </c>
      <c r="K555">
        <v>1</v>
      </c>
      <c r="L555" t="s">
        <v>53</v>
      </c>
      <c r="M555">
        <v>4</v>
      </c>
      <c r="N555">
        <v>2</v>
      </c>
      <c r="O555">
        <v>1</v>
      </c>
      <c r="P555" t="s">
        <v>49</v>
      </c>
      <c r="Q555">
        <v>4</v>
      </c>
      <c r="R555" s="11">
        <v>804</v>
      </c>
      <c r="S555" s="14">
        <v>86</v>
      </c>
      <c r="T555" s="13">
        <v>2342</v>
      </c>
      <c r="U555" s="13">
        <f t="shared" si="41"/>
        <v>28104</v>
      </c>
      <c r="V555" s="14">
        <v>22929</v>
      </c>
      <c r="W555">
        <v>0</v>
      </c>
      <c r="X555" s="8" t="s">
        <v>38</v>
      </c>
      <c r="Y555" s="15">
        <v>0.2</v>
      </c>
      <c r="Z555">
        <v>4</v>
      </c>
      <c r="AA555">
        <v>4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 t="str">
        <f t="shared" si="42"/>
        <v>0-3</v>
      </c>
      <c r="AI555">
        <v>2</v>
      </c>
      <c r="AJ555" t="str">
        <f t="shared" si="43"/>
        <v>0-2</v>
      </c>
      <c r="AK555">
        <v>3</v>
      </c>
    </row>
    <row r="556" spans="1:37" x14ac:dyDescent="0.25">
      <c r="A556" s="8">
        <v>555</v>
      </c>
      <c r="B556" t="s">
        <v>52</v>
      </c>
      <c r="C556" t="s">
        <v>37</v>
      </c>
      <c r="D556" s="8">
        <v>27</v>
      </c>
      <c r="E556" t="str">
        <f t="shared" si="44"/>
        <v>26-35</v>
      </c>
      <c r="F556" t="s">
        <v>46</v>
      </c>
      <c r="G556" t="s">
        <v>39</v>
      </c>
      <c r="H556" s="8" t="s">
        <v>48</v>
      </c>
      <c r="I556" s="10">
        <v>7</v>
      </c>
      <c r="J556" t="str">
        <f t="shared" si="40"/>
        <v>Moderate</v>
      </c>
      <c r="K556">
        <v>3</v>
      </c>
      <c r="L556" t="s">
        <v>53</v>
      </c>
      <c r="M556">
        <v>4</v>
      </c>
      <c r="N556">
        <v>2</v>
      </c>
      <c r="O556">
        <v>2</v>
      </c>
      <c r="P556" t="s">
        <v>56</v>
      </c>
      <c r="Q556">
        <v>1</v>
      </c>
      <c r="R556" s="11">
        <v>975</v>
      </c>
      <c r="S556" s="14">
        <v>55</v>
      </c>
      <c r="T556" s="13">
        <v>6811</v>
      </c>
      <c r="U556" s="13">
        <f t="shared" si="41"/>
        <v>81732</v>
      </c>
      <c r="V556" s="14">
        <v>23398</v>
      </c>
      <c r="W556">
        <v>8</v>
      </c>
      <c r="X556" s="8" t="s">
        <v>46</v>
      </c>
      <c r="Y556" s="15">
        <v>0.19</v>
      </c>
      <c r="Z556">
        <v>3</v>
      </c>
      <c r="AA556">
        <v>1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 t="str">
        <f t="shared" si="42"/>
        <v>4-7</v>
      </c>
      <c r="AI556">
        <v>0</v>
      </c>
      <c r="AJ556" t="str">
        <f t="shared" si="43"/>
        <v>0-2</v>
      </c>
      <c r="AK556">
        <v>7</v>
      </c>
    </row>
    <row r="557" spans="1:37" x14ac:dyDescent="0.25">
      <c r="A557" s="8">
        <v>556</v>
      </c>
      <c r="B557" t="s">
        <v>44</v>
      </c>
      <c r="C557" t="s">
        <v>54</v>
      </c>
      <c r="D557" s="8">
        <v>29</v>
      </c>
      <c r="E557" t="str">
        <f t="shared" si="44"/>
        <v>26-35</v>
      </c>
      <c r="F557" t="s">
        <v>46</v>
      </c>
      <c r="G557" t="s">
        <v>39</v>
      </c>
      <c r="H557" s="8" t="s">
        <v>40</v>
      </c>
      <c r="I557" s="10">
        <v>10</v>
      </c>
      <c r="J557" t="str">
        <f t="shared" si="40"/>
        <v>Moderate</v>
      </c>
      <c r="K557">
        <v>3</v>
      </c>
      <c r="L557" t="s">
        <v>62</v>
      </c>
      <c r="M557">
        <v>4</v>
      </c>
      <c r="N557">
        <v>3</v>
      </c>
      <c r="O557">
        <v>1</v>
      </c>
      <c r="P557" t="s">
        <v>60</v>
      </c>
      <c r="Q557">
        <v>2</v>
      </c>
      <c r="R557" s="11">
        <v>1090</v>
      </c>
      <c r="S557" s="14">
        <v>83</v>
      </c>
      <c r="T557" s="13">
        <v>2297</v>
      </c>
      <c r="U557" s="13">
        <f t="shared" si="41"/>
        <v>27564</v>
      </c>
      <c r="V557" s="14">
        <v>17967</v>
      </c>
      <c r="W557">
        <v>1</v>
      </c>
      <c r="X557" s="8" t="s">
        <v>46</v>
      </c>
      <c r="Y557" s="15">
        <v>0.14000000000000001</v>
      </c>
      <c r="Z557">
        <v>3</v>
      </c>
      <c r="AA557">
        <v>4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 t="str">
        <f t="shared" si="42"/>
        <v>0-3</v>
      </c>
      <c r="AI557">
        <v>2</v>
      </c>
      <c r="AJ557" t="str">
        <f t="shared" si="43"/>
        <v>0-2</v>
      </c>
      <c r="AK557">
        <v>2</v>
      </c>
    </row>
    <row r="558" spans="1:37" x14ac:dyDescent="0.25">
      <c r="A558" s="8">
        <v>557</v>
      </c>
      <c r="B558" t="s">
        <v>44</v>
      </c>
      <c r="C558" t="s">
        <v>37</v>
      </c>
      <c r="D558" s="8">
        <v>53</v>
      </c>
      <c r="E558" t="str">
        <f t="shared" si="44"/>
        <v>46-55</v>
      </c>
      <c r="F558" t="s">
        <v>46</v>
      </c>
      <c r="G558" t="s">
        <v>39</v>
      </c>
      <c r="H558" s="8" t="s">
        <v>48</v>
      </c>
      <c r="I558" s="10">
        <v>6</v>
      </c>
      <c r="J558" t="str">
        <f t="shared" si="40"/>
        <v>Moderate</v>
      </c>
      <c r="K558">
        <v>3</v>
      </c>
      <c r="L558" t="s">
        <v>41</v>
      </c>
      <c r="M558">
        <v>4</v>
      </c>
      <c r="N558">
        <v>3</v>
      </c>
      <c r="O558">
        <v>2</v>
      </c>
      <c r="P558" t="s">
        <v>51</v>
      </c>
      <c r="Q558">
        <v>4</v>
      </c>
      <c r="R558" s="11">
        <v>346</v>
      </c>
      <c r="S558" s="14">
        <v>86</v>
      </c>
      <c r="T558" s="13">
        <v>2450</v>
      </c>
      <c r="U558" s="13">
        <f t="shared" si="41"/>
        <v>29400</v>
      </c>
      <c r="V558" s="14">
        <v>10919</v>
      </c>
      <c r="W558">
        <v>2</v>
      </c>
      <c r="X558" s="8" t="s">
        <v>46</v>
      </c>
      <c r="Y558" s="15">
        <v>0.17</v>
      </c>
      <c r="Z558">
        <v>3</v>
      </c>
      <c r="AA558">
        <v>4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 t="str">
        <f t="shared" si="42"/>
        <v>0-3</v>
      </c>
      <c r="AI558">
        <v>2</v>
      </c>
      <c r="AJ558" t="str">
        <f t="shared" si="43"/>
        <v>0-2</v>
      </c>
      <c r="AK558">
        <v>2</v>
      </c>
    </row>
    <row r="559" spans="1:37" x14ac:dyDescent="0.25">
      <c r="A559" s="8">
        <v>558</v>
      </c>
      <c r="B559" t="s">
        <v>52</v>
      </c>
      <c r="C559" t="s">
        <v>54</v>
      </c>
      <c r="D559" s="8">
        <v>35</v>
      </c>
      <c r="E559" t="str">
        <f t="shared" si="44"/>
        <v>26-35</v>
      </c>
      <c r="F559" t="s">
        <v>46</v>
      </c>
      <c r="G559" t="s">
        <v>58</v>
      </c>
      <c r="H559" s="8" t="s">
        <v>48</v>
      </c>
      <c r="I559" s="10">
        <v>2</v>
      </c>
      <c r="J559" t="str">
        <f t="shared" si="40"/>
        <v>Near</v>
      </c>
      <c r="K559">
        <v>4</v>
      </c>
      <c r="L559" t="s">
        <v>41</v>
      </c>
      <c r="M559">
        <v>4</v>
      </c>
      <c r="N559">
        <v>3</v>
      </c>
      <c r="O559">
        <v>2</v>
      </c>
      <c r="P559" t="s">
        <v>56</v>
      </c>
      <c r="Q559">
        <v>1</v>
      </c>
      <c r="R559" s="11">
        <v>1225</v>
      </c>
      <c r="S559" s="14">
        <v>61</v>
      </c>
      <c r="T559" s="13">
        <v>5093</v>
      </c>
      <c r="U559" s="13">
        <f t="shared" si="41"/>
        <v>61116</v>
      </c>
      <c r="V559" s="14">
        <v>4761</v>
      </c>
      <c r="W559">
        <v>2</v>
      </c>
      <c r="X559" s="8" t="s">
        <v>46</v>
      </c>
      <c r="Y559" s="15">
        <v>0.11</v>
      </c>
      <c r="Z559">
        <v>3</v>
      </c>
      <c r="AA559">
        <v>1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 t="str">
        <f t="shared" si="42"/>
        <v>0-3</v>
      </c>
      <c r="AI559">
        <v>0</v>
      </c>
      <c r="AJ559" t="str">
        <f t="shared" si="43"/>
        <v>0-2</v>
      </c>
      <c r="AK559">
        <v>0</v>
      </c>
    </row>
    <row r="560" spans="1:37" x14ac:dyDescent="0.25">
      <c r="A560" s="8">
        <v>559</v>
      </c>
      <c r="B560" t="s">
        <v>44</v>
      </c>
      <c r="C560" t="s">
        <v>45</v>
      </c>
      <c r="D560" s="8">
        <v>32</v>
      </c>
      <c r="E560" t="str">
        <f t="shared" si="44"/>
        <v>26-35</v>
      </c>
      <c r="F560" t="s">
        <v>46</v>
      </c>
      <c r="G560" t="s">
        <v>47</v>
      </c>
      <c r="H560" s="8" t="s">
        <v>48</v>
      </c>
      <c r="I560" s="10">
        <v>24</v>
      </c>
      <c r="J560" t="str">
        <f t="shared" si="40"/>
        <v>Far</v>
      </c>
      <c r="K560">
        <v>4</v>
      </c>
      <c r="L560" t="s">
        <v>41</v>
      </c>
      <c r="M560">
        <v>1</v>
      </c>
      <c r="N560">
        <v>3</v>
      </c>
      <c r="O560">
        <v>2</v>
      </c>
      <c r="P560" t="s">
        <v>51</v>
      </c>
      <c r="Q560">
        <v>4</v>
      </c>
      <c r="R560" s="11">
        <v>430</v>
      </c>
      <c r="S560" s="14">
        <v>80</v>
      </c>
      <c r="T560" s="13">
        <v>5309</v>
      </c>
      <c r="U560" s="13">
        <f t="shared" si="41"/>
        <v>63708</v>
      </c>
      <c r="V560" s="14">
        <v>21146</v>
      </c>
      <c r="W560">
        <v>1</v>
      </c>
      <c r="X560" s="8" t="s">
        <v>46</v>
      </c>
      <c r="Y560" s="15">
        <v>0.15</v>
      </c>
      <c r="Z560">
        <v>3</v>
      </c>
      <c r="AA560">
        <v>4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 t="str">
        <f t="shared" si="42"/>
        <v>8-11</v>
      </c>
      <c r="AI560">
        <v>4</v>
      </c>
      <c r="AJ560" t="str">
        <f t="shared" si="43"/>
        <v>3-5</v>
      </c>
      <c r="AK560">
        <v>7</v>
      </c>
    </row>
    <row r="561" spans="1:37" x14ac:dyDescent="0.25">
      <c r="A561" s="8">
        <v>560</v>
      </c>
      <c r="B561" t="s">
        <v>44</v>
      </c>
      <c r="C561" t="s">
        <v>45</v>
      </c>
      <c r="D561" s="8">
        <v>38</v>
      </c>
      <c r="E561" t="str">
        <f t="shared" si="44"/>
        <v>36-45</v>
      </c>
      <c r="F561" t="s">
        <v>46</v>
      </c>
      <c r="G561" t="s">
        <v>39</v>
      </c>
      <c r="H561" s="8" t="s">
        <v>48</v>
      </c>
      <c r="I561" s="10">
        <v>2</v>
      </c>
      <c r="J561" t="str">
        <f t="shared" si="40"/>
        <v>Near</v>
      </c>
      <c r="K561">
        <v>5</v>
      </c>
      <c r="L561" t="s">
        <v>53</v>
      </c>
      <c r="M561">
        <v>4</v>
      </c>
      <c r="N561">
        <v>3</v>
      </c>
      <c r="O561">
        <v>1</v>
      </c>
      <c r="P561" t="s">
        <v>49</v>
      </c>
      <c r="Q561">
        <v>3</v>
      </c>
      <c r="R561" s="11">
        <v>268</v>
      </c>
      <c r="S561" s="14">
        <v>92</v>
      </c>
      <c r="T561" s="13">
        <v>3057</v>
      </c>
      <c r="U561" s="13">
        <f t="shared" si="41"/>
        <v>36684</v>
      </c>
      <c r="V561" s="14">
        <v>20471</v>
      </c>
      <c r="W561">
        <v>6</v>
      </c>
      <c r="X561" s="8" t="s">
        <v>38</v>
      </c>
      <c r="Y561" s="15">
        <v>0.13</v>
      </c>
      <c r="Z561">
        <v>3</v>
      </c>
      <c r="AA561">
        <v>2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 t="str">
        <f t="shared" si="42"/>
        <v>0-3</v>
      </c>
      <c r="AI561">
        <v>0</v>
      </c>
      <c r="AJ561" t="str">
        <f t="shared" si="43"/>
        <v>0-2</v>
      </c>
      <c r="AK561">
        <v>1</v>
      </c>
    </row>
    <row r="562" spans="1:37" x14ac:dyDescent="0.25">
      <c r="A562" s="8">
        <v>561</v>
      </c>
      <c r="B562" t="s">
        <v>52</v>
      </c>
      <c r="C562" t="s">
        <v>54</v>
      </c>
      <c r="D562" s="8">
        <v>34</v>
      </c>
      <c r="E562" t="str">
        <f t="shared" si="44"/>
        <v>26-35</v>
      </c>
      <c r="F562" t="s">
        <v>46</v>
      </c>
      <c r="G562" t="s">
        <v>39</v>
      </c>
      <c r="H562" s="8" t="s">
        <v>48</v>
      </c>
      <c r="I562" s="10">
        <v>8</v>
      </c>
      <c r="J562" t="str">
        <f t="shared" si="40"/>
        <v>Moderate</v>
      </c>
      <c r="K562">
        <v>5</v>
      </c>
      <c r="L562" t="s">
        <v>41</v>
      </c>
      <c r="M562">
        <v>2</v>
      </c>
      <c r="N562">
        <v>3</v>
      </c>
      <c r="O562">
        <v>2</v>
      </c>
      <c r="P562" t="s">
        <v>55</v>
      </c>
      <c r="Q562">
        <v>1</v>
      </c>
      <c r="R562" s="11">
        <v>167</v>
      </c>
      <c r="S562" s="14">
        <v>32</v>
      </c>
      <c r="T562" s="13">
        <v>5121</v>
      </c>
      <c r="U562" s="13">
        <f t="shared" si="41"/>
        <v>61452</v>
      </c>
      <c r="V562" s="14">
        <v>4187</v>
      </c>
      <c r="W562">
        <v>3</v>
      </c>
      <c r="X562" s="8" t="s">
        <v>46</v>
      </c>
      <c r="Y562" s="15">
        <v>0.14000000000000001</v>
      </c>
      <c r="Z562">
        <v>3</v>
      </c>
      <c r="AA562">
        <v>3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 t="str">
        <f t="shared" si="42"/>
        <v>0-3</v>
      </c>
      <c r="AI562">
        <v>0</v>
      </c>
      <c r="AJ562" t="str">
        <f t="shared" si="43"/>
        <v>0-2</v>
      </c>
      <c r="AK562">
        <v>0</v>
      </c>
    </row>
    <row r="563" spans="1:37" x14ac:dyDescent="0.25">
      <c r="A563" s="8">
        <v>562</v>
      </c>
      <c r="B563" t="s">
        <v>44</v>
      </c>
      <c r="C563" t="s">
        <v>45</v>
      </c>
      <c r="D563" s="8">
        <v>52</v>
      </c>
      <c r="E563" t="str">
        <f t="shared" si="44"/>
        <v>46-55</v>
      </c>
      <c r="F563" t="s">
        <v>46</v>
      </c>
      <c r="G563" t="s">
        <v>39</v>
      </c>
      <c r="H563" s="8" t="s">
        <v>40</v>
      </c>
      <c r="I563" s="10">
        <v>3</v>
      </c>
      <c r="J563" t="str">
        <f t="shared" si="40"/>
        <v>Near</v>
      </c>
      <c r="K563">
        <v>4</v>
      </c>
      <c r="L563" t="s">
        <v>62</v>
      </c>
      <c r="M563">
        <v>3</v>
      </c>
      <c r="N563">
        <v>2</v>
      </c>
      <c r="O563">
        <v>4</v>
      </c>
      <c r="P563" t="s">
        <v>59</v>
      </c>
      <c r="Q563">
        <v>1</v>
      </c>
      <c r="R563" s="11">
        <v>621</v>
      </c>
      <c r="S563" s="14">
        <v>31</v>
      </c>
      <c r="T563" s="13">
        <v>16856</v>
      </c>
      <c r="U563" s="13">
        <f t="shared" si="41"/>
        <v>202272</v>
      </c>
      <c r="V563" s="14">
        <v>10084</v>
      </c>
      <c r="W563">
        <v>1</v>
      </c>
      <c r="X563" s="8" t="s">
        <v>46</v>
      </c>
      <c r="Y563" s="15">
        <v>0.11</v>
      </c>
      <c r="Z563">
        <v>3</v>
      </c>
      <c r="AA563">
        <v>1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 t="str">
        <f t="shared" si="42"/>
        <v>4-7</v>
      </c>
      <c r="AI563">
        <v>1</v>
      </c>
      <c r="AJ563" t="str">
        <f t="shared" si="43"/>
        <v>0-2</v>
      </c>
      <c r="AK563">
        <v>16</v>
      </c>
    </row>
    <row r="564" spans="1:37" x14ac:dyDescent="0.25">
      <c r="A564" s="8">
        <v>563</v>
      </c>
      <c r="B564" t="s">
        <v>44</v>
      </c>
      <c r="C564" t="s">
        <v>37</v>
      </c>
      <c r="D564" s="8">
        <v>33</v>
      </c>
      <c r="E564" t="str">
        <f t="shared" si="44"/>
        <v>26-35</v>
      </c>
      <c r="F564" t="s">
        <v>38</v>
      </c>
      <c r="G564" t="s">
        <v>39</v>
      </c>
      <c r="H564" s="8" t="s">
        <v>48</v>
      </c>
      <c r="I564" s="10">
        <v>1</v>
      </c>
      <c r="J564" t="str">
        <f t="shared" si="40"/>
        <v>Near</v>
      </c>
      <c r="K564">
        <v>4</v>
      </c>
      <c r="L564" t="s">
        <v>50</v>
      </c>
      <c r="M564">
        <v>4</v>
      </c>
      <c r="N564">
        <v>3</v>
      </c>
      <c r="O564">
        <v>1</v>
      </c>
      <c r="P564" t="s">
        <v>49</v>
      </c>
      <c r="Q564">
        <v>4</v>
      </c>
      <c r="R564" s="11">
        <v>527</v>
      </c>
      <c r="S564" s="14">
        <v>63</v>
      </c>
      <c r="T564" s="13">
        <v>2686</v>
      </c>
      <c r="U564" s="13">
        <f t="shared" si="41"/>
        <v>32232</v>
      </c>
      <c r="V564" s="14">
        <v>5207</v>
      </c>
      <c r="W564">
        <v>1</v>
      </c>
      <c r="X564" s="8" t="s">
        <v>38</v>
      </c>
      <c r="Y564" s="15">
        <v>0.13</v>
      </c>
      <c r="Z564">
        <v>3</v>
      </c>
      <c r="AA564">
        <v>3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 t="str">
        <f t="shared" si="42"/>
        <v>8-11</v>
      </c>
      <c r="AI564">
        <v>7</v>
      </c>
      <c r="AJ564" t="str">
        <f t="shared" si="43"/>
        <v>6-8</v>
      </c>
      <c r="AK564">
        <v>8</v>
      </c>
    </row>
    <row r="565" spans="1:37" x14ac:dyDescent="0.25">
      <c r="A565" s="8">
        <v>564</v>
      </c>
      <c r="B565" t="s">
        <v>52</v>
      </c>
      <c r="C565" t="s">
        <v>37</v>
      </c>
      <c r="D565" s="8">
        <v>25</v>
      </c>
      <c r="E565" t="str">
        <f t="shared" si="44"/>
        <v>26-35</v>
      </c>
      <c r="F565" t="s">
        <v>46</v>
      </c>
      <c r="G565" t="s">
        <v>39</v>
      </c>
      <c r="H565" s="8" t="s">
        <v>40</v>
      </c>
      <c r="I565" s="10">
        <v>26</v>
      </c>
      <c r="J565" t="str">
        <f t="shared" si="40"/>
        <v>Far</v>
      </c>
      <c r="K565">
        <v>1</v>
      </c>
      <c r="L565" t="s">
        <v>53</v>
      </c>
      <c r="M565">
        <v>3</v>
      </c>
      <c r="N565">
        <v>3</v>
      </c>
      <c r="O565">
        <v>2</v>
      </c>
      <c r="P565" t="s">
        <v>42</v>
      </c>
      <c r="Q565">
        <v>4</v>
      </c>
      <c r="R565" s="11">
        <v>883</v>
      </c>
      <c r="S565" s="14">
        <v>32</v>
      </c>
      <c r="T565" s="13">
        <v>6180</v>
      </c>
      <c r="U565" s="13">
        <f t="shared" si="41"/>
        <v>74160</v>
      </c>
      <c r="V565" s="14">
        <v>22807</v>
      </c>
      <c r="W565">
        <v>1</v>
      </c>
      <c r="X565" s="8" t="s">
        <v>46</v>
      </c>
      <c r="Y565" s="15">
        <v>0.23</v>
      </c>
      <c r="Z565">
        <v>4</v>
      </c>
      <c r="AA565">
        <v>2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 t="str">
        <f t="shared" si="42"/>
        <v>4-7</v>
      </c>
      <c r="AI565">
        <v>1</v>
      </c>
      <c r="AJ565" t="str">
        <f t="shared" si="43"/>
        <v>0-2</v>
      </c>
      <c r="AK565">
        <v>4</v>
      </c>
    </row>
    <row r="566" spans="1:37" x14ac:dyDescent="0.25">
      <c r="A566" s="8">
        <v>565</v>
      </c>
      <c r="B566" t="s">
        <v>44</v>
      </c>
      <c r="C566" t="s">
        <v>37</v>
      </c>
      <c r="D566" s="8">
        <v>45</v>
      </c>
      <c r="E566" t="str">
        <f t="shared" si="44"/>
        <v>36-45</v>
      </c>
      <c r="F566" t="s">
        <v>46</v>
      </c>
      <c r="G566" t="s">
        <v>39</v>
      </c>
      <c r="H566" s="8" t="s">
        <v>40</v>
      </c>
      <c r="I566" s="10">
        <v>2</v>
      </c>
      <c r="J566" t="str">
        <f t="shared" si="40"/>
        <v>Near</v>
      </c>
      <c r="K566">
        <v>2</v>
      </c>
      <c r="L566" t="s">
        <v>63</v>
      </c>
      <c r="M566">
        <v>2</v>
      </c>
      <c r="N566">
        <v>1</v>
      </c>
      <c r="O566">
        <v>2</v>
      </c>
      <c r="P566" t="s">
        <v>60</v>
      </c>
      <c r="Q566">
        <v>3</v>
      </c>
      <c r="R566" s="11">
        <v>954</v>
      </c>
      <c r="S566" s="14">
        <v>46</v>
      </c>
      <c r="T566" s="13">
        <v>6632</v>
      </c>
      <c r="U566" s="13">
        <f t="shared" si="41"/>
        <v>79584</v>
      </c>
      <c r="V566" s="14">
        <v>12388</v>
      </c>
      <c r="W566">
        <v>0</v>
      </c>
      <c r="X566" s="8" t="s">
        <v>46</v>
      </c>
      <c r="Y566" s="15">
        <v>0.13</v>
      </c>
      <c r="Z566">
        <v>3</v>
      </c>
      <c r="AA566">
        <v>1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 t="str">
        <f t="shared" si="42"/>
        <v>4-7</v>
      </c>
      <c r="AI566">
        <v>3</v>
      </c>
      <c r="AJ566" t="str">
        <f t="shared" si="43"/>
        <v>3-5</v>
      </c>
      <c r="AK566">
        <v>1</v>
      </c>
    </row>
    <row r="567" spans="1:37" x14ac:dyDescent="0.25">
      <c r="A567" s="8">
        <v>566</v>
      </c>
      <c r="B567" t="s">
        <v>44</v>
      </c>
      <c r="C567" t="s">
        <v>37</v>
      </c>
      <c r="D567" s="8">
        <v>23</v>
      </c>
      <c r="E567" t="str">
        <f t="shared" si="44"/>
        <v>18-25</v>
      </c>
      <c r="F567" t="s">
        <v>46</v>
      </c>
      <c r="G567" t="s">
        <v>39</v>
      </c>
      <c r="H567" s="8" t="s">
        <v>48</v>
      </c>
      <c r="I567" s="10">
        <v>10</v>
      </c>
      <c r="J567" t="str">
        <f t="shared" si="40"/>
        <v>Moderate</v>
      </c>
      <c r="K567">
        <v>1</v>
      </c>
      <c r="L567" t="s">
        <v>53</v>
      </c>
      <c r="M567">
        <v>1</v>
      </c>
      <c r="N567">
        <v>4</v>
      </c>
      <c r="O567">
        <v>1</v>
      </c>
      <c r="P567" t="s">
        <v>49</v>
      </c>
      <c r="Q567">
        <v>3</v>
      </c>
      <c r="R567" s="11">
        <v>310</v>
      </c>
      <c r="S567" s="14">
        <v>79</v>
      </c>
      <c r="T567" s="13">
        <v>3505</v>
      </c>
      <c r="U567" s="13">
        <f t="shared" si="41"/>
        <v>42060</v>
      </c>
      <c r="V567" s="14">
        <v>19630</v>
      </c>
      <c r="W567">
        <v>1</v>
      </c>
      <c r="X567" s="8" t="s">
        <v>46</v>
      </c>
      <c r="Y567" s="15">
        <v>0.18</v>
      </c>
      <c r="Z567">
        <v>3</v>
      </c>
      <c r="AA567">
        <v>4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 t="str">
        <f t="shared" si="42"/>
        <v>0-3</v>
      </c>
      <c r="AI567">
        <v>0</v>
      </c>
      <c r="AJ567" t="str">
        <f t="shared" si="43"/>
        <v>0-2</v>
      </c>
      <c r="AK567">
        <v>2</v>
      </c>
    </row>
    <row r="568" spans="1:37" x14ac:dyDescent="0.25">
      <c r="A568" s="8">
        <v>567</v>
      </c>
      <c r="B568" t="s">
        <v>52</v>
      </c>
      <c r="C568" t="s">
        <v>37</v>
      </c>
      <c r="D568" s="8">
        <v>47</v>
      </c>
      <c r="E568" t="str">
        <f t="shared" si="44"/>
        <v>46-55</v>
      </c>
      <c r="F568" t="s">
        <v>38</v>
      </c>
      <c r="G568" t="s">
        <v>47</v>
      </c>
      <c r="H568" s="8" t="s">
        <v>40</v>
      </c>
      <c r="I568" s="10">
        <v>27</v>
      </c>
      <c r="J568" t="str">
        <f t="shared" si="40"/>
        <v>Far</v>
      </c>
      <c r="K568">
        <v>2</v>
      </c>
      <c r="L568" t="s">
        <v>41</v>
      </c>
      <c r="M568">
        <v>2</v>
      </c>
      <c r="N568">
        <v>4</v>
      </c>
      <c r="O568">
        <v>2</v>
      </c>
      <c r="P568" t="s">
        <v>42</v>
      </c>
      <c r="Q568">
        <v>3</v>
      </c>
      <c r="R568" s="11">
        <v>719</v>
      </c>
      <c r="S568" s="14">
        <v>77</v>
      </c>
      <c r="T568" s="13">
        <v>6397</v>
      </c>
      <c r="U568" s="13">
        <f t="shared" si="41"/>
        <v>76764</v>
      </c>
      <c r="V568" s="14">
        <v>10339</v>
      </c>
      <c r="W568">
        <v>4</v>
      </c>
      <c r="X568" s="8" t="s">
        <v>38</v>
      </c>
      <c r="Y568" s="15">
        <v>0.12</v>
      </c>
      <c r="Z568">
        <v>3</v>
      </c>
      <c r="AA568">
        <v>4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 t="str">
        <f t="shared" si="42"/>
        <v>4-7</v>
      </c>
      <c r="AI568">
        <v>1</v>
      </c>
      <c r="AJ568" t="str">
        <f t="shared" si="43"/>
        <v>0-2</v>
      </c>
      <c r="AK568">
        <v>3</v>
      </c>
    </row>
    <row r="569" spans="1:37" x14ac:dyDescent="0.25">
      <c r="A569" s="8">
        <v>568</v>
      </c>
      <c r="B569" t="s">
        <v>44</v>
      </c>
      <c r="C569" t="s">
        <v>37</v>
      </c>
      <c r="D569" s="8">
        <v>34</v>
      </c>
      <c r="E569" t="str">
        <f t="shared" si="44"/>
        <v>26-35</v>
      </c>
      <c r="F569" t="s">
        <v>46</v>
      </c>
      <c r="G569" t="s">
        <v>39</v>
      </c>
      <c r="H569" s="8" t="s">
        <v>40</v>
      </c>
      <c r="I569" s="10">
        <v>2</v>
      </c>
      <c r="J569" t="str">
        <f t="shared" si="40"/>
        <v>Near</v>
      </c>
      <c r="K569">
        <v>3</v>
      </c>
      <c r="L569" t="s">
        <v>50</v>
      </c>
      <c r="M569">
        <v>4</v>
      </c>
      <c r="N569">
        <v>3</v>
      </c>
      <c r="O569">
        <v>2</v>
      </c>
      <c r="P569" t="s">
        <v>42</v>
      </c>
      <c r="Q569">
        <v>4</v>
      </c>
      <c r="R569" s="11">
        <v>304</v>
      </c>
      <c r="S569" s="14">
        <v>60</v>
      </c>
      <c r="T569" s="13">
        <v>6274</v>
      </c>
      <c r="U569" s="13">
        <f t="shared" si="41"/>
        <v>75288</v>
      </c>
      <c r="V569" s="14">
        <v>18686</v>
      </c>
      <c r="W569">
        <v>1</v>
      </c>
      <c r="X569" s="8" t="s">
        <v>46</v>
      </c>
      <c r="Y569" s="15">
        <v>0.22</v>
      </c>
      <c r="Z569">
        <v>4</v>
      </c>
      <c r="AA569">
        <v>3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 t="str">
        <f t="shared" si="42"/>
        <v>4-7</v>
      </c>
      <c r="AI569">
        <v>1</v>
      </c>
      <c r="AJ569" t="str">
        <f t="shared" si="43"/>
        <v>0-2</v>
      </c>
      <c r="AK569">
        <v>4</v>
      </c>
    </row>
    <row r="570" spans="1:37" x14ac:dyDescent="0.25">
      <c r="A570" s="8">
        <v>569</v>
      </c>
      <c r="B570" t="s">
        <v>44</v>
      </c>
      <c r="C570" t="s">
        <v>45</v>
      </c>
      <c r="D570" s="8">
        <v>55</v>
      </c>
      <c r="E570" t="str">
        <f t="shared" si="44"/>
        <v>46-55</v>
      </c>
      <c r="F570" t="s">
        <v>38</v>
      </c>
      <c r="G570" t="s">
        <v>39</v>
      </c>
      <c r="H570" s="8" t="s">
        <v>48</v>
      </c>
      <c r="I570" s="10">
        <v>2</v>
      </c>
      <c r="J570" t="str">
        <f t="shared" si="40"/>
        <v>Near</v>
      </c>
      <c r="K570">
        <v>3</v>
      </c>
      <c r="L570" t="s">
        <v>53</v>
      </c>
      <c r="M570">
        <v>4</v>
      </c>
      <c r="N570">
        <v>3</v>
      </c>
      <c r="O570">
        <v>5</v>
      </c>
      <c r="P570" t="s">
        <v>59</v>
      </c>
      <c r="Q570">
        <v>1</v>
      </c>
      <c r="R570" s="11">
        <v>725</v>
      </c>
      <c r="S570" s="14">
        <v>78</v>
      </c>
      <c r="T570" s="13">
        <v>19859</v>
      </c>
      <c r="U570" s="13">
        <f t="shared" si="41"/>
        <v>238308</v>
      </c>
      <c r="V570" s="14">
        <v>21199</v>
      </c>
      <c r="W570">
        <v>5</v>
      </c>
      <c r="X570" s="8" t="s">
        <v>38</v>
      </c>
      <c r="Y570" s="15">
        <v>0.13</v>
      </c>
      <c r="Z570">
        <v>3</v>
      </c>
      <c r="AA570">
        <v>4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 t="str">
        <f t="shared" si="42"/>
        <v>0-3</v>
      </c>
      <c r="AI570">
        <v>1</v>
      </c>
      <c r="AJ570" t="str">
        <f t="shared" si="43"/>
        <v>0-2</v>
      </c>
      <c r="AK570">
        <v>4</v>
      </c>
    </row>
    <row r="571" spans="1:37" x14ac:dyDescent="0.25">
      <c r="A571" s="8">
        <v>570</v>
      </c>
      <c r="B571" t="s">
        <v>44</v>
      </c>
      <c r="C571" t="s">
        <v>37</v>
      </c>
      <c r="D571" s="8">
        <v>36</v>
      </c>
      <c r="E571" t="str">
        <f t="shared" si="44"/>
        <v>36-45</v>
      </c>
      <c r="F571" t="s">
        <v>46</v>
      </c>
      <c r="G571" t="s">
        <v>58</v>
      </c>
      <c r="H571" s="8" t="s">
        <v>40</v>
      </c>
      <c r="I571" s="10">
        <v>8</v>
      </c>
      <c r="J571" t="str">
        <f t="shared" si="40"/>
        <v>Moderate</v>
      </c>
      <c r="K571">
        <v>4</v>
      </c>
      <c r="L571" t="s">
        <v>41</v>
      </c>
      <c r="M571">
        <v>1</v>
      </c>
      <c r="N571">
        <v>2</v>
      </c>
      <c r="O571">
        <v>3</v>
      </c>
      <c r="P571" t="s">
        <v>42</v>
      </c>
      <c r="Q571">
        <v>1</v>
      </c>
      <c r="R571" s="11">
        <v>1434</v>
      </c>
      <c r="S571" s="14">
        <v>76</v>
      </c>
      <c r="T571" s="13">
        <v>7587</v>
      </c>
      <c r="U571" s="13">
        <f t="shared" si="41"/>
        <v>91044</v>
      </c>
      <c r="V571" s="14">
        <v>14229</v>
      </c>
      <c r="W571">
        <v>1</v>
      </c>
      <c r="X571" s="8" t="s">
        <v>46</v>
      </c>
      <c r="Y571" s="15">
        <v>0.15</v>
      </c>
      <c r="Z571">
        <v>3</v>
      </c>
      <c r="AA571">
        <v>2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 t="str">
        <f t="shared" si="42"/>
        <v>4-7</v>
      </c>
      <c r="AI571">
        <v>0</v>
      </c>
      <c r="AJ571" t="str">
        <f t="shared" si="43"/>
        <v>0-2</v>
      </c>
      <c r="AK571">
        <v>9</v>
      </c>
    </row>
    <row r="572" spans="1:37" x14ac:dyDescent="0.25">
      <c r="A572" s="8">
        <v>571</v>
      </c>
      <c r="B572" t="s">
        <v>44</v>
      </c>
      <c r="C572" t="s">
        <v>45</v>
      </c>
      <c r="D572" s="8">
        <v>52</v>
      </c>
      <c r="E572" t="str">
        <f t="shared" si="44"/>
        <v>46-55</v>
      </c>
      <c r="F572" t="s">
        <v>46</v>
      </c>
      <c r="G572" t="s">
        <v>58</v>
      </c>
      <c r="H572" s="8" t="s">
        <v>48</v>
      </c>
      <c r="I572" s="10">
        <v>19</v>
      </c>
      <c r="J572" t="str">
        <f t="shared" si="40"/>
        <v>Far</v>
      </c>
      <c r="K572">
        <v>4</v>
      </c>
      <c r="L572" t="s">
        <v>53</v>
      </c>
      <c r="M572">
        <v>4</v>
      </c>
      <c r="N572">
        <v>3</v>
      </c>
      <c r="O572">
        <v>1</v>
      </c>
      <c r="P572" t="s">
        <v>49</v>
      </c>
      <c r="Q572">
        <v>4</v>
      </c>
      <c r="R572" s="11">
        <v>715</v>
      </c>
      <c r="S572" s="14">
        <v>41</v>
      </c>
      <c r="T572" s="13">
        <v>4258</v>
      </c>
      <c r="U572" s="13">
        <f t="shared" si="41"/>
        <v>51096</v>
      </c>
      <c r="V572" s="14">
        <v>26589</v>
      </c>
      <c r="W572">
        <v>0</v>
      </c>
      <c r="X572" s="8" t="s">
        <v>46</v>
      </c>
      <c r="Y572" s="15">
        <v>0.18</v>
      </c>
      <c r="Z572">
        <v>3</v>
      </c>
      <c r="AA572">
        <v>1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 t="str">
        <f t="shared" si="42"/>
        <v>0-3</v>
      </c>
      <c r="AI572">
        <v>1</v>
      </c>
      <c r="AJ572" t="str">
        <f t="shared" si="43"/>
        <v>0-2</v>
      </c>
      <c r="AK572">
        <v>2</v>
      </c>
    </row>
    <row r="573" spans="1:37" x14ac:dyDescent="0.25">
      <c r="A573" s="8">
        <v>572</v>
      </c>
      <c r="B573" t="s">
        <v>52</v>
      </c>
      <c r="C573" t="s">
        <v>54</v>
      </c>
      <c r="D573" s="8">
        <v>26</v>
      </c>
      <c r="E573" t="str">
        <f t="shared" si="44"/>
        <v>26-35</v>
      </c>
      <c r="F573" t="s">
        <v>46</v>
      </c>
      <c r="G573" t="s">
        <v>47</v>
      </c>
      <c r="H573" s="8" t="s">
        <v>48</v>
      </c>
      <c r="I573" s="10">
        <v>1</v>
      </c>
      <c r="J573" t="str">
        <f t="shared" si="40"/>
        <v>Near</v>
      </c>
      <c r="K573">
        <v>2</v>
      </c>
      <c r="L573" t="s">
        <v>41</v>
      </c>
      <c r="M573">
        <v>1</v>
      </c>
      <c r="N573">
        <v>1</v>
      </c>
      <c r="O573">
        <v>1</v>
      </c>
      <c r="P573" t="s">
        <v>51</v>
      </c>
      <c r="Q573">
        <v>4</v>
      </c>
      <c r="R573" s="11">
        <v>575</v>
      </c>
      <c r="S573" s="14">
        <v>71</v>
      </c>
      <c r="T573" s="13">
        <v>4364</v>
      </c>
      <c r="U573" s="13">
        <f t="shared" si="41"/>
        <v>52368</v>
      </c>
      <c r="V573" s="14">
        <v>5288</v>
      </c>
      <c r="W573">
        <v>3</v>
      </c>
      <c r="X573" s="8" t="s">
        <v>46</v>
      </c>
      <c r="Y573" s="15">
        <v>0.14000000000000001</v>
      </c>
      <c r="Z573">
        <v>3</v>
      </c>
      <c r="AA573">
        <v>1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 t="str">
        <f t="shared" si="42"/>
        <v>0-3</v>
      </c>
      <c r="AI573">
        <v>2</v>
      </c>
      <c r="AJ573" t="str">
        <f t="shared" si="43"/>
        <v>0-2</v>
      </c>
      <c r="AK573">
        <v>0</v>
      </c>
    </row>
    <row r="574" spans="1:37" x14ac:dyDescent="0.25">
      <c r="A574" s="8">
        <v>573</v>
      </c>
      <c r="B574" t="s">
        <v>52</v>
      </c>
      <c r="C574" t="s">
        <v>45</v>
      </c>
      <c r="D574" s="8">
        <v>29</v>
      </c>
      <c r="E574" t="str">
        <f t="shared" si="44"/>
        <v>26-35</v>
      </c>
      <c r="F574" t="s">
        <v>46</v>
      </c>
      <c r="G574" t="s">
        <v>39</v>
      </c>
      <c r="H574" s="8" t="s">
        <v>48</v>
      </c>
      <c r="I574" s="10">
        <v>27</v>
      </c>
      <c r="J574" t="str">
        <f t="shared" si="40"/>
        <v>Far</v>
      </c>
      <c r="K574">
        <v>3</v>
      </c>
      <c r="L574" t="s">
        <v>53</v>
      </c>
      <c r="M574">
        <v>2</v>
      </c>
      <c r="N574">
        <v>3</v>
      </c>
      <c r="O574">
        <v>2</v>
      </c>
      <c r="P574" t="s">
        <v>56</v>
      </c>
      <c r="Q574">
        <v>3</v>
      </c>
      <c r="R574" s="11">
        <v>657</v>
      </c>
      <c r="S574" s="14">
        <v>66</v>
      </c>
      <c r="T574" s="13">
        <v>4335</v>
      </c>
      <c r="U574" s="13">
        <f t="shared" si="41"/>
        <v>52020</v>
      </c>
      <c r="V574" s="14">
        <v>25549</v>
      </c>
      <c r="W574">
        <v>4</v>
      </c>
      <c r="X574" s="8" t="s">
        <v>46</v>
      </c>
      <c r="Y574" s="15">
        <v>0.12</v>
      </c>
      <c r="Z574">
        <v>3</v>
      </c>
      <c r="AA574">
        <v>1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 t="str">
        <f t="shared" si="42"/>
        <v>4-7</v>
      </c>
      <c r="AI574">
        <v>1</v>
      </c>
      <c r="AJ574" t="str">
        <f t="shared" si="43"/>
        <v>0-2</v>
      </c>
      <c r="AK574">
        <v>1</v>
      </c>
    </row>
    <row r="575" spans="1:37" x14ac:dyDescent="0.25">
      <c r="A575" s="8">
        <v>574</v>
      </c>
      <c r="B575" t="s">
        <v>44</v>
      </c>
      <c r="C575" t="s">
        <v>37</v>
      </c>
      <c r="D575" s="8">
        <v>26</v>
      </c>
      <c r="E575" t="str">
        <f t="shared" si="44"/>
        <v>26-35</v>
      </c>
      <c r="F575" t="s">
        <v>38</v>
      </c>
      <c r="G575" t="s">
        <v>39</v>
      </c>
      <c r="H575" s="8" t="s">
        <v>40</v>
      </c>
      <c r="I575" s="10">
        <v>8</v>
      </c>
      <c r="J575" t="str">
        <f t="shared" si="40"/>
        <v>Moderate</v>
      </c>
      <c r="K575">
        <v>3</v>
      </c>
      <c r="L575" t="s">
        <v>63</v>
      </c>
      <c r="M575">
        <v>4</v>
      </c>
      <c r="N575">
        <v>2</v>
      </c>
      <c r="O575">
        <v>2</v>
      </c>
      <c r="P575" t="s">
        <v>42</v>
      </c>
      <c r="Q575">
        <v>1</v>
      </c>
      <c r="R575" s="11">
        <v>1146</v>
      </c>
      <c r="S575" s="14">
        <v>38</v>
      </c>
      <c r="T575" s="13">
        <v>5326</v>
      </c>
      <c r="U575" s="13">
        <f t="shared" si="41"/>
        <v>63912</v>
      </c>
      <c r="V575" s="14">
        <v>3064</v>
      </c>
      <c r="W575">
        <v>6</v>
      </c>
      <c r="X575" s="8" t="s">
        <v>46</v>
      </c>
      <c r="Y575" s="15">
        <v>0.17</v>
      </c>
      <c r="Z575">
        <v>3</v>
      </c>
      <c r="AA575">
        <v>3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 t="str">
        <f t="shared" si="42"/>
        <v>0-3</v>
      </c>
      <c r="AI575">
        <v>1</v>
      </c>
      <c r="AJ575" t="str">
        <f t="shared" si="43"/>
        <v>0-2</v>
      </c>
      <c r="AK575">
        <v>2</v>
      </c>
    </row>
    <row r="576" spans="1:37" x14ac:dyDescent="0.25">
      <c r="A576" s="8">
        <v>575</v>
      </c>
      <c r="B576" t="s">
        <v>52</v>
      </c>
      <c r="C576" t="s">
        <v>37</v>
      </c>
      <c r="D576" s="8">
        <v>34</v>
      </c>
      <c r="E576" t="str">
        <f t="shared" si="44"/>
        <v>26-35</v>
      </c>
      <c r="F576" t="s">
        <v>46</v>
      </c>
      <c r="G576" t="s">
        <v>39</v>
      </c>
      <c r="H576" s="8" t="s">
        <v>48</v>
      </c>
      <c r="I576" s="10">
        <v>1</v>
      </c>
      <c r="J576" t="str">
        <f t="shared" si="40"/>
        <v>Near</v>
      </c>
      <c r="K576">
        <v>4</v>
      </c>
      <c r="L576" t="s">
        <v>41</v>
      </c>
      <c r="M576">
        <v>2</v>
      </c>
      <c r="N576">
        <v>4</v>
      </c>
      <c r="O576">
        <v>1</v>
      </c>
      <c r="P576" t="s">
        <v>49</v>
      </c>
      <c r="Q576">
        <v>4</v>
      </c>
      <c r="R576" s="11">
        <v>182</v>
      </c>
      <c r="S576" s="14">
        <v>72</v>
      </c>
      <c r="T576" s="13">
        <v>3280</v>
      </c>
      <c r="U576" s="13">
        <f t="shared" si="41"/>
        <v>39360</v>
      </c>
      <c r="V576" s="14">
        <v>13551</v>
      </c>
      <c r="W576">
        <v>2</v>
      </c>
      <c r="X576" s="8" t="s">
        <v>46</v>
      </c>
      <c r="Y576" s="15">
        <v>0.16</v>
      </c>
      <c r="Z576">
        <v>3</v>
      </c>
      <c r="AA576">
        <v>3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 t="str">
        <f t="shared" si="42"/>
        <v>0-3</v>
      </c>
      <c r="AI576">
        <v>1</v>
      </c>
      <c r="AJ576" t="str">
        <f t="shared" si="43"/>
        <v>0-2</v>
      </c>
      <c r="AK576">
        <v>3</v>
      </c>
    </row>
    <row r="577" spans="1:37" x14ac:dyDescent="0.25">
      <c r="A577" s="8">
        <v>576</v>
      </c>
      <c r="B577" t="s">
        <v>52</v>
      </c>
      <c r="C577" t="s">
        <v>54</v>
      </c>
      <c r="D577" s="8">
        <v>54</v>
      </c>
      <c r="E577" t="str">
        <f t="shared" si="44"/>
        <v>46-55</v>
      </c>
      <c r="F577" t="s">
        <v>46</v>
      </c>
      <c r="G577" t="s">
        <v>39</v>
      </c>
      <c r="H577" s="8" t="s">
        <v>48</v>
      </c>
      <c r="I577" s="10">
        <v>19</v>
      </c>
      <c r="J577" t="str">
        <f t="shared" si="40"/>
        <v>Far</v>
      </c>
      <c r="K577">
        <v>4</v>
      </c>
      <c r="L577" t="s">
        <v>53</v>
      </c>
      <c r="M577">
        <v>4</v>
      </c>
      <c r="N577">
        <v>3</v>
      </c>
      <c r="O577">
        <v>2</v>
      </c>
      <c r="P577" t="s">
        <v>55</v>
      </c>
      <c r="Q577">
        <v>1</v>
      </c>
      <c r="R577" s="11">
        <v>376</v>
      </c>
      <c r="S577" s="14">
        <v>95</v>
      </c>
      <c r="T577" s="13">
        <v>5485</v>
      </c>
      <c r="U577" s="13">
        <f t="shared" si="41"/>
        <v>65820</v>
      </c>
      <c r="V577" s="14">
        <v>22670</v>
      </c>
      <c r="W577">
        <v>9</v>
      </c>
      <c r="X577" s="8" t="s">
        <v>38</v>
      </c>
      <c r="Y577" s="15">
        <v>0.11</v>
      </c>
      <c r="Z577">
        <v>3</v>
      </c>
      <c r="AA577">
        <v>2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 t="str">
        <f t="shared" si="42"/>
        <v>0-3</v>
      </c>
      <c r="AI577">
        <v>1</v>
      </c>
      <c r="AJ577" t="str">
        <f t="shared" si="43"/>
        <v>0-2</v>
      </c>
      <c r="AK577">
        <v>4</v>
      </c>
    </row>
    <row r="578" spans="1:37" x14ac:dyDescent="0.25">
      <c r="A578" s="8">
        <v>577</v>
      </c>
      <c r="B578" t="s">
        <v>44</v>
      </c>
      <c r="C578" t="s">
        <v>45</v>
      </c>
      <c r="D578" s="8">
        <v>27</v>
      </c>
      <c r="E578" t="str">
        <f t="shared" si="44"/>
        <v>26-35</v>
      </c>
      <c r="F578" t="s">
        <v>46</v>
      </c>
      <c r="G578" t="s">
        <v>47</v>
      </c>
      <c r="H578" s="8" t="s">
        <v>40</v>
      </c>
      <c r="I578" s="10">
        <v>8</v>
      </c>
      <c r="J578" t="str">
        <f t="shared" si="40"/>
        <v>Moderate</v>
      </c>
      <c r="K578">
        <v>1</v>
      </c>
      <c r="L578" t="s">
        <v>62</v>
      </c>
      <c r="M578">
        <v>3</v>
      </c>
      <c r="N578">
        <v>3</v>
      </c>
      <c r="O578">
        <v>2</v>
      </c>
      <c r="P578" t="s">
        <v>42</v>
      </c>
      <c r="Q578">
        <v>4</v>
      </c>
      <c r="R578" s="11">
        <v>829</v>
      </c>
      <c r="S578" s="14">
        <v>84</v>
      </c>
      <c r="T578" s="13">
        <v>4342</v>
      </c>
      <c r="U578" s="13">
        <f t="shared" si="41"/>
        <v>52104</v>
      </c>
      <c r="V578" s="14">
        <v>24008</v>
      </c>
      <c r="W578">
        <v>0</v>
      </c>
      <c r="X578" s="8" t="s">
        <v>46</v>
      </c>
      <c r="Y578" s="15">
        <v>0.19</v>
      </c>
      <c r="Z578">
        <v>3</v>
      </c>
      <c r="AA578">
        <v>2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 t="str">
        <f t="shared" si="42"/>
        <v>0-3</v>
      </c>
      <c r="AI578">
        <v>1</v>
      </c>
      <c r="AJ578" t="str">
        <f t="shared" si="43"/>
        <v>0-2</v>
      </c>
      <c r="AK578">
        <v>1</v>
      </c>
    </row>
    <row r="579" spans="1:37" x14ac:dyDescent="0.25">
      <c r="A579" s="8">
        <v>578</v>
      </c>
      <c r="B579" t="s">
        <v>52</v>
      </c>
      <c r="C579" t="s">
        <v>54</v>
      </c>
      <c r="D579" s="8">
        <v>37</v>
      </c>
      <c r="E579" t="str">
        <f t="shared" si="44"/>
        <v>36-45</v>
      </c>
      <c r="F579" t="s">
        <v>46</v>
      </c>
      <c r="G579" t="s">
        <v>39</v>
      </c>
      <c r="H579" s="8" t="s">
        <v>48</v>
      </c>
      <c r="I579" s="10">
        <v>10</v>
      </c>
      <c r="J579" t="str">
        <f t="shared" ref="J579:J642" si="45">IF(I579&lt;=5,"Near",IF(I579&lt;=15,"Moderate",IF(I579&gt;15,"Far")))</f>
        <v>Moderate</v>
      </c>
      <c r="K579">
        <v>1</v>
      </c>
      <c r="L579" t="s">
        <v>41</v>
      </c>
      <c r="M579">
        <v>4</v>
      </c>
      <c r="N579">
        <v>3</v>
      </c>
      <c r="O579">
        <v>1</v>
      </c>
      <c r="P579" t="s">
        <v>49</v>
      </c>
      <c r="Q579">
        <v>1</v>
      </c>
      <c r="R579" s="11">
        <v>571</v>
      </c>
      <c r="S579" s="14">
        <v>82</v>
      </c>
      <c r="T579" s="13">
        <v>2782</v>
      </c>
      <c r="U579" s="13">
        <f t="shared" ref="U579:U642" si="46">T579*12</f>
        <v>33384</v>
      </c>
      <c r="V579" s="14">
        <v>19905</v>
      </c>
      <c r="W579">
        <v>0</v>
      </c>
      <c r="X579" s="8" t="s">
        <v>38</v>
      </c>
      <c r="Y579" s="15">
        <v>0.13</v>
      </c>
      <c r="Z579">
        <v>3</v>
      </c>
      <c r="AA579">
        <v>2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 t="str">
        <f t="shared" ref="AH579:AH642" si="47">IF(AG:AG&lt;=3,"0-3", IF(AG:AG&lt;=7,"4-7", IF(AG:AG&lt;=11,"8-11", IF(AG:AG&lt;=15,"12-15","16-19"))))</f>
        <v>0-3</v>
      </c>
      <c r="AI579">
        <v>4</v>
      </c>
      <c r="AJ579" t="str">
        <f t="shared" ref="AJ579:AJ642" si="48">IF(AI:AI&lt;=2,"0-2",IF(AI:AI&lt;=5,"3-5", IF(AI:AI&lt;=8,"6-8", IF(AI:AI&lt;=11,"9-11","12-15"))))</f>
        <v>3-5</v>
      </c>
      <c r="AK579">
        <v>3</v>
      </c>
    </row>
    <row r="580" spans="1:37" x14ac:dyDescent="0.25">
      <c r="A580" s="8">
        <v>579</v>
      </c>
      <c r="B580" t="s">
        <v>52</v>
      </c>
      <c r="C580" t="s">
        <v>37</v>
      </c>
      <c r="D580" s="8">
        <v>38</v>
      </c>
      <c r="E580" t="str">
        <f t="shared" ref="E580:E643" si="49">IF(D580&lt;25,"18-25",IF(D580&lt;=35,"26-35",IF(D580&lt;=45,"36-45",IF(D580&lt;=55,"46-55",IF(D580&gt;55,"55+")))))</f>
        <v>36-45</v>
      </c>
      <c r="F580" t="s">
        <v>46</v>
      </c>
      <c r="G580" t="s">
        <v>47</v>
      </c>
      <c r="H580" s="8" t="s">
        <v>48</v>
      </c>
      <c r="I580" s="10">
        <v>2</v>
      </c>
      <c r="J580" t="str">
        <f t="shared" si="45"/>
        <v>Near</v>
      </c>
      <c r="K580">
        <v>4</v>
      </c>
      <c r="L580" t="s">
        <v>41</v>
      </c>
      <c r="M580">
        <v>1</v>
      </c>
      <c r="N580">
        <v>4</v>
      </c>
      <c r="O580">
        <v>2</v>
      </c>
      <c r="P580" t="s">
        <v>55</v>
      </c>
      <c r="Q580">
        <v>1</v>
      </c>
      <c r="R580" s="11">
        <v>240</v>
      </c>
      <c r="S580" s="14">
        <v>75</v>
      </c>
      <c r="T580" s="13">
        <v>5980</v>
      </c>
      <c r="U580" s="13">
        <f t="shared" si="46"/>
        <v>71760</v>
      </c>
      <c r="V580" s="14">
        <v>26085</v>
      </c>
      <c r="W580">
        <v>6</v>
      </c>
      <c r="X580" s="8" t="s">
        <v>38</v>
      </c>
      <c r="Y580" s="15">
        <v>0.12</v>
      </c>
      <c r="Z580">
        <v>3</v>
      </c>
      <c r="AA580">
        <v>4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 t="str">
        <f t="shared" si="47"/>
        <v>4-7</v>
      </c>
      <c r="AI580">
        <v>4</v>
      </c>
      <c r="AJ580" t="str">
        <f t="shared" si="48"/>
        <v>3-5</v>
      </c>
      <c r="AK580">
        <v>12</v>
      </c>
    </row>
    <row r="581" spans="1:37" x14ac:dyDescent="0.25">
      <c r="A581" s="8">
        <v>580</v>
      </c>
      <c r="B581" t="s">
        <v>52</v>
      </c>
      <c r="C581" t="s">
        <v>37</v>
      </c>
      <c r="D581" s="8">
        <v>34</v>
      </c>
      <c r="E581" t="str">
        <f t="shared" si="49"/>
        <v>26-35</v>
      </c>
      <c r="F581" t="s">
        <v>46</v>
      </c>
      <c r="G581" t="s">
        <v>39</v>
      </c>
      <c r="H581" s="8" t="s">
        <v>48</v>
      </c>
      <c r="I581" s="10">
        <v>2</v>
      </c>
      <c r="J581" t="str">
        <f t="shared" si="45"/>
        <v>Near</v>
      </c>
      <c r="K581">
        <v>4</v>
      </c>
      <c r="L581" t="s">
        <v>53</v>
      </c>
      <c r="M581">
        <v>3</v>
      </c>
      <c r="N581">
        <v>2</v>
      </c>
      <c r="O581">
        <v>1</v>
      </c>
      <c r="P581" t="s">
        <v>49</v>
      </c>
      <c r="Q581">
        <v>1</v>
      </c>
      <c r="R581" s="11">
        <v>121</v>
      </c>
      <c r="S581" s="14">
        <v>86</v>
      </c>
      <c r="T581" s="13">
        <v>4381</v>
      </c>
      <c r="U581" s="13">
        <f t="shared" si="46"/>
        <v>52572</v>
      </c>
      <c r="V581" s="14">
        <v>7530</v>
      </c>
      <c r="W581">
        <v>1</v>
      </c>
      <c r="X581" s="8" t="s">
        <v>46</v>
      </c>
      <c r="Y581" s="15">
        <v>0.11</v>
      </c>
      <c r="Z581">
        <v>3</v>
      </c>
      <c r="AA581">
        <v>3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 t="str">
        <f t="shared" si="47"/>
        <v>4-7</v>
      </c>
      <c r="AI581">
        <v>1</v>
      </c>
      <c r="AJ581" t="str">
        <f t="shared" si="48"/>
        <v>0-2</v>
      </c>
      <c r="AK581">
        <v>3</v>
      </c>
    </row>
    <row r="582" spans="1:37" x14ac:dyDescent="0.25">
      <c r="A582" s="8">
        <v>581</v>
      </c>
      <c r="B582" t="s">
        <v>52</v>
      </c>
      <c r="C582" t="s">
        <v>45</v>
      </c>
      <c r="D582" s="8">
        <v>35</v>
      </c>
      <c r="E582" t="str">
        <f t="shared" si="49"/>
        <v>26-35</v>
      </c>
      <c r="F582" t="s">
        <v>46</v>
      </c>
      <c r="G582" t="s">
        <v>39</v>
      </c>
      <c r="H582" s="8" t="s">
        <v>40</v>
      </c>
      <c r="I582" s="10">
        <v>8</v>
      </c>
      <c r="J582" t="str">
        <f t="shared" si="45"/>
        <v>Moderate</v>
      </c>
      <c r="K582">
        <v>4</v>
      </c>
      <c r="L582" t="s">
        <v>41</v>
      </c>
      <c r="M582">
        <v>1</v>
      </c>
      <c r="N582">
        <v>3</v>
      </c>
      <c r="O582">
        <v>1</v>
      </c>
      <c r="P582" t="s">
        <v>60</v>
      </c>
      <c r="Q582">
        <v>4</v>
      </c>
      <c r="R582" s="11">
        <v>384</v>
      </c>
      <c r="S582" s="14">
        <v>72</v>
      </c>
      <c r="T582" s="13">
        <v>2572</v>
      </c>
      <c r="U582" s="13">
        <f t="shared" si="46"/>
        <v>30864</v>
      </c>
      <c r="V582" s="14">
        <v>20317</v>
      </c>
      <c r="W582">
        <v>1</v>
      </c>
      <c r="X582" s="8" t="s">
        <v>46</v>
      </c>
      <c r="Y582" s="15">
        <v>0.16</v>
      </c>
      <c r="Z582">
        <v>3</v>
      </c>
      <c r="AA582">
        <v>2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 t="str">
        <f t="shared" si="47"/>
        <v>0-3</v>
      </c>
      <c r="AI582">
        <v>0</v>
      </c>
      <c r="AJ582" t="str">
        <f t="shared" si="48"/>
        <v>0-2</v>
      </c>
      <c r="AK582">
        <v>2</v>
      </c>
    </row>
    <row r="583" spans="1:37" x14ac:dyDescent="0.25">
      <c r="A583" s="8">
        <v>582</v>
      </c>
      <c r="B583" t="s">
        <v>44</v>
      </c>
      <c r="C583" t="s">
        <v>45</v>
      </c>
      <c r="D583" s="8">
        <v>30</v>
      </c>
      <c r="E583" t="str">
        <f t="shared" si="49"/>
        <v>26-35</v>
      </c>
      <c r="F583" t="s">
        <v>46</v>
      </c>
      <c r="G583" t="s">
        <v>39</v>
      </c>
      <c r="H583" s="8" t="s">
        <v>48</v>
      </c>
      <c r="I583" s="10">
        <v>1</v>
      </c>
      <c r="J583" t="str">
        <f t="shared" si="45"/>
        <v>Near</v>
      </c>
      <c r="K583">
        <v>3</v>
      </c>
      <c r="L583" t="s">
        <v>41</v>
      </c>
      <c r="M583">
        <v>4</v>
      </c>
      <c r="N583">
        <v>1</v>
      </c>
      <c r="O583">
        <v>1</v>
      </c>
      <c r="P583" t="s">
        <v>51</v>
      </c>
      <c r="Q583">
        <v>3</v>
      </c>
      <c r="R583" s="11">
        <v>921</v>
      </c>
      <c r="S583" s="14">
        <v>38</v>
      </c>
      <c r="T583" s="13">
        <v>3833</v>
      </c>
      <c r="U583" s="13">
        <f t="shared" si="46"/>
        <v>45996</v>
      </c>
      <c r="V583" s="14">
        <v>24375</v>
      </c>
      <c r="W583">
        <v>3</v>
      </c>
      <c r="X583" s="8" t="s">
        <v>46</v>
      </c>
      <c r="Y583" s="15">
        <v>0.21</v>
      </c>
      <c r="Z583">
        <v>4</v>
      </c>
      <c r="AA583">
        <v>3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 t="str">
        <f t="shared" si="47"/>
        <v>0-3</v>
      </c>
      <c r="AI583">
        <v>0</v>
      </c>
      <c r="AJ583" t="str">
        <f t="shared" si="48"/>
        <v>0-2</v>
      </c>
      <c r="AK583">
        <v>2</v>
      </c>
    </row>
    <row r="584" spans="1:37" x14ac:dyDescent="0.25">
      <c r="A584" s="8">
        <v>583</v>
      </c>
      <c r="B584" t="s">
        <v>52</v>
      </c>
      <c r="C584" t="s">
        <v>45</v>
      </c>
      <c r="D584" s="8">
        <v>40</v>
      </c>
      <c r="E584" t="str">
        <f t="shared" si="49"/>
        <v>36-45</v>
      </c>
      <c r="F584" t="s">
        <v>46</v>
      </c>
      <c r="G584" t="s">
        <v>47</v>
      </c>
      <c r="H584" s="8" t="s">
        <v>48</v>
      </c>
      <c r="I584" s="10">
        <v>2</v>
      </c>
      <c r="J584" t="str">
        <f t="shared" si="45"/>
        <v>Near</v>
      </c>
      <c r="K584">
        <v>2</v>
      </c>
      <c r="L584" t="s">
        <v>53</v>
      </c>
      <c r="M584">
        <v>3</v>
      </c>
      <c r="N584">
        <v>4</v>
      </c>
      <c r="O584">
        <v>2</v>
      </c>
      <c r="P584" t="s">
        <v>56</v>
      </c>
      <c r="Q584">
        <v>2</v>
      </c>
      <c r="R584" s="11">
        <v>791</v>
      </c>
      <c r="S584" s="14">
        <v>38</v>
      </c>
      <c r="T584" s="13">
        <v>4244</v>
      </c>
      <c r="U584" s="13">
        <f t="shared" si="46"/>
        <v>50928</v>
      </c>
      <c r="V584" s="14">
        <v>9931</v>
      </c>
      <c r="W584">
        <v>1</v>
      </c>
      <c r="X584" s="8" t="s">
        <v>46</v>
      </c>
      <c r="Y584" s="15">
        <v>0.24</v>
      </c>
      <c r="Z584">
        <v>4</v>
      </c>
      <c r="AA584">
        <v>4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 t="str">
        <f t="shared" si="47"/>
        <v>4-7</v>
      </c>
      <c r="AI584">
        <v>3</v>
      </c>
      <c r="AJ584" t="str">
        <f t="shared" si="48"/>
        <v>3-5</v>
      </c>
      <c r="AK584">
        <v>7</v>
      </c>
    </row>
    <row r="585" spans="1:37" x14ac:dyDescent="0.25">
      <c r="A585" s="8">
        <v>584</v>
      </c>
      <c r="B585" t="s">
        <v>52</v>
      </c>
      <c r="C585" t="s">
        <v>45</v>
      </c>
      <c r="D585" s="8">
        <v>34</v>
      </c>
      <c r="E585" t="str">
        <f t="shared" si="49"/>
        <v>26-35</v>
      </c>
      <c r="F585" t="s">
        <v>46</v>
      </c>
      <c r="G585" t="s">
        <v>39</v>
      </c>
      <c r="H585" s="8" t="s">
        <v>40</v>
      </c>
      <c r="I585" s="10">
        <v>8</v>
      </c>
      <c r="J585" t="str">
        <f t="shared" si="45"/>
        <v>Moderate</v>
      </c>
      <c r="K585">
        <v>2</v>
      </c>
      <c r="L585" t="s">
        <v>41</v>
      </c>
      <c r="M585">
        <v>3</v>
      </c>
      <c r="N585">
        <v>3</v>
      </c>
      <c r="O585">
        <v>2</v>
      </c>
      <c r="P585" t="s">
        <v>42</v>
      </c>
      <c r="Q585">
        <v>1</v>
      </c>
      <c r="R585" s="11">
        <v>1111</v>
      </c>
      <c r="S585" s="14">
        <v>93</v>
      </c>
      <c r="T585" s="13">
        <v>6500</v>
      </c>
      <c r="U585" s="13">
        <f t="shared" si="46"/>
        <v>78000</v>
      </c>
      <c r="V585" s="14">
        <v>13305</v>
      </c>
      <c r="W585">
        <v>5</v>
      </c>
      <c r="X585" s="8" t="s">
        <v>46</v>
      </c>
      <c r="Y585" s="15">
        <v>0.17</v>
      </c>
      <c r="Z585">
        <v>3</v>
      </c>
      <c r="AA585">
        <v>2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 t="str">
        <f t="shared" si="47"/>
        <v>0-3</v>
      </c>
      <c r="AI585">
        <v>1</v>
      </c>
      <c r="AJ585" t="str">
        <f t="shared" si="48"/>
        <v>0-2</v>
      </c>
      <c r="AK585">
        <v>2</v>
      </c>
    </row>
    <row r="586" spans="1:37" x14ac:dyDescent="0.25">
      <c r="A586" s="8">
        <v>585</v>
      </c>
      <c r="B586" t="s">
        <v>44</v>
      </c>
      <c r="C586" t="s">
        <v>54</v>
      </c>
      <c r="D586" s="8">
        <v>42</v>
      </c>
      <c r="E586" t="str">
        <f t="shared" si="49"/>
        <v>36-45</v>
      </c>
      <c r="F586" t="s">
        <v>46</v>
      </c>
      <c r="G586" t="s">
        <v>47</v>
      </c>
      <c r="H586" s="8" t="s">
        <v>48</v>
      </c>
      <c r="I586" s="10">
        <v>8</v>
      </c>
      <c r="J586" t="str">
        <f t="shared" si="45"/>
        <v>Moderate</v>
      </c>
      <c r="K586">
        <v>3</v>
      </c>
      <c r="L586" t="s">
        <v>41</v>
      </c>
      <c r="M586">
        <v>2</v>
      </c>
      <c r="N586">
        <v>3</v>
      </c>
      <c r="O586">
        <v>5</v>
      </c>
      <c r="P586" t="s">
        <v>59</v>
      </c>
      <c r="Q586">
        <v>4</v>
      </c>
      <c r="R586" s="11">
        <v>570</v>
      </c>
      <c r="S586" s="14">
        <v>66</v>
      </c>
      <c r="T586" s="13">
        <v>18430</v>
      </c>
      <c r="U586" s="13">
        <f t="shared" si="46"/>
        <v>221160</v>
      </c>
      <c r="V586" s="14">
        <v>16225</v>
      </c>
      <c r="W586">
        <v>1</v>
      </c>
      <c r="X586" s="8" t="s">
        <v>46</v>
      </c>
      <c r="Y586" s="15">
        <v>0.13</v>
      </c>
      <c r="Z586">
        <v>3</v>
      </c>
      <c r="AA586">
        <v>2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 t="str">
        <f t="shared" si="47"/>
        <v>4-7</v>
      </c>
      <c r="AI586">
        <v>14</v>
      </c>
      <c r="AJ586" t="str">
        <f t="shared" si="48"/>
        <v>12-15</v>
      </c>
      <c r="AK586">
        <v>9</v>
      </c>
    </row>
    <row r="587" spans="1:37" x14ac:dyDescent="0.25">
      <c r="A587" s="8">
        <v>586</v>
      </c>
      <c r="B587" t="s">
        <v>44</v>
      </c>
      <c r="C587" t="s">
        <v>45</v>
      </c>
      <c r="D587" s="8">
        <v>23</v>
      </c>
      <c r="E587" t="str">
        <f t="shared" si="49"/>
        <v>18-25</v>
      </c>
      <c r="F587" t="s">
        <v>38</v>
      </c>
      <c r="G587" t="s">
        <v>39</v>
      </c>
      <c r="H587" s="8" t="s">
        <v>48</v>
      </c>
      <c r="I587" s="10">
        <v>6</v>
      </c>
      <c r="J587" t="str">
        <f t="shared" si="45"/>
        <v>Moderate</v>
      </c>
      <c r="K587">
        <v>3</v>
      </c>
      <c r="L587" t="s">
        <v>41</v>
      </c>
      <c r="M587">
        <v>3</v>
      </c>
      <c r="N587">
        <v>4</v>
      </c>
      <c r="O587">
        <v>1</v>
      </c>
      <c r="P587" t="s">
        <v>51</v>
      </c>
      <c r="Q587">
        <v>1</v>
      </c>
      <c r="R587" s="11">
        <v>1243</v>
      </c>
      <c r="S587" s="14">
        <v>63</v>
      </c>
      <c r="T587" s="13">
        <v>1601</v>
      </c>
      <c r="U587" s="13">
        <f t="shared" si="46"/>
        <v>19212</v>
      </c>
      <c r="V587" s="14">
        <v>3445</v>
      </c>
      <c r="W587">
        <v>1</v>
      </c>
      <c r="X587" s="8" t="s">
        <v>38</v>
      </c>
      <c r="Y587" s="15">
        <v>0.21</v>
      </c>
      <c r="Z587">
        <v>4</v>
      </c>
      <c r="AA587">
        <v>3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 t="str">
        <f t="shared" si="47"/>
        <v>0-3</v>
      </c>
      <c r="AI587">
        <v>0</v>
      </c>
      <c r="AJ587" t="str">
        <f t="shared" si="48"/>
        <v>0-2</v>
      </c>
      <c r="AK587">
        <v>0</v>
      </c>
    </row>
    <row r="588" spans="1:37" x14ac:dyDescent="0.25">
      <c r="A588" s="8">
        <v>587</v>
      </c>
      <c r="B588" t="s">
        <v>44</v>
      </c>
      <c r="C588" t="s">
        <v>54</v>
      </c>
      <c r="D588" s="8">
        <v>24</v>
      </c>
      <c r="E588" t="str">
        <f t="shared" si="49"/>
        <v>18-25</v>
      </c>
      <c r="F588" t="s">
        <v>46</v>
      </c>
      <c r="G588" t="s">
        <v>58</v>
      </c>
      <c r="H588" s="8" t="s">
        <v>48</v>
      </c>
      <c r="I588" s="10">
        <v>9</v>
      </c>
      <c r="J588" t="str">
        <f t="shared" si="45"/>
        <v>Moderate</v>
      </c>
      <c r="K588">
        <v>3</v>
      </c>
      <c r="L588" t="s">
        <v>41</v>
      </c>
      <c r="M588">
        <v>3</v>
      </c>
      <c r="N588">
        <v>2</v>
      </c>
      <c r="O588">
        <v>1</v>
      </c>
      <c r="P588" t="s">
        <v>51</v>
      </c>
      <c r="Q588">
        <v>2</v>
      </c>
      <c r="R588" s="11">
        <v>1092</v>
      </c>
      <c r="S588" s="14">
        <v>60</v>
      </c>
      <c r="T588" s="13">
        <v>2694</v>
      </c>
      <c r="U588" s="13">
        <f t="shared" si="46"/>
        <v>32328</v>
      </c>
      <c r="V588" s="14">
        <v>26551</v>
      </c>
      <c r="W588">
        <v>1</v>
      </c>
      <c r="X588" s="8" t="s">
        <v>46</v>
      </c>
      <c r="Y588" s="15">
        <v>0.11</v>
      </c>
      <c r="Z588">
        <v>3</v>
      </c>
      <c r="AA588">
        <v>3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 t="str">
        <f t="shared" si="47"/>
        <v>0-3</v>
      </c>
      <c r="AI588">
        <v>0</v>
      </c>
      <c r="AJ588" t="str">
        <f t="shared" si="48"/>
        <v>0-2</v>
      </c>
      <c r="AK588">
        <v>0</v>
      </c>
    </row>
    <row r="589" spans="1:37" x14ac:dyDescent="0.25">
      <c r="A589" s="8">
        <v>588</v>
      </c>
      <c r="B589" t="s">
        <v>52</v>
      </c>
      <c r="C589" t="s">
        <v>45</v>
      </c>
      <c r="D589" s="8">
        <v>52</v>
      </c>
      <c r="E589" t="str">
        <f t="shared" si="49"/>
        <v>46-55</v>
      </c>
      <c r="F589" t="s">
        <v>46</v>
      </c>
      <c r="G589" t="s">
        <v>39</v>
      </c>
      <c r="H589" s="8" t="s">
        <v>48</v>
      </c>
      <c r="I589" s="10">
        <v>11</v>
      </c>
      <c r="J589" t="str">
        <f t="shared" si="45"/>
        <v>Moderate</v>
      </c>
      <c r="K589">
        <v>4</v>
      </c>
      <c r="L589" t="s">
        <v>41</v>
      </c>
      <c r="M589">
        <v>4</v>
      </c>
      <c r="N589">
        <v>3</v>
      </c>
      <c r="O589">
        <v>2</v>
      </c>
      <c r="P589" t="s">
        <v>51</v>
      </c>
      <c r="Q589">
        <v>3</v>
      </c>
      <c r="R589" s="11">
        <v>1325</v>
      </c>
      <c r="S589" s="14">
        <v>82</v>
      </c>
      <c r="T589" s="13">
        <v>3149</v>
      </c>
      <c r="U589" s="13">
        <f t="shared" si="46"/>
        <v>37788</v>
      </c>
      <c r="V589" s="14">
        <v>21821</v>
      </c>
      <c r="W589">
        <v>8</v>
      </c>
      <c r="X589" s="8" t="s">
        <v>46</v>
      </c>
      <c r="Y589" s="15">
        <v>0.2</v>
      </c>
      <c r="Z589">
        <v>4</v>
      </c>
      <c r="AA589">
        <v>2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 t="str">
        <f t="shared" si="47"/>
        <v>0-3</v>
      </c>
      <c r="AI589">
        <v>1</v>
      </c>
      <c r="AJ589" t="str">
        <f t="shared" si="48"/>
        <v>0-2</v>
      </c>
      <c r="AK589">
        <v>4</v>
      </c>
    </row>
    <row r="590" spans="1:37" x14ac:dyDescent="0.25">
      <c r="A590" s="8">
        <v>589</v>
      </c>
      <c r="B590" t="s">
        <v>44</v>
      </c>
      <c r="C590" t="s">
        <v>45</v>
      </c>
      <c r="D590" s="8">
        <v>50</v>
      </c>
      <c r="E590" t="str">
        <f t="shared" si="49"/>
        <v>46-55</v>
      </c>
      <c r="F590" t="s">
        <v>46</v>
      </c>
      <c r="G590" t="s">
        <v>39</v>
      </c>
      <c r="H590" s="8" t="s">
        <v>48</v>
      </c>
      <c r="I590" s="10">
        <v>2</v>
      </c>
      <c r="J590" t="str">
        <f t="shared" si="45"/>
        <v>Near</v>
      </c>
      <c r="K590">
        <v>3</v>
      </c>
      <c r="L590" t="s">
        <v>53</v>
      </c>
      <c r="M590">
        <v>3</v>
      </c>
      <c r="N590">
        <v>3</v>
      </c>
      <c r="O590">
        <v>4</v>
      </c>
      <c r="P590" t="s">
        <v>61</v>
      </c>
      <c r="Q590">
        <v>3</v>
      </c>
      <c r="R590" s="11">
        <v>691</v>
      </c>
      <c r="S590" s="14">
        <v>64</v>
      </c>
      <c r="T590" s="13">
        <v>17639</v>
      </c>
      <c r="U590" s="13">
        <f t="shared" si="46"/>
        <v>211668</v>
      </c>
      <c r="V590" s="14">
        <v>6881</v>
      </c>
      <c r="W590">
        <v>5</v>
      </c>
      <c r="X590" s="8" t="s">
        <v>46</v>
      </c>
      <c r="Y590" s="15">
        <v>0.16</v>
      </c>
      <c r="Z590">
        <v>3</v>
      </c>
      <c r="AA590">
        <v>4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 t="str">
        <f t="shared" si="47"/>
        <v>0-3</v>
      </c>
      <c r="AI590">
        <v>0</v>
      </c>
      <c r="AJ590" t="str">
        <f t="shared" si="48"/>
        <v>0-2</v>
      </c>
      <c r="AK590">
        <v>3</v>
      </c>
    </row>
    <row r="591" spans="1:37" x14ac:dyDescent="0.25">
      <c r="A591" s="8">
        <v>590</v>
      </c>
      <c r="B591" t="s">
        <v>52</v>
      </c>
      <c r="C591" t="s">
        <v>45</v>
      </c>
      <c r="D591" s="8">
        <v>29</v>
      </c>
      <c r="E591" t="str">
        <f t="shared" si="49"/>
        <v>26-35</v>
      </c>
      <c r="F591" t="s">
        <v>38</v>
      </c>
      <c r="G591" t="s">
        <v>39</v>
      </c>
      <c r="H591" s="8" t="s">
        <v>48</v>
      </c>
      <c r="I591" s="10">
        <v>1</v>
      </c>
      <c r="J591" t="str">
        <f t="shared" si="45"/>
        <v>Near</v>
      </c>
      <c r="K591">
        <v>2</v>
      </c>
      <c r="L591" t="s">
        <v>41</v>
      </c>
      <c r="M591">
        <v>2</v>
      </c>
      <c r="N591">
        <v>2</v>
      </c>
      <c r="O591">
        <v>1</v>
      </c>
      <c r="P591" t="s">
        <v>51</v>
      </c>
      <c r="Q591">
        <v>1</v>
      </c>
      <c r="R591" s="11">
        <v>805</v>
      </c>
      <c r="S591" s="14">
        <v>36</v>
      </c>
      <c r="T591" s="13">
        <v>2319</v>
      </c>
      <c r="U591" s="13">
        <f t="shared" si="46"/>
        <v>27828</v>
      </c>
      <c r="V591" s="14">
        <v>6689</v>
      </c>
      <c r="W591">
        <v>1</v>
      </c>
      <c r="X591" s="8" t="s">
        <v>38</v>
      </c>
      <c r="Y591" s="15">
        <v>0.11</v>
      </c>
      <c r="Z591">
        <v>3</v>
      </c>
      <c r="AA591">
        <v>4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 t="str">
        <f t="shared" si="47"/>
        <v>0-3</v>
      </c>
      <c r="AI591">
        <v>0</v>
      </c>
      <c r="AJ591" t="str">
        <f t="shared" si="48"/>
        <v>0-2</v>
      </c>
      <c r="AK591">
        <v>0</v>
      </c>
    </row>
    <row r="592" spans="1:37" x14ac:dyDescent="0.25">
      <c r="A592" s="8">
        <v>591</v>
      </c>
      <c r="B592" t="s">
        <v>44</v>
      </c>
      <c r="C592" t="s">
        <v>45</v>
      </c>
      <c r="D592" s="8">
        <v>33</v>
      </c>
      <c r="E592" t="str">
        <f t="shared" si="49"/>
        <v>26-35</v>
      </c>
      <c r="F592" t="s">
        <v>46</v>
      </c>
      <c r="G592" t="s">
        <v>39</v>
      </c>
      <c r="H592" s="8" t="s">
        <v>48</v>
      </c>
      <c r="I592" s="10">
        <v>7</v>
      </c>
      <c r="J592" t="str">
        <f t="shared" si="45"/>
        <v>Moderate</v>
      </c>
      <c r="K592">
        <v>3</v>
      </c>
      <c r="L592" t="s">
        <v>53</v>
      </c>
      <c r="M592">
        <v>3</v>
      </c>
      <c r="N592">
        <v>3</v>
      </c>
      <c r="O592">
        <v>3</v>
      </c>
      <c r="P592" t="s">
        <v>61</v>
      </c>
      <c r="Q592">
        <v>3</v>
      </c>
      <c r="R592" s="11">
        <v>213</v>
      </c>
      <c r="S592" s="14">
        <v>49</v>
      </c>
      <c r="T592" s="13">
        <v>11691</v>
      </c>
      <c r="U592" s="13">
        <f t="shared" si="46"/>
        <v>140292</v>
      </c>
      <c r="V592" s="14">
        <v>25995</v>
      </c>
      <c r="W592">
        <v>0</v>
      </c>
      <c r="X592" s="8" t="s">
        <v>46</v>
      </c>
      <c r="Y592" s="15">
        <v>0.11</v>
      </c>
      <c r="Z592">
        <v>3</v>
      </c>
      <c r="AA592">
        <v>4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 t="str">
        <f t="shared" si="47"/>
        <v>8-11</v>
      </c>
      <c r="AI592">
        <v>3</v>
      </c>
      <c r="AJ592" t="str">
        <f t="shared" si="48"/>
        <v>3-5</v>
      </c>
      <c r="AK592">
        <v>7</v>
      </c>
    </row>
    <row r="593" spans="1:37" x14ac:dyDescent="0.25">
      <c r="A593" s="8">
        <v>592</v>
      </c>
      <c r="B593" t="s">
        <v>52</v>
      </c>
      <c r="C593" t="s">
        <v>37</v>
      </c>
      <c r="D593" s="8">
        <v>33</v>
      </c>
      <c r="E593" t="str">
        <f t="shared" si="49"/>
        <v>26-35</v>
      </c>
      <c r="F593" t="s">
        <v>38</v>
      </c>
      <c r="G593" t="s">
        <v>39</v>
      </c>
      <c r="H593" s="8" t="s">
        <v>40</v>
      </c>
      <c r="I593" s="10">
        <v>16</v>
      </c>
      <c r="J593" t="str">
        <f t="shared" si="45"/>
        <v>Far</v>
      </c>
      <c r="K593">
        <v>3</v>
      </c>
      <c r="L593" t="s">
        <v>62</v>
      </c>
      <c r="M593">
        <v>1</v>
      </c>
      <c r="N593">
        <v>3</v>
      </c>
      <c r="O593">
        <v>2</v>
      </c>
      <c r="P593" t="s">
        <v>42</v>
      </c>
      <c r="Q593">
        <v>1</v>
      </c>
      <c r="R593" s="11">
        <v>118</v>
      </c>
      <c r="S593" s="14">
        <v>69</v>
      </c>
      <c r="T593" s="13">
        <v>5324</v>
      </c>
      <c r="U593" s="13">
        <f t="shared" si="46"/>
        <v>63888</v>
      </c>
      <c r="V593" s="14">
        <v>26507</v>
      </c>
      <c r="W593">
        <v>5</v>
      </c>
      <c r="X593" s="8" t="s">
        <v>46</v>
      </c>
      <c r="Y593" s="15">
        <v>0.15</v>
      </c>
      <c r="Z593">
        <v>3</v>
      </c>
      <c r="AA593">
        <v>3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 t="str">
        <f t="shared" si="47"/>
        <v>0-3</v>
      </c>
      <c r="AI593">
        <v>0</v>
      </c>
      <c r="AJ593" t="str">
        <f t="shared" si="48"/>
        <v>0-2</v>
      </c>
      <c r="AK593">
        <v>2</v>
      </c>
    </row>
    <row r="594" spans="1:37" x14ac:dyDescent="0.25">
      <c r="A594" s="8">
        <v>593</v>
      </c>
      <c r="B594" t="s">
        <v>52</v>
      </c>
      <c r="C594" t="s">
        <v>45</v>
      </c>
      <c r="D594" s="8">
        <v>47</v>
      </c>
      <c r="E594" t="str">
        <f t="shared" si="49"/>
        <v>46-55</v>
      </c>
      <c r="F594" t="s">
        <v>46</v>
      </c>
      <c r="G594" t="s">
        <v>39</v>
      </c>
      <c r="H594" s="8" t="s">
        <v>48</v>
      </c>
      <c r="I594" s="10">
        <v>2</v>
      </c>
      <c r="J594" t="str">
        <f t="shared" si="45"/>
        <v>Near</v>
      </c>
      <c r="K594">
        <v>2</v>
      </c>
      <c r="L594" t="s">
        <v>50</v>
      </c>
      <c r="M594">
        <v>3</v>
      </c>
      <c r="N594">
        <v>3</v>
      </c>
      <c r="O594">
        <v>4</v>
      </c>
      <c r="P594" t="s">
        <v>59</v>
      </c>
      <c r="Q594">
        <v>4</v>
      </c>
      <c r="R594" s="11">
        <v>202</v>
      </c>
      <c r="S594" s="14">
        <v>33</v>
      </c>
      <c r="T594" s="13">
        <v>16752</v>
      </c>
      <c r="U594" s="13">
        <f t="shared" si="46"/>
        <v>201024</v>
      </c>
      <c r="V594" s="14">
        <v>12982</v>
      </c>
      <c r="W594">
        <v>1</v>
      </c>
      <c r="X594" s="8" t="s">
        <v>38</v>
      </c>
      <c r="Y594" s="15">
        <v>0.11</v>
      </c>
      <c r="Z594">
        <v>3</v>
      </c>
      <c r="AA594">
        <v>3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 t="str">
        <f t="shared" si="47"/>
        <v>12-15</v>
      </c>
      <c r="AI594">
        <v>3</v>
      </c>
      <c r="AJ594" t="str">
        <f t="shared" si="48"/>
        <v>3-5</v>
      </c>
      <c r="AK594">
        <v>0</v>
      </c>
    </row>
    <row r="595" spans="1:37" x14ac:dyDescent="0.25">
      <c r="A595" s="8">
        <v>594</v>
      </c>
      <c r="B595" t="s">
        <v>52</v>
      </c>
      <c r="C595" t="s">
        <v>45</v>
      </c>
      <c r="D595" s="8">
        <v>36</v>
      </c>
      <c r="E595" t="str">
        <f t="shared" si="49"/>
        <v>36-45</v>
      </c>
      <c r="F595" t="s">
        <v>46</v>
      </c>
      <c r="G595" t="s">
        <v>39</v>
      </c>
      <c r="H595" s="8" t="s">
        <v>48</v>
      </c>
      <c r="I595" s="10">
        <v>1</v>
      </c>
      <c r="J595" t="str">
        <f t="shared" si="45"/>
        <v>Near</v>
      </c>
      <c r="K595">
        <v>3</v>
      </c>
      <c r="L595" t="s">
        <v>50</v>
      </c>
      <c r="M595">
        <v>3</v>
      </c>
      <c r="N595">
        <v>3</v>
      </c>
      <c r="O595">
        <v>2</v>
      </c>
      <c r="P595" t="s">
        <v>55</v>
      </c>
      <c r="Q595">
        <v>2</v>
      </c>
      <c r="R595" s="11">
        <v>676</v>
      </c>
      <c r="S595" s="14">
        <v>35</v>
      </c>
      <c r="T595" s="13">
        <v>5228</v>
      </c>
      <c r="U595" s="13">
        <f t="shared" si="46"/>
        <v>62736</v>
      </c>
      <c r="V595" s="14">
        <v>23361</v>
      </c>
      <c r="W595">
        <v>0</v>
      </c>
      <c r="X595" s="8" t="s">
        <v>46</v>
      </c>
      <c r="Y595" s="15">
        <v>0.15</v>
      </c>
      <c r="Z595">
        <v>3</v>
      </c>
      <c r="AA595">
        <v>1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 t="str">
        <f t="shared" si="47"/>
        <v>4-7</v>
      </c>
      <c r="AI595">
        <v>0</v>
      </c>
      <c r="AJ595" t="str">
        <f t="shared" si="48"/>
        <v>0-2</v>
      </c>
      <c r="AK595">
        <v>5</v>
      </c>
    </row>
    <row r="596" spans="1:37" x14ac:dyDescent="0.25">
      <c r="A596" s="8">
        <v>595</v>
      </c>
      <c r="B596" t="s">
        <v>44</v>
      </c>
      <c r="C596" t="s">
        <v>45</v>
      </c>
      <c r="D596" s="8">
        <v>29</v>
      </c>
      <c r="E596" t="str">
        <f t="shared" si="49"/>
        <v>26-35</v>
      </c>
      <c r="F596" t="s">
        <v>46</v>
      </c>
      <c r="G596" t="s">
        <v>39</v>
      </c>
      <c r="H596" s="8" t="s">
        <v>48</v>
      </c>
      <c r="I596" s="10">
        <v>23</v>
      </c>
      <c r="J596" t="str">
        <f t="shared" si="45"/>
        <v>Far</v>
      </c>
      <c r="K596">
        <v>2</v>
      </c>
      <c r="L596" t="s">
        <v>41</v>
      </c>
      <c r="M596">
        <v>3</v>
      </c>
      <c r="N596">
        <v>4</v>
      </c>
      <c r="O596">
        <v>1</v>
      </c>
      <c r="P596" t="s">
        <v>49</v>
      </c>
      <c r="Q596">
        <v>3</v>
      </c>
      <c r="R596" s="11">
        <v>1252</v>
      </c>
      <c r="S596" s="14">
        <v>81</v>
      </c>
      <c r="T596" s="13">
        <v>2700</v>
      </c>
      <c r="U596" s="13">
        <f t="shared" si="46"/>
        <v>32400</v>
      </c>
      <c r="V596" s="14">
        <v>23779</v>
      </c>
      <c r="W596">
        <v>1</v>
      </c>
      <c r="X596" s="8" t="s">
        <v>46</v>
      </c>
      <c r="Y596" s="15">
        <v>0.24</v>
      </c>
      <c r="Z596">
        <v>4</v>
      </c>
      <c r="AA596">
        <v>3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 t="str">
        <f t="shared" si="47"/>
        <v>4-7</v>
      </c>
      <c r="AI596">
        <v>0</v>
      </c>
      <c r="AJ596" t="str">
        <f t="shared" si="48"/>
        <v>0-2</v>
      </c>
      <c r="AK596">
        <v>7</v>
      </c>
    </row>
    <row r="597" spans="1:37" x14ac:dyDescent="0.25">
      <c r="A597" s="8">
        <v>596</v>
      </c>
      <c r="B597" t="s">
        <v>44</v>
      </c>
      <c r="C597" t="s">
        <v>37</v>
      </c>
      <c r="D597" s="8">
        <v>58</v>
      </c>
      <c r="E597" t="str">
        <f t="shared" si="49"/>
        <v>55+</v>
      </c>
      <c r="F597" t="s">
        <v>38</v>
      </c>
      <c r="G597" t="s">
        <v>39</v>
      </c>
      <c r="H597" s="8" t="s">
        <v>48</v>
      </c>
      <c r="I597" s="10">
        <v>2</v>
      </c>
      <c r="J597" t="str">
        <f t="shared" si="45"/>
        <v>Near</v>
      </c>
      <c r="K597">
        <v>4</v>
      </c>
      <c r="L597" t="s">
        <v>41</v>
      </c>
      <c r="M597">
        <v>4</v>
      </c>
      <c r="N597">
        <v>3</v>
      </c>
      <c r="O597">
        <v>5</v>
      </c>
      <c r="P597" t="s">
        <v>61</v>
      </c>
      <c r="Q597">
        <v>2</v>
      </c>
      <c r="R597" s="11">
        <v>286</v>
      </c>
      <c r="S597" s="14">
        <v>31</v>
      </c>
      <c r="T597" s="13">
        <v>19246</v>
      </c>
      <c r="U597" s="13">
        <f t="shared" si="46"/>
        <v>230952</v>
      </c>
      <c r="V597" s="14">
        <v>25761</v>
      </c>
      <c r="W597">
        <v>7</v>
      </c>
      <c r="X597" s="8" t="s">
        <v>38</v>
      </c>
      <c r="Y597" s="15">
        <v>0.12</v>
      </c>
      <c r="Z597">
        <v>3</v>
      </c>
      <c r="AA597">
        <v>4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 t="str">
        <f t="shared" si="47"/>
        <v>12-15</v>
      </c>
      <c r="AI597">
        <v>13</v>
      </c>
      <c r="AJ597" t="str">
        <f t="shared" si="48"/>
        <v>12-15</v>
      </c>
      <c r="AK597">
        <v>8</v>
      </c>
    </row>
    <row r="598" spans="1:37" x14ac:dyDescent="0.25">
      <c r="A598" s="8">
        <v>597</v>
      </c>
      <c r="B598" t="s">
        <v>52</v>
      </c>
      <c r="C598" t="s">
        <v>37</v>
      </c>
      <c r="D598" s="8">
        <v>35</v>
      </c>
      <c r="E598" t="str">
        <f t="shared" si="49"/>
        <v>26-35</v>
      </c>
      <c r="F598" t="s">
        <v>46</v>
      </c>
      <c r="G598" t="s">
        <v>39</v>
      </c>
      <c r="H598" s="8" t="s">
        <v>48</v>
      </c>
      <c r="I598" s="10">
        <v>1</v>
      </c>
      <c r="J598" t="str">
        <f t="shared" si="45"/>
        <v>Near</v>
      </c>
      <c r="K598">
        <v>4</v>
      </c>
      <c r="L598" t="s">
        <v>41</v>
      </c>
      <c r="M598">
        <v>4</v>
      </c>
      <c r="N598">
        <v>4</v>
      </c>
      <c r="O598">
        <v>1</v>
      </c>
      <c r="P598" t="s">
        <v>49</v>
      </c>
      <c r="Q598">
        <v>3</v>
      </c>
      <c r="R598" s="11">
        <v>1258</v>
      </c>
      <c r="S598" s="14">
        <v>40</v>
      </c>
      <c r="T598" s="13">
        <v>2506</v>
      </c>
      <c r="U598" s="13">
        <f t="shared" si="46"/>
        <v>30072</v>
      </c>
      <c r="V598" s="14">
        <v>13301</v>
      </c>
      <c r="W598">
        <v>3</v>
      </c>
      <c r="X598" s="8" t="s">
        <v>46</v>
      </c>
      <c r="Y598" s="15">
        <v>0.13</v>
      </c>
      <c r="Z598">
        <v>3</v>
      </c>
      <c r="AA598">
        <v>3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 t="str">
        <f t="shared" si="47"/>
        <v>0-3</v>
      </c>
      <c r="AI598">
        <v>2</v>
      </c>
      <c r="AJ598" t="str">
        <f t="shared" si="48"/>
        <v>0-2</v>
      </c>
      <c r="AK598">
        <v>2</v>
      </c>
    </row>
    <row r="599" spans="1:37" x14ac:dyDescent="0.25">
      <c r="A599" s="8">
        <v>598</v>
      </c>
      <c r="B599" t="s">
        <v>52</v>
      </c>
      <c r="C599" t="s">
        <v>45</v>
      </c>
      <c r="D599" s="8">
        <v>42</v>
      </c>
      <c r="E599" t="str">
        <f t="shared" si="49"/>
        <v>36-45</v>
      </c>
      <c r="F599" t="s">
        <v>46</v>
      </c>
      <c r="G599" t="s">
        <v>39</v>
      </c>
      <c r="H599" s="8" t="s">
        <v>48</v>
      </c>
      <c r="I599" s="10">
        <v>1</v>
      </c>
      <c r="J599" t="str">
        <f t="shared" si="45"/>
        <v>Near</v>
      </c>
      <c r="K599">
        <v>2</v>
      </c>
      <c r="L599" t="s">
        <v>41</v>
      </c>
      <c r="M599">
        <v>4</v>
      </c>
      <c r="N599">
        <v>2</v>
      </c>
      <c r="O599">
        <v>2</v>
      </c>
      <c r="P599" t="s">
        <v>55</v>
      </c>
      <c r="Q599">
        <v>4</v>
      </c>
      <c r="R599" s="11">
        <v>932</v>
      </c>
      <c r="S599" s="14">
        <v>43</v>
      </c>
      <c r="T599" s="13">
        <v>6062</v>
      </c>
      <c r="U599" s="13">
        <f t="shared" si="46"/>
        <v>72744</v>
      </c>
      <c r="V599" s="14">
        <v>4051</v>
      </c>
      <c r="W599">
        <v>9</v>
      </c>
      <c r="X599" s="8" t="s">
        <v>38</v>
      </c>
      <c r="Y599" s="15">
        <v>0.13</v>
      </c>
      <c r="Z599">
        <v>3</v>
      </c>
      <c r="AA599">
        <v>4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 t="str">
        <f t="shared" si="47"/>
        <v>0-3</v>
      </c>
      <c r="AI599">
        <v>0</v>
      </c>
      <c r="AJ599" t="str">
        <f t="shared" si="48"/>
        <v>0-2</v>
      </c>
      <c r="AK599">
        <v>2</v>
      </c>
    </row>
    <row r="600" spans="1:37" x14ac:dyDescent="0.25">
      <c r="A600" s="8">
        <v>599</v>
      </c>
      <c r="B600" t="s">
        <v>44</v>
      </c>
      <c r="C600" t="s">
        <v>37</v>
      </c>
      <c r="D600" s="8">
        <v>28</v>
      </c>
      <c r="E600" t="str">
        <f t="shared" si="49"/>
        <v>26-35</v>
      </c>
      <c r="F600" t="s">
        <v>38</v>
      </c>
      <c r="G600" t="s">
        <v>39</v>
      </c>
      <c r="H600" s="8" t="s">
        <v>48</v>
      </c>
      <c r="I600" s="10">
        <v>2</v>
      </c>
      <c r="J600" t="str">
        <f t="shared" si="45"/>
        <v>Near</v>
      </c>
      <c r="K600">
        <v>4</v>
      </c>
      <c r="L600" t="s">
        <v>53</v>
      </c>
      <c r="M600">
        <v>3</v>
      </c>
      <c r="N600">
        <v>3</v>
      </c>
      <c r="O600">
        <v>1</v>
      </c>
      <c r="P600" t="s">
        <v>49</v>
      </c>
      <c r="Q600">
        <v>3</v>
      </c>
      <c r="R600" s="11">
        <v>890</v>
      </c>
      <c r="S600" s="14">
        <v>46</v>
      </c>
      <c r="T600" s="13">
        <v>4382</v>
      </c>
      <c r="U600" s="13">
        <f t="shared" si="46"/>
        <v>52584</v>
      </c>
      <c r="V600" s="14">
        <v>16374</v>
      </c>
      <c r="W600">
        <v>6</v>
      </c>
      <c r="X600" s="8" t="s">
        <v>46</v>
      </c>
      <c r="Y600" s="15">
        <v>0.17</v>
      </c>
      <c r="Z600">
        <v>3</v>
      </c>
      <c r="AA600">
        <v>4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 t="str">
        <f t="shared" si="47"/>
        <v>0-3</v>
      </c>
      <c r="AI600">
        <v>2</v>
      </c>
      <c r="AJ600" t="str">
        <f t="shared" si="48"/>
        <v>0-2</v>
      </c>
      <c r="AK600">
        <v>1</v>
      </c>
    </row>
    <row r="601" spans="1:37" x14ac:dyDescent="0.25">
      <c r="A601" s="8">
        <v>600</v>
      </c>
      <c r="B601" t="s">
        <v>44</v>
      </c>
      <c r="C601" t="s">
        <v>45</v>
      </c>
      <c r="D601" s="8">
        <v>36</v>
      </c>
      <c r="E601" t="str">
        <f t="shared" si="49"/>
        <v>36-45</v>
      </c>
      <c r="F601" t="s">
        <v>46</v>
      </c>
      <c r="G601" t="s">
        <v>39</v>
      </c>
      <c r="H601" s="8" t="s">
        <v>64</v>
      </c>
      <c r="I601" s="10">
        <v>13</v>
      </c>
      <c r="J601" t="str">
        <f t="shared" si="45"/>
        <v>Moderate</v>
      </c>
      <c r="K601">
        <v>3</v>
      </c>
      <c r="L601" t="s">
        <v>64</v>
      </c>
      <c r="M601">
        <v>3</v>
      </c>
      <c r="N601">
        <v>3</v>
      </c>
      <c r="O601">
        <v>1</v>
      </c>
      <c r="P601" t="s">
        <v>64</v>
      </c>
      <c r="Q601">
        <v>2</v>
      </c>
      <c r="R601" s="11">
        <v>1041</v>
      </c>
      <c r="S601" s="14">
        <v>36</v>
      </c>
      <c r="T601" s="13">
        <v>2143</v>
      </c>
      <c r="U601" s="13">
        <f t="shared" si="46"/>
        <v>25716</v>
      </c>
      <c r="V601" s="14">
        <v>25527</v>
      </c>
      <c r="W601">
        <v>4</v>
      </c>
      <c r="X601" s="8" t="s">
        <v>46</v>
      </c>
      <c r="Y601" s="15">
        <v>0.13</v>
      </c>
      <c r="Z601">
        <v>3</v>
      </c>
      <c r="AA601">
        <v>2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 t="str">
        <f t="shared" si="47"/>
        <v>0-3</v>
      </c>
      <c r="AI601">
        <v>0</v>
      </c>
      <c r="AJ601" t="str">
        <f t="shared" si="48"/>
        <v>0-2</v>
      </c>
      <c r="AK601">
        <v>4</v>
      </c>
    </row>
    <row r="602" spans="1:37" x14ac:dyDescent="0.25">
      <c r="A602" s="8">
        <v>601</v>
      </c>
      <c r="B602" t="s">
        <v>52</v>
      </c>
      <c r="C602" t="s">
        <v>45</v>
      </c>
      <c r="D602" s="8">
        <v>32</v>
      </c>
      <c r="E602" t="str">
        <f t="shared" si="49"/>
        <v>26-35</v>
      </c>
      <c r="F602" t="s">
        <v>46</v>
      </c>
      <c r="G602" t="s">
        <v>39</v>
      </c>
      <c r="H602" s="8" t="s">
        <v>48</v>
      </c>
      <c r="I602" s="10">
        <v>4</v>
      </c>
      <c r="J602" t="str">
        <f t="shared" si="45"/>
        <v>Near</v>
      </c>
      <c r="K602">
        <v>3</v>
      </c>
      <c r="L602" t="s">
        <v>41</v>
      </c>
      <c r="M602">
        <v>3</v>
      </c>
      <c r="N602">
        <v>2</v>
      </c>
      <c r="O602">
        <v>2</v>
      </c>
      <c r="P602" t="s">
        <v>55</v>
      </c>
      <c r="Q602">
        <v>3</v>
      </c>
      <c r="R602" s="11">
        <v>859</v>
      </c>
      <c r="S602" s="14">
        <v>98</v>
      </c>
      <c r="T602" s="13">
        <v>6162</v>
      </c>
      <c r="U602" s="13">
        <f t="shared" si="46"/>
        <v>73944</v>
      </c>
      <c r="V602" s="14">
        <v>19124</v>
      </c>
      <c r="W602">
        <v>1</v>
      </c>
      <c r="X602" s="8" t="s">
        <v>46</v>
      </c>
      <c r="Y602" s="15">
        <v>0.12</v>
      </c>
      <c r="Z602">
        <v>3</v>
      </c>
      <c r="AA602">
        <v>3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 t="str">
        <f t="shared" si="47"/>
        <v>12-15</v>
      </c>
      <c r="AI602">
        <v>6</v>
      </c>
      <c r="AJ602" t="str">
        <f t="shared" si="48"/>
        <v>6-8</v>
      </c>
      <c r="AK602">
        <v>8</v>
      </c>
    </row>
    <row r="603" spans="1:37" x14ac:dyDescent="0.25">
      <c r="A603" s="8">
        <v>602</v>
      </c>
      <c r="B603" t="s">
        <v>44</v>
      </c>
      <c r="C603" t="s">
        <v>37</v>
      </c>
      <c r="D603" s="8">
        <v>40</v>
      </c>
      <c r="E603" t="str">
        <f t="shared" si="49"/>
        <v>36-45</v>
      </c>
      <c r="F603" t="s">
        <v>46</v>
      </c>
      <c r="G603" t="s">
        <v>47</v>
      </c>
      <c r="H603" s="8" t="s">
        <v>48</v>
      </c>
      <c r="I603" s="10">
        <v>16</v>
      </c>
      <c r="J603" t="str">
        <f t="shared" si="45"/>
        <v>Far</v>
      </c>
      <c r="K603">
        <v>4</v>
      </c>
      <c r="L603" t="s">
        <v>53</v>
      </c>
      <c r="M603">
        <v>1</v>
      </c>
      <c r="N603">
        <v>2</v>
      </c>
      <c r="O603">
        <v>2</v>
      </c>
      <c r="P603" t="s">
        <v>51</v>
      </c>
      <c r="Q603">
        <v>3</v>
      </c>
      <c r="R603" s="11">
        <v>720</v>
      </c>
      <c r="S603" s="14">
        <v>51</v>
      </c>
      <c r="T603" s="13">
        <v>5094</v>
      </c>
      <c r="U603" s="13">
        <f t="shared" si="46"/>
        <v>61128</v>
      </c>
      <c r="V603" s="14">
        <v>11983</v>
      </c>
      <c r="W603">
        <v>6</v>
      </c>
      <c r="X603" s="8" t="s">
        <v>46</v>
      </c>
      <c r="Y603" s="15">
        <v>0.14000000000000001</v>
      </c>
      <c r="Z603">
        <v>3</v>
      </c>
      <c r="AA603">
        <v>4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 t="str">
        <f t="shared" si="47"/>
        <v>0-3</v>
      </c>
      <c r="AI603">
        <v>0</v>
      </c>
      <c r="AJ603" t="str">
        <f t="shared" si="48"/>
        <v>0-2</v>
      </c>
      <c r="AK603">
        <v>0</v>
      </c>
    </row>
    <row r="604" spans="1:37" x14ac:dyDescent="0.25">
      <c r="A604" s="8">
        <v>603</v>
      </c>
      <c r="B604" t="s">
        <v>52</v>
      </c>
      <c r="C604" t="s">
        <v>37</v>
      </c>
      <c r="D604" s="8">
        <v>30</v>
      </c>
      <c r="E604" t="str">
        <f t="shared" si="49"/>
        <v>26-35</v>
      </c>
      <c r="F604" t="s">
        <v>46</v>
      </c>
      <c r="G604" t="s">
        <v>39</v>
      </c>
      <c r="H604" s="8" t="s">
        <v>48</v>
      </c>
      <c r="I604" s="10">
        <v>2</v>
      </c>
      <c r="J604" t="str">
        <f t="shared" si="45"/>
        <v>Near</v>
      </c>
      <c r="K604">
        <v>3</v>
      </c>
      <c r="L604" t="s">
        <v>53</v>
      </c>
      <c r="M604">
        <v>3</v>
      </c>
      <c r="N604">
        <v>2</v>
      </c>
      <c r="O604">
        <v>2</v>
      </c>
      <c r="P604" t="s">
        <v>55</v>
      </c>
      <c r="Q604">
        <v>4</v>
      </c>
      <c r="R604" s="11">
        <v>946</v>
      </c>
      <c r="S604" s="14">
        <v>52</v>
      </c>
      <c r="T604" s="13">
        <v>6877</v>
      </c>
      <c r="U604" s="13">
        <f t="shared" si="46"/>
        <v>82524</v>
      </c>
      <c r="V604" s="14">
        <v>20234</v>
      </c>
      <c r="W604">
        <v>5</v>
      </c>
      <c r="X604" s="8" t="s">
        <v>38</v>
      </c>
      <c r="Y604" s="15">
        <v>0.24</v>
      </c>
      <c r="Z604">
        <v>4</v>
      </c>
      <c r="AA604">
        <v>2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 t="str">
        <f t="shared" si="47"/>
        <v>0-3</v>
      </c>
      <c r="AI604">
        <v>0</v>
      </c>
      <c r="AJ604" t="str">
        <f t="shared" si="48"/>
        <v>0-2</v>
      </c>
      <c r="AK604">
        <v>0</v>
      </c>
    </row>
    <row r="605" spans="1:37" x14ac:dyDescent="0.25">
      <c r="A605" s="8">
        <v>604</v>
      </c>
      <c r="B605" t="s">
        <v>52</v>
      </c>
      <c r="C605" t="s">
        <v>37</v>
      </c>
      <c r="D605" s="8">
        <v>45</v>
      </c>
      <c r="E605" t="str">
        <f t="shared" si="49"/>
        <v>36-45</v>
      </c>
      <c r="F605" t="s">
        <v>46</v>
      </c>
      <c r="G605" t="s">
        <v>39</v>
      </c>
      <c r="H605" s="8" t="s">
        <v>48</v>
      </c>
      <c r="I605" s="10">
        <v>2</v>
      </c>
      <c r="J605" t="str">
        <f t="shared" si="45"/>
        <v>Near</v>
      </c>
      <c r="K605">
        <v>3</v>
      </c>
      <c r="L605" t="s">
        <v>41</v>
      </c>
      <c r="M605">
        <v>2</v>
      </c>
      <c r="N605">
        <v>2</v>
      </c>
      <c r="O605">
        <v>1</v>
      </c>
      <c r="P605" t="s">
        <v>49</v>
      </c>
      <c r="Q605">
        <v>3</v>
      </c>
      <c r="R605" s="11">
        <v>252</v>
      </c>
      <c r="S605" s="14">
        <v>95</v>
      </c>
      <c r="T605" s="13">
        <v>2274</v>
      </c>
      <c r="U605" s="13">
        <f t="shared" si="46"/>
        <v>27288</v>
      </c>
      <c r="V605" s="14">
        <v>6153</v>
      </c>
      <c r="W605">
        <v>1</v>
      </c>
      <c r="X605" s="8" t="s">
        <v>46</v>
      </c>
      <c r="Y605" s="15">
        <v>0.14000000000000001</v>
      </c>
      <c r="Z605">
        <v>3</v>
      </c>
      <c r="AA605">
        <v>4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 t="str">
        <f t="shared" si="47"/>
        <v>0-3</v>
      </c>
      <c r="AI605">
        <v>0</v>
      </c>
      <c r="AJ605" t="str">
        <f t="shared" si="48"/>
        <v>0-2</v>
      </c>
      <c r="AK605">
        <v>0</v>
      </c>
    </row>
    <row r="606" spans="1:37" x14ac:dyDescent="0.25">
      <c r="A606" s="8">
        <v>605</v>
      </c>
      <c r="B606" t="s">
        <v>44</v>
      </c>
      <c r="C606" t="s">
        <v>45</v>
      </c>
      <c r="D606" s="8">
        <v>42</v>
      </c>
      <c r="E606" t="str">
        <f t="shared" si="49"/>
        <v>36-45</v>
      </c>
      <c r="F606" t="s">
        <v>46</v>
      </c>
      <c r="G606" t="s">
        <v>39</v>
      </c>
      <c r="H606" s="8" t="s">
        <v>48</v>
      </c>
      <c r="I606" s="10">
        <v>29</v>
      </c>
      <c r="J606" t="str">
        <f t="shared" si="45"/>
        <v>Far</v>
      </c>
      <c r="K606">
        <v>3</v>
      </c>
      <c r="L606" t="s">
        <v>41</v>
      </c>
      <c r="M606">
        <v>2</v>
      </c>
      <c r="N606">
        <v>3</v>
      </c>
      <c r="O606">
        <v>2</v>
      </c>
      <c r="P606" t="s">
        <v>55</v>
      </c>
      <c r="Q606">
        <v>2</v>
      </c>
      <c r="R606" s="11">
        <v>933</v>
      </c>
      <c r="S606" s="14">
        <v>98</v>
      </c>
      <c r="T606" s="13">
        <v>4434</v>
      </c>
      <c r="U606" s="13">
        <f t="shared" si="46"/>
        <v>53208</v>
      </c>
      <c r="V606" s="14">
        <v>11806</v>
      </c>
      <c r="W606">
        <v>1</v>
      </c>
      <c r="X606" s="8" t="s">
        <v>46</v>
      </c>
      <c r="Y606" s="15">
        <v>0.13</v>
      </c>
      <c r="Z606">
        <v>3</v>
      </c>
      <c r="AA606">
        <v>4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 t="str">
        <f t="shared" si="47"/>
        <v>8-11</v>
      </c>
      <c r="AI606">
        <v>7</v>
      </c>
      <c r="AJ606" t="str">
        <f t="shared" si="48"/>
        <v>6-8</v>
      </c>
      <c r="AK606">
        <v>8</v>
      </c>
    </row>
    <row r="607" spans="1:37" x14ac:dyDescent="0.25">
      <c r="A607" s="8">
        <v>606</v>
      </c>
      <c r="B607" t="s">
        <v>44</v>
      </c>
      <c r="C607" t="s">
        <v>54</v>
      </c>
      <c r="D607" s="8">
        <v>38</v>
      </c>
      <c r="E607" t="str">
        <f t="shared" si="49"/>
        <v>36-45</v>
      </c>
      <c r="F607" t="s">
        <v>46</v>
      </c>
      <c r="G607" t="s">
        <v>47</v>
      </c>
      <c r="H607" s="8" t="s">
        <v>48</v>
      </c>
      <c r="I607" s="10">
        <v>12</v>
      </c>
      <c r="J607" t="str">
        <f t="shared" si="45"/>
        <v>Moderate</v>
      </c>
      <c r="K607">
        <v>3</v>
      </c>
      <c r="L607" t="s">
        <v>41</v>
      </c>
      <c r="M607">
        <v>1</v>
      </c>
      <c r="N607">
        <v>2</v>
      </c>
      <c r="O607">
        <v>2</v>
      </c>
      <c r="P607" t="s">
        <v>56</v>
      </c>
      <c r="Q607">
        <v>1</v>
      </c>
      <c r="R607" s="11">
        <v>471</v>
      </c>
      <c r="S607" s="14">
        <v>45</v>
      </c>
      <c r="T607" s="13">
        <v>6288</v>
      </c>
      <c r="U607" s="13">
        <f t="shared" si="46"/>
        <v>75456</v>
      </c>
      <c r="V607" s="14">
        <v>4284</v>
      </c>
      <c r="W607">
        <v>2</v>
      </c>
      <c r="X607" s="8" t="s">
        <v>46</v>
      </c>
      <c r="Y607" s="15">
        <v>0.15</v>
      </c>
      <c r="Z607">
        <v>3</v>
      </c>
      <c r="AA607">
        <v>3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 t="str">
        <f t="shared" si="47"/>
        <v>0-3</v>
      </c>
      <c r="AI607">
        <v>1</v>
      </c>
      <c r="AJ607" t="str">
        <f t="shared" si="48"/>
        <v>0-2</v>
      </c>
      <c r="AK607">
        <v>2</v>
      </c>
    </row>
    <row r="608" spans="1:37" x14ac:dyDescent="0.25">
      <c r="A608" s="8">
        <v>607</v>
      </c>
      <c r="B608" t="s">
        <v>52</v>
      </c>
      <c r="C608" t="s">
        <v>37</v>
      </c>
      <c r="D608" s="8">
        <v>34</v>
      </c>
      <c r="E608" t="str">
        <f t="shared" si="49"/>
        <v>26-35</v>
      </c>
      <c r="F608" t="s">
        <v>46</v>
      </c>
      <c r="G608" t="s">
        <v>47</v>
      </c>
      <c r="H608" s="8" t="s">
        <v>48</v>
      </c>
      <c r="I608" s="10">
        <v>16</v>
      </c>
      <c r="J608" t="str">
        <f t="shared" si="45"/>
        <v>Far</v>
      </c>
      <c r="K608">
        <v>4</v>
      </c>
      <c r="L608" t="s">
        <v>41</v>
      </c>
      <c r="M608">
        <v>3</v>
      </c>
      <c r="N608">
        <v>2</v>
      </c>
      <c r="O608">
        <v>1</v>
      </c>
      <c r="P608" t="s">
        <v>49</v>
      </c>
      <c r="Q608">
        <v>4</v>
      </c>
      <c r="R608" s="11">
        <v>702</v>
      </c>
      <c r="S608" s="14">
        <v>100</v>
      </c>
      <c r="T608" s="13">
        <v>2553</v>
      </c>
      <c r="U608" s="13">
        <f t="shared" si="46"/>
        <v>30636</v>
      </c>
      <c r="V608" s="14">
        <v>8306</v>
      </c>
      <c r="W608">
        <v>1</v>
      </c>
      <c r="X608" s="8" t="s">
        <v>46</v>
      </c>
      <c r="Y608" s="15">
        <v>0.16</v>
      </c>
      <c r="Z608">
        <v>3</v>
      </c>
      <c r="AA608">
        <v>3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 t="str">
        <f t="shared" si="47"/>
        <v>0-3</v>
      </c>
      <c r="AI608">
        <v>1</v>
      </c>
      <c r="AJ608" t="str">
        <f t="shared" si="48"/>
        <v>0-2</v>
      </c>
      <c r="AK608">
        <v>3</v>
      </c>
    </row>
    <row r="609" spans="1:37" x14ac:dyDescent="0.25">
      <c r="A609" s="8">
        <v>608</v>
      </c>
      <c r="B609" t="s">
        <v>52</v>
      </c>
      <c r="C609" t="s">
        <v>45</v>
      </c>
      <c r="D609" s="8">
        <v>49</v>
      </c>
      <c r="E609" t="str">
        <f t="shared" si="49"/>
        <v>46-55</v>
      </c>
      <c r="F609" t="s">
        <v>38</v>
      </c>
      <c r="G609" t="s">
        <v>39</v>
      </c>
      <c r="H609" s="8" t="s">
        <v>40</v>
      </c>
      <c r="I609" s="10">
        <v>11</v>
      </c>
      <c r="J609" t="str">
        <f t="shared" si="45"/>
        <v>Moderate</v>
      </c>
      <c r="K609">
        <v>3</v>
      </c>
      <c r="L609" t="s">
        <v>62</v>
      </c>
      <c r="M609">
        <v>3</v>
      </c>
      <c r="N609">
        <v>3</v>
      </c>
      <c r="O609">
        <v>3</v>
      </c>
      <c r="P609" t="s">
        <v>42</v>
      </c>
      <c r="Q609">
        <v>4</v>
      </c>
      <c r="R609" s="11">
        <v>1184</v>
      </c>
      <c r="S609" s="14">
        <v>43</v>
      </c>
      <c r="T609" s="13">
        <v>7654</v>
      </c>
      <c r="U609" s="13">
        <f t="shared" si="46"/>
        <v>91848</v>
      </c>
      <c r="V609" s="14">
        <v>5860</v>
      </c>
      <c r="W609">
        <v>1</v>
      </c>
      <c r="X609" s="8" t="s">
        <v>46</v>
      </c>
      <c r="Y609" s="15">
        <v>0.18</v>
      </c>
      <c r="Z609">
        <v>3</v>
      </c>
      <c r="AA609">
        <v>1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 t="str">
        <f t="shared" si="47"/>
        <v>8-11</v>
      </c>
      <c r="AI609">
        <v>7</v>
      </c>
      <c r="AJ609" t="str">
        <f t="shared" si="48"/>
        <v>6-8</v>
      </c>
      <c r="AK609">
        <v>7</v>
      </c>
    </row>
    <row r="610" spans="1:37" x14ac:dyDescent="0.25">
      <c r="A610" s="8">
        <v>609</v>
      </c>
      <c r="B610" t="s">
        <v>44</v>
      </c>
      <c r="C610" t="s">
        <v>37</v>
      </c>
      <c r="D610" s="8">
        <v>55</v>
      </c>
      <c r="E610" t="str">
        <f t="shared" si="49"/>
        <v>46-55</v>
      </c>
      <c r="F610" t="s">
        <v>38</v>
      </c>
      <c r="G610" t="s">
        <v>39</v>
      </c>
      <c r="H610" s="8" t="s">
        <v>40</v>
      </c>
      <c r="I610" s="10">
        <v>2</v>
      </c>
      <c r="J610" t="str">
        <f t="shared" si="45"/>
        <v>Near</v>
      </c>
      <c r="K610">
        <v>1</v>
      </c>
      <c r="L610" t="s">
        <v>53</v>
      </c>
      <c r="M610">
        <v>3</v>
      </c>
      <c r="N610">
        <v>3</v>
      </c>
      <c r="O610">
        <v>2</v>
      </c>
      <c r="P610" t="s">
        <v>42</v>
      </c>
      <c r="Q610">
        <v>4</v>
      </c>
      <c r="R610" s="11">
        <v>436</v>
      </c>
      <c r="S610" s="14">
        <v>37</v>
      </c>
      <c r="T610" s="13">
        <v>5160</v>
      </c>
      <c r="U610" s="13">
        <f t="shared" si="46"/>
        <v>61920</v>
      </c>
      <c r="V610" s="14">
        <v>21519</v>
      </c>
      <c r="W610">
        <v>4</v>
      </c>
      <c r="X610" s="8" t="s">
        <v>46</v>
      </c>
      <c r="Y610" s="15">
        <v>0.16</v>
      </c>
      <c r="Z610">
        <v>3</v>
      </c>
      <c r="AA610">
        <v>3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 t="str">
        <f t="shared" si="47"/>
        <v>4-7</v>
      </c>
      <c r="AI610">
        <v>7</v>
      </c>
      <c r="AJ610" t="str">
        <f t="shared" si="48"/>
        <v>6-8</v>
      </c>
      <c r="AK610">
        <v>3</v>
      </c>
    </row>
    <row r="611" spans="1:37" x14ac:dyDescent="0.25">
      <c r="A611" s="8">
        <v>610</v>
      </c>
      <c r="B611" t="s">
        <v>44</v>
      </c>
      <c r="C611" t="s">
        <v>45</v>
      </c>
      <c r="D611" s="8">
        <v>43</v>
      </c>
      <c r="E611" t="str">
        <f t="shared" si="49"/>
        <v>36-45</v>
      </c>
      <c r="F611" t="s">
        <v>46</v>
      </c>
      <c r="G611" t="s">
        <v>39</v>
      </c>
      <c r="H611" s="8" t="s">
        <v>48</v>
      </c>
      <c r="I611" s="10">
        <v>14</v>
      </c>
      <c r="J611" t="str">
        <f t="shared" si="45"/>
        <v>Moderate</v>
      </c>
      <c r="K611">
        <v>2</v>
      </c>
      <c r="L611" t="s">
        <v>41</v>
      </c>
      <c r="M611">
        <v>2</v>
      </c>
      <c r="N611">
        <v>3</v>
      </c>
      <c r="O611">
        <v>4</v>
      </c>
      <c r="P611" t="s">
        <v>61</v>
      </c>
      <c r="Q611">
        <v>1</v>
      </c>
      <c r="R611" s="11">
        <v>589</v>
      </c>
      <c r="S611" s="14">
        <v>94</v>
      </c>
      <c r="T611" s="13">
        <v>17159</v>
      </c>
      <c r="U611" s="13">
        <f t="shared" si="46"/>
        <v>205908</v>
      </c>
      <c r="V611" s="14">
        <v>5200</v>
      </c>
      <c r="W611">
        <v>6</v>
      </c>
      <c r="X611" s="8" t="s">
        <v>46</v>
      </c>
      <c r="Y611" s="15">
        <v>0.24</v>
      </c>
      <c r="Z611">
        <v>4</v>
      </c>
      <c r="AA611">
        <v>3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 t="str">
        <f t="shared" si="47"/>
        <v>0-3</v>
      </c>
      <c r="AI611">
        <v>1</v>
      </c>
      <c r="AJ611" t="str">
        <f t="shared" si="48"/>
        <v>0-2</v>
      </c>
      <c r="AK611">
        <v>0</v>
      </c>
    </row>
    <row r="612" spans="1:37" x14ac:dyDescent="0.25">
      <c r="A612" s="8">
        <v>611</v>
      </c>
      <c r="B612" t="s">
        <v>44</v>
      </c>
      <c r="C612" t="s">
        <v>54</v>
      </c>
      <c r="D612" s="8">
        <v>27</v>
      </c>
      <c r="E612" t="str">
        <f t="shared" si="49"/>
        <v>26-35</v>
      </c>
      <c r="F612" t="s">
        <v>46</v>
      </c>
      <c r="G612" t="s">
        <v>39</v>
      </c>
      <c r="H612" s="8" t="s">
        <v>48</v>
      </c>
      <c r="I612" s="10">
        <v>5</v>
      </c>
      <c r="J612" t="str">
        <f t="shared" si="45"/>
        <v>Near</v>
      </c>
      <c r="K612">
        <v>1</v>
      </c>
      <c r="L612" t="s">
        <v>63</v>
      </c>
      <c r="M612">
        <v>3</v>
      </c>
      <c r="N612">
        <v>2</v>
      </c>
      <c r="O612">
        <v>3</v>
      </c>
      <c r="P612" t="s">
        <v>61</v>
      </c>
      <c r="Q612">
        <v>4</v>
      </c>
      <c r="R612" s="11">
        <v>269</v>
      </c>
      <c r="S612" s="14">
        <v>42</v>
      </c>
      <c r="T612" s="13">
        <v>12808</v>
      </c>
      <c r="U612" s="13">
        <f t="shared" si="46"/>
        <v>153696</v>
      </c>
      <c r="V612" s="14">
        <v>8842</v>
      </c>
      <c r="W612">
        <v>1</v>
      </c>
      <c r="X612" s="8" t="s">
        <v>38</v>
      </c>
      <c r="Y612" s="15">
        <v>0.16</v>
      </c>
      <c r="Z612">
        <v>3</v>
      </c>
      <c r="AA612">
        <v>2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 t="str">
        <f t="shared" si="47"/>
        <v>8-11</v>
      </c>
      <c r="AI612">
        <v>0</v>
      </c>
      <c r="AJ612" t="str">
        <f t="shared" si="48"/>
        <v>0-2</v>
      </c>
      <c r="AK612">
        <v>8</v>
      </c>
    </row>
    <row r="613" spans="1:37" x14ac:dyDescent="0.25">
      <c r="A613" s="8">
        <v>612</v>
      </c>
      <c r="B613" t="s">
        <v>44</v>
      </c>
      <c r="C613" t="s">
        <v>37</v>
      </c>
      <c r="D613" s="8">
        <v>35</v>
      </c>
      <c r="E613" t="str">
        <f t="shared" si="49"/>
        <v>26-35</v>
      </c>
      <c r="F613" t="s">
        <v>46</v>
      </c>
      <c r="G613" t="s">
        <v>39</v>
      </c>
      <c r="H613" s="8" t="s">
        <v>48</v>
      </c>
      <c r="I613" s="10">
        <v>7</v>
      </c>
      <c r="J613" t="str">
        <f t="shared" si="45"/>
        <v>Moderate</v>
      </c>
      <c r="K613">
        <v>3</v>
      </c>
      <c r="L613" t="s">
        <v>50</v>
      </c>
      <c r="M613">
        <v>3</v>
      </c>
      <c r="N613">
        <v>3</v>
      </c>
      <c r="O613">
        <v>3</v>
      </c>
      <c r="P613" t="s">
        <v>55</v>
      </c>
      <c r="Q613">
        <v>3</v>
      </c>
      <c r="R613" s="11">
        <v>950</v>
      </c>
      <c r="S613" s="14">
        <v>59</v>
      </c>
      <c r="T613" s="13">
        <v>10221</v>
      </c>
      <c r="U613" s="13">
        <f t="shared" si="46"/>
        <v>122652</v>
      </c>
      <c r="V613" s="14">
        <v>18869</v>
      </c>
      <c r="W613">
        <v>3</v>
      </c>
      <c r="X613" s="8" t="s">
        <v>46</v>
      </c>
      <c r="Y613" s="15">
        <v>0.21</v>
      </c>
      <c r="Z613">
        <v>4</v>
      </c>
      <c r="AA613">
        <v>2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 t="str">
        <f t="shared" si="47"/>
        <v>4-7</v>
      </c>
      <c r="AI613">
        <v>1</v>
      </c>
      <c r="AJ613" t="str">
        <f t="shared" si="48"/>
        <v>0-2</v>
      </c>
      <c r="AK613">
        <v>6</v>
      </c>
    </row>
    <row r="614" spans="1:37" x14ac:dyDescent="0.25">
      <c r="A614" s="8">
        <v>613</v>
      </c>
      <c r="B614" t="s">
        <v>52</v>
      </c>
      <c r="C614" t="s">
        <v>45</v>
      </c>
      <c r="D614" s="8">
        <v>28</v>
      </c>
      <c r="E614" t="str">
        <f t="shared" si="49"/>
        <v>26-35</v>
      </c>
      <c r="F614" t="s">
        <v>46</v>
      </c>
      <c r="G614" t="s">
        <v>39</v>
      </c>
      <c r="H614" s="8" t="s">
        <v>40</v>
      </c>
      <c r="I614" s="10">
        <v>2</v>
      </c>
      <c r="J614" t="str">
        <f t="shared" si="45"/>
        <v>Near</v>
      </c>
      <c r="K614">
        <v>4</v>
      </c>
      <c r="L614" t="s">
        <v>62</v>
      </c>
      <c r="M614">
        <v>2</v>
      </c>
      <c r="N614">
        <v>3</v>
      </c>
      <c r="O614">
        <v>2</v>
      </c>
      <c r="P614" t="s">
        <v>42</v>
      </c>
      <c r="Q614">
        <v>2</v>
      </c>
      <c r="R614" s="11">
        <v>760</v>
      </c>
      <c r="S614" s="14">
        <v>81</v>
      </c>
      <c r="T614" s="13">
        <v>4779</v>
      </c>
      <c r="U614" s="13">
        <f t="shared" si="46"/>
        <v>57348</v>
      </c>
      <c r="V614" s="14">
        <v>3698</v>
      </c>
      <c r="W614">
        <v>1</v>
      </c>
      <c r="X614" s="8" t="s">
        <v>38</v>
      </c>
      <c r="Y614" s="15">
        <v>0.2</v>
      </c>
      <c r="Z614">
        <v>4</v>
      </c>
      <c r="AA614">
        <v>1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 t="str">
        <f t="shared" si="47"/>
        <v>4-7</v>
      </c>
      <c r="AI614">
        <v>7</v>
      </c>
      <c r="AJ614" t="str">
        <f t="shared" si="48"/>
        <v>6-8</v>
      </c>
      <c r="AK614">
        <v>5</v>
      </c>
    </row>
    <row r="615" spans="1:37" x14ac:dyDescent="0.25">
      <c r="A615" s="8">
        <v>614</v>
      </c>
      <c r="B615" t="s">
        <v>44</v>
      </c>
      <c r="C615" t="s">
        <v>45</v>
      </c>
      <c r="D615" s="8">
        <v>34</v>
      </c>
      <c r="E615" t="str">
        <f t="shared" si="49"/>
        <v>26-35</v>
      </c>
      <c r="F615" t="s">
        <v>46</v>
      </c>
      <c r="G615" t="s">
        <v>39</v>
      </c>
      <c r="H615" s="8" t="s">
        <v>64</v>
      </c>
      <c r="I615" s="10">
        <v>3</v>
      </c>
      <c r="J615" t="str">
        <f t="shared" si="45"/>
        <v>Near</v>
      </c>
      <c r="K615">
        <v>2</v>
      </c>
      <c r="L615" t="s">
        <v>64</v>
      </c>
      <c r="M615">
        <v>3</v>
      </c>
      <c r="N615">
        <v>3</v>
      </c>
      <c r="O615">
        <v>1</v>
      </c>
      <c r="P615" t="s">
        <v>64</v>
      </c>
      <c r="Q615">
        <v>4</v>
      </c>
      <c r="R615" s="11">
        <v>829</v>
      </c>
      <c r="S615" s="14">
        <v>88</v>
      </c>
      <c r="T615" s="13">
        <v>3737</v>
      </c>
      <c r="U615" s="13">
        <f t="shared" si="46"/>
        <v>44844</v>
      </c>
      <c r="V615" s="14">
        <v>2243</v>
      </c>
      <c r="W615">
        <v>0</v>
      </c>
      <c r="X615" s="8" t="s">
        <v>46</v>
      </c>
      <c r="Y615" s="15">
        <v>0.19</v>
      </c>
      <c r="Z615">
        <v>3</v>
      </c>
      <c r="AA615">
        <v>3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 t="str">
        <f t="shared" si="47"/>
        <v>0-3</v>
      </c>
      <c r="AI615">
        <v>0</v>
      </c>
      <c r="AJ615" t="str">
        <f t="shared" si="48"/>
        <v>0-2</v>
      </c>
      <c r="AK615">
        <v>2</v>
      </c>
    </row>
    <row r="616" spans="1:37" x14ac:dyDescent="0.25">
      <c r="A616" s="8">
        <v>615</v>
      </c>
      <c r="B616" t="s">
        <v>52</v>
      </c>
      <c r="C616" t="s">
        <v>45</v>
      </c>
      <c r="D616" s="8">
        <v>26</v>
      </c>
      <c r="E616" t="str">
        <f t="shared" si="49"/>
        <v>26-35</v>
      </c>
      <c r="F616" t="s">
        <v>38</v>
      </c>
      <c r="G616" t="s">
        <v>47</v>
      </c>
      <c r="H616" s="8" t="s">
        <v>48</v>
      </c>
      <c r="I616" s="10">
        <v>5</v>
      </c>
      <c r="J616" t="str">
        <f t="shared" si="45"/>
        <v>Near</v>
      </c>
      <c r="K616">
        <v>2</v>
      </c>
      <c r="L616" t="s">
        <v>53</v>
      </c>
      <c r="M616">
        <v>3</v>
      </c>
      <c r="N616">
        <v>2</v>
      </c>
      <c r="O616">
        <v>1</v>
      </c>
      <c r="P616" t="s">
        <v>49</v>
      </c>
      <c r="Q616">
        <v>3</v>
      </c>
      <c r="R616" s="11">
        <v>887</v>
      </c>
      <c r="S616" s="14">
        <v>88</v>
      </c>
      <c r="T616" s="13">
        <v>2366</v>
      </c>
      <c r="U616" s="13">
        <f t="shared" si="46"/>
        <v>28392</v>
      </c>
      <c r="V616" s="14">
        <v>20898</v>
      </c>
      <c r="W616">
        <v>1</v>
      </c>
      <c r="X616" s="8" t="s">
        <v>38</v>
      </c>
      <c r="Y616" s="15">
        <v>0.14000000000000001</v>
      </c>
      <c r="Z616">
        <v>3</v>
      </c>
      <c r="AA616">
        <v>1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 t="str">
        <f t="shared" si="47"/>
        <v>4-7</v>
      </c>
      <c r="AI616">
        <v>1</v>
      </c>
      <c r="AJ616" t="str">
        <f t="shared" si="48"/>
        <v>0-2</v>
      </c>
      <c r="AK616">
        <v>7</v>
      </c>
    </row>
    <row r="617" spans="1:37" x14ac:dyDescent="0.25">
      <c r="A617" s="8">
        <v>616</v>
      </c>
      <c r="B617" t="s">
        <v>44</v>
      </c>
      <c r="C617" t="s">
        <v>45</v>
      </c>
      <c r="D617" s="8">
        <v>27</v>
      </c>
      <c r="E617" t="str">
        <f t="shared" si="49"/>
        <v>26-35</v>
      </c>
      <c r="F617" t="s">
        <v>46</v>
      </c>
      <c r="G617" t="s">
        <v>58</v>
      </c>
      <c r="H617" s="8" t="s">
        <v>48</v>
      </c>
      <c r="I617" s="10">
        <v>3</v>
      </c>
      <c r="J617" t="str">
        <f t="shared" si="45"/>
        <v>Near</v>
      </c>
      <c r="K617">
        <v>3</v>
      </c>
      <c r="L617" t="s">
        <v>53</v>
      </c>
      <c r="M617">
        <v>4</v>
      </c>
      <c r="N617">
        <v>3</v>
      </c>
      <c r="O617">
        <v>1</v>
      </c>
      <c r="P617" t="s">
        <v>49</v>
      </c>
      <c r="Q617">
        <v>4</v>
      </c>
      <c r="R617" s="11">
        <v>443</v>
      </c>
      <c r="S617" s="14">
        <v>50</v>
      </c>
      <c r="T617" s="13">
        <v>1706</v>
      </c>
      <c r="U617" s="13">
        <f t="shared" si="46"/>
        <v>20472</v>
      </c>
      <c r="V617" s="14">
        <v>16571</v>
      </c>
      <c r="W617">
        <v>1</v>
      </c>
      <c r="X617" s="8" t="s">
        <v>46</v>
      </c>
      <c r="Y617" s="15">
        <v>0.11</v>
      </c>
      <c r="Z617">
        <v>3</v>
      </c>
      <c r="AA617">
        <v>3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 t="str">
        <f t="shared" si="47"/>
        <v>0-3</v>
      </c>
      <c r="AI617">
        <v>0</v>
      </c>
      <c r="AJ617" t="str">
        <f t="shared" si="48"/>
        <v>0-2</v>
      </c>
      <c r="AK617">
        <v>0</v>
      </c>
    </row>
    <row r="618" spans="1:37" x14ac:dyDescent="0.25">
      <c r="A618" s="8">
        <v>617</v>
      </c>
      <c r="B618" t="s">
        <v>52</v>
      </c>
      <c r="C618" t="s">
        <v>45</v>
      </c>
      <c r="D618" s="8">
        <v>51</v>
      </c>
      <c r="E618" t="str">
        <f t="shared" si="49"/>
        <v>46-55</v>
      </c>
      <c r="F618" t="s">
        <v>46</v>
      </c>
      <c r="G618" t="s">
        <v>39</v>
      </c>
      <c r="H618" s="8" t="s">
        <v>40</v>
      </c>
      <c r="I618" s="10">
        <v>26</v>
      </c>
      <c r="J618" t="str">
        <f t="shared" si="45"/>
        <v>Far</v>
      </c>
      <c r="K618">
        <v>4</v>
      </c>
      <c r="L618" t="s">
        <v>62</v>
      </c>
      <c r="M618">
        <v>1</v>
      </c>
      <c r="N618">
        <v>3</v>
      </c>
      <c r="O618">
        <v>4</v>
      </c>
      <c r="P618" t="s">
        <v>59</v>
      </c>
      <c r="Q618">
        <v>3</v>
      </c>
      <c r="R618" s="11">
        <v>1318</v>
      </c>
      <c r="S618" s="14">
        <v>66</v>
      </c>
      <c r="T618" s="13">
        <v>16307</v>
      </c>
      <c r="U618" s="13">
        <f t="shared" si="46"/>
        <v>195684</v>
      </c>
      <c r="V618" s="14">
        <v>5594</v>
      </c>
      <c r="W618">
        <v>2</v>
      </c>
      <c r="X618" s="8" t="s">
        <v>46</v>
      </c>
      <c r="Y618" s="15">
        <v>0.14000000000000001</v>
      </c>
      <c r="Z618">
        <v>3</v>
      </c>
      <c r="AA618">
        <v>3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 t="str">
        <f t="shared" si="47"/>
        <v>4-7</v>
      </c>
      <c r="AI618">
        <v>4</v>
      </c>
      <c r="AJ618" t="str">
        <f t="shared" si="48"/>
        <v>3-5</v>
      </c>
      <c r="AK618">
        <v>17</v>
      </c>
    </row>
    <row r="619" spans="1:37" x14ac:dyDescent="0.25">
      <c r="A619" s="8">
        <v>618</v>
      </c>
      <c r="B619" t="s">
        <v>44</v>
      </c>
      <c r="C619" t="s">
        <v>37</v>
      </c>
      <c r="D619" s="8">
        <v>44</v>
      </c>
      <c r="E619" t="str">
        <f t="shared" si="49"/>
        <v>36-45</v>
      </c>
      <c r="F619" t="s">
        <v>46</v>
      </c>
      <c r="G619" t="s">
        <v>39</v>
      </c>
      <c r="H619" s="8" t="s">
        <v>48</v>
      </c>
      <c r="I619" s="10">
        <v>4</v>
      </c>
      <c r="J619" t="str">
        <f t="shared" si="45"/>
        <v>Near</v>
      </c>
      <c r="K619">
        <v>3</v>
      </c>
      <c r="L619" t="s">
        <v>53</v>
      </c>
      <c r="M619">
        <v>4</v>
      </c>
      <c r="N619">
        <v>3</v>
      </c>
      <c r="O619">
        <v>2</v>
      </c>
      <c r="P619" t="s">
        <v>56</v>
      </c>
      <c r="Q619">
        <v>2</v>
      </c>
      <c r="R619" s="11">
        <v>625</v>
      </c>
      <c r="S619" s="14">
        <v>50</v>
      </c>
      <c r="T619" s="13">
        <v>5933</v>
      </c>
      <c r="U619" s="13">
        <f t="shared" si="46"/>
        <v>71196</v>
      </c>
      <c r="V619" s="14">
        <v>5197</v>
      </c>
      <c r="W619">
        <v>9</v>
      </c>
      <c r="X619" s="8" t="s">
        <v>46</v>
      </c>
      <c r="Y619" s="15">
        <v>0.12</v>
      </c>
      <c r="Z619">
        <v>3</v>
      </c>
      <c r="AA619">
        <v>4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 t="str">
        <f t="shared" si="47"/>
        <v>0-3</v>
      </c>
      <c r="AI619">
        <v>2</v>
      </c>
      <c r="AJ619" t="str">
        <f t="shared" si="48"/>
        <v>0-2</v>
      </c>
      <c r="AK619">
        <v>3</v>
      </c>
    </row>
    <row r="620" spans="1:37" x14ac:dyDescent="0.25">
      <c r="A620" s="8">
        <v>619</v>
      </c>
      <c r="B620" t="s">
        <v>44</v>
      </c>
      <c r="C620" t="s">
        <v>37</v>
      </c>
      <c r="D620" s="8">
        <v>25</v>
      </c>
      <c r="E620" t="str">
        <f t="shared" si="49"/>
        <v>26-35</v>
      </c>
      <c r="F620" t="s">
        <v>46</v>
      </c>
      <c r="G620" t="s">
        <v>39</v>
      </c>
      <c r="H620" s="8" t="s">
        <v>48</v>
      </c>
      <c r="I620" s="10">
        <v>2</v>
      </c>
      <c r="J620" t="str">
        <f t="shared" si="45"/>
        <v>Near</v>
      </c>
      <c r="K620">
        <v>1</v>
      </c>
      <c r="L620" t="s">
        <v>53</v>
      </c>
      <c r="M620">
        <v>1</v>
      </c>
      <c r="N620">
        <v>4</v>
      </c>
      <c r="O620">
        <v>1</v>
      </c>
      <c r="P620" t="s">
        <v>49</v>
      </c>
      <c r="Q620">
        <v>1</v>
      </c>
      <c r="R620" s="11">
        <v>180</v>
      </c>
      <c r="S620" s="14">
        <v>65</v>
      </c>
      <c r="T620" s="13">
        <v>3424</v>
      </c>
      <c r="U620" s="13">
        <f t="shared" si="46"/>
        <v>41088</v>
      </c>
      <c r="V620" s="14">
        <v>21632</v>
      </c>
      <c r="W620">
        <v>7</v>
      </c>
      <c r="X620" s="8" t="s">
        <v>46</v>
      </c>
      <c r="Y620" s="15">
        <v>0.13</v>
      </c>
      <c r="Z620">
        <v>3</v>
      </c>
      <c r="AA620">
        <v>3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 t="str">
        <f t="shared" si="47"/>
        <v>0-3</v>
      </c>
      <c r="AI620">
        <v>0</v>
      </c>
      <c r="AJ620" t="str">
        <f t="shared" si="48"/>
        <v>0-2</v>
      </c>
      <c r="AK620">
        <v>1</v>
      </c>
    </row>
    <row r="621" spans="1:37" x14ac:dyDescent="0.25">
      <c r="A621" s="8">
        <v>620</v>
      </c>
      <c r="B621" t="s">
        <v>44</v>
      </c>
      <c r="C621" t="s">
        <v>54</v>
      </c>
      <c r="D621" s="8">
        <v>33</v>
      </c>
      <c r="E621" t="str">
        <f t="shared" si="49"/>
        <v>26-35</v>
      </c>
      <c r="F621" t="s">
        <v>46</v>
      </c>
      <c r="G621" t="s">
        <v>39</v>
      </c>
      <c r="H621" s="8" t="s">
        <v>40</v>
      </c>
      <c r="I621" s="10">
        <v>1</v>
      </c>
      <c r="J621" t="str">
        <f t="shared" si="45"/>
        <v>Near</v>
      </c>
      <c r="K621">
        <v>3</v>
      </c>
      <c r="L621" t="s">
        <v>53</v>
      </c>
      <c r="M621">
        <v>1</v>
      </c>
      <c r="N621">
        <v>4</v>
      </c>
      <c r="O621">
        <v>2</v>
      </c>
      <c r="P621" t="s">
        <v>42</v>
      </c>
      <c r="Q621">
        <v>1</v>
      </c>
      <c r="R621" s="11">
        <v>586</v>
      </c>
      <c r="S621" s="14">
        <v>48</v>
      </c>
      <c r="T621" s="13">
        <v>4037</v>
      </c>
      <c r="U621" s="13">
        <f t="shared" si="46"/>
        <v>48444</v>
      </c>
      <c r="V621" s="14">
        <v>21816</v>
      </c>
      <c r="W621">
        <v>1</v>
      </c>
      <c r="X621" s="8" t="s">
        <v>46</v>
      </c>
      <c r="Y621" s="15">
        <v>0.22</v>
      </c>
      <c r="Z621">
        <v>4</v>
      </c>
      <c r="AA621">
        <v>1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 t="str">
        <f t="shared" si="47"/>
        <v>8-11</v>
      </c>
      <c r="AI621">
        <v>0</v>
      </c>
      <c r="AJ621" t="str">
        <f t="shared" si="48"/>
        <v>0-2</v>
      </c>
      <c r="AK621">
        <v>8</v>
      </c>
    </row>
    <row r="622" spans="1:37" x14ac:dyDescent="0.25">
      <c r="A622" s="8">
        <v>621</v>
      </c>
      <c r="B622" t="s">
        <v>52</v>
      </c>
      <c r="C622" t="s">
        <v>37</v>
      </c>
      <c r="D622" s="8">
        <v>35</v>
      </c>
      <c r="E622" t="str">
        <f t="shared" si="49"/>
        <v>26-35</v>
      </c>
      <c r="F622" t="s">
        <v>46</v>
      </c>
      <c r="G622" t="s">
        <v>39</v>
      </c>
      <c r="H622" s="8" t="s">
        <v>48</v>
      </c>
      <c r="I622" s="10">
        <v>27</v>
      </c>
      <c r="J622" t="str">
        <f t="shared" si="45"/>
        <v>Far</v>
      </c>
      <c r="K622">
        <v>1</v>
      </c>
      <c r="L622" t="s">
        <v>53</v>
      </c>
      <c r="M622">
        <v>3</v>
      </c>
      <c r="N622">
        <v>2</v>
      </c>
      <c r="O622">
        <v>1</v>
      </c>
      <c r="P622" t="s">
        <v>49</v>
      </c>
      <c r="Q622">
        <v>1</v>
      </c>
      <c r="R622" s="11">
        <v>1343</v>
      </c>
      <c r="S622" s="14">
        <v>53</v>
      </c>
      <c r="T622" s="13">
        <v>2559</v>
      </c>
      <c r="U622" s="13">
        <f t="shared" si="46"/>
        <v>30708</v>
      </c>
      <c r="V622" s="14">
        <v>17852</v>
      </c>
      <c r="W622">
        <v>1</v>
      </c>
      <c r="X622" s="8" t="s">
        <v>46</v>
      </c>
      <c r="Y622" s="15">
        <v>0.11</v>
      </c>
      <c r="Z622">
        <v>3</v>
      </c>
      <c r="AA622">
        <v>4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 t="str">
        <f t="shared" si="47"/>
        <v>4-7</v>
      </c>
      <c r="AI622">
        <v>1</v>
      </c>
      <c r="AJ622" t="str">
        <f t="shared" si="48"/>
        <v>0-2</v>
      </c>
      <c r="AK622">
        <v>1</v>
      </c>
    </row>
    <row r="623" spans="1:37" x14ac:dyDescent="0.25">
      <c r="A623" s="8">
        <v>622</v>
      </c>
      <c r="B623" t="s">
        <v>44</v>
      </c>
      <c r="C623" t="s">
        <v>45</v>
      </c>
      <c r="D623" s="8">
        <v>36</v>
      </c>
      <c r="E623" t="str">
        <f t="shared" si="49"/>
        <v>36-45</v>
      </c>
      <c r="F623" t="s">
        <v>46</v>
      </c>
      <c r="G623" t="s">
        <v>39</v>
      </c>
      <c r="H623" s="8" t="s">
        <v>40</v>
      </c>
      <c r="I623" s="10">
        <v>1</v>
      </c>
      <c r="J623" t="str">
        <f t="shared" si="45"/>
        <v>Near</v>
      </c>
      <c r="K623">
        <v>2</v>
      </c>
      <c r="L623" t="s">
        <v>41</v>
      </c>
      <c r="M623">
        <v>2</v>
      </c>
      <c r="N623">
        <v>3</v>
      </c>
      <c r="O623">
        <v>2</v>
      </c>
      <c r="P623" t="s">
        <v>42</v>
      </c>
      <c r="Q623">
        <v>4</v>
      </c>
      <c r="R623" s="11">
        <v>928</v>
      </c>
      <c r="S623" s="14">
        <v>56</v>
      </c>
      <c r="T623" s="13">
        <v>6201</v>
      </c>
      <c r="U623" s="13">
        <f t="shared" si="46"/>
        <v>74412</v>
      </c>
      <c r="V623" s="14">
        <v>2823</v>
      </c>
      <c r="W623">
        <v>1</v>
      </c>
      <c r="X623" s="8" t="s">
        <v>38</v>
      </c>
      <c r="Y623" s="15">
        <v>0.14000000000000001</v>
      </c>
      <c r="Z623">
        <v>3</v>
      </c>
      <c r="AA623">
        <v>4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 t="str">
        <f t="shared" si="47"/>
        <v>12-15</v>
      </c>
      <c r="AI623">
        <v>4</v>
      </c>
      <c r="AJ623" t="str">
        <f t="shared" si="48"/>
        <v>3-5</v>
      </c>
      <c r="AK623">
        <v>11</v>
      </c>
    </row>
    <row r="624" spans="1:37" x14ac:dyDescent="0.25">
      <c r="A624" s="8">
        <v>623</v>
      </c>
      <c r="B624" t="s">
        <v>44</v>
      </c>
      <c r="C624" t="s">
        <v>54</v>
      </c>
      <c r="D624" s="8">
        <v>32</v>
      </c>
      <c r="E624" t="str">
        <f t="shared" si="49"/>
        <v>26-35</v>
      </c>
      <c r="F624" t="s">
        <v>46</v>
      </c>
      <c r="G624" t="s">
        <v>39</v>
      </c>
      <c r="H624" s="8" t="s">
        <v>40</v>
      </c>
      <c r="I624" s="10">
        <v>13</v>
      </c>
      <c r="J624" t="str">
        <f t="shared" si="45"/>
        <v>Moderate</v>
      </c>
      <c r="K624">
        <v>4</v>
      </c>
      <c r="L624" t="s">
        <v>41</v>
      </c>
      <c r="M624">
        <v>2</v>
      </c>
      <c r="N624">
        <v>3</v>
      </c>
      <c r="O624">
        <v>2</v>
      </c>
      <c r="P624" t="s">
        <v>42</v>
      </c>
      <c r="Q624">
        <v>4</v>
      </c>
      <c r="R624" s="11">
        <v>117</v>
      </c>
      <c r="S624" s="14">
        <v>73</v>
      </c>
      <c r="T624" s="13">
        <v>4403</v>
      </c>
      <c r="U624" s="13">
        <f t="shared" si="46"/>
        <v>52836</v>
      </c>
      <c r="V624" s="14">
        <v>9250</v>
      </c>
      <c r="W624">
        <v>2</v>
      </c>
      <c r="X624" s="8" t="s">
        <v>46</v>
      </c>
      <c r="Y624" s="15">
        <v>0.11</v>
      </c>
      <c r="Z624">
        <v>3</v>
      </c>
      <c r="AA624">
        <v>3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 t="str">
        <f t="shared" si="47"/>
        <v>0-3</v>
      </c>
      <c r="AI624">
        <v>0</v>
      </c>
      <c r="AJ624" t="str">
        <f t="shared" si="48"/>
        <v>0-2</v>
      </c>
      <c r="AK624">
        <v>3</v>
      </c>
    </row>
    <row r="625" spans="1:37" x14ac:dyDescent="0.25">
      <c r="A625" s="8">
        <v>624</v>
      </c>
      <c r="B625" t="s">
        <v>44</v>
      </c>
      <c r="C625" t="s">
        <v>54</v>
      </c>
      <c r="D625" s="8">
        <v>30</v>
      </c>
      <c r="E625" t="str">
        <f t="shared" si="49"/>
        <v>26-35</v>
      </c>
      <c r="F625" t="s">
        <v>46</v>
      </c>
      <c r="G625" t="s">
        <v>47</v>
      </c>
      <c r="H625" s="8" t="s">
        <v>48</v>
      </c>
      <c r="I625" s="10">
        <v>5</v>
      </c>
      <c r="J625" t="str">
        <f t="shared" si="45"/>
        <v>Near</v>
      </c>
      <c r="K625">
        <v>4</v>
      </c>
      <c r="L625" t="s">
        <v>41</v>
      </c>
      <c r="M625">
        <v>2</v>
      </c>
      <c r="N625">
        <v>2</v>
      </c>
      <c r="O625">
        <v>1</v>
      </c>
      <c r="P625" t="s">
        <v>49</v>
      </c>
      <c r="Q625">
        <v>4</v>
      </c>
      <c r="R625" s="11">
        <v>1012</v>
      </c>
      <c r="S625" s="14">
        <v>75</v>
      </c>
      <c r="T625" s="13">
        <v>3761</v>
      </c>
      <c r="U625" s="13">
        <f t="shared" si="46"/>
        <v>45132</v>
      </c>
      <c r="V625" s="14">
        <v>2373</v>
      </c>
      <c r="W625">
        <v>9</v>
      </c>
      <c r="X625" s="8" t="s">
        <v>46</v>
      </c>
      <c r="Y625" s="15">
        <v>0.12</v>
      </c>
      <c r="Z625">
        <v>3</v>
      </c>
      <c r="AA625">
        <v>2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 t="str">
        <f t="shared" si="47"/>
        <v>4-7</v>
      </c>
      <c r="AI625">
        <v>0</v>
      </c>
      <c r="AJ625" t="str">
        <f t="shared" si="48"/>
        <v>0-2</v>
      </c>
      <c r="AK625">
        <v>3</v>
      </c>
    </row>
    <row r="626" spans="1:37" x14ac:dyDescent="0.25">
      <c r="A626" s="8">
        <v>625</v>
      </c>
      <c r="B626" t="s">
        <v>52</v>
      </c>
      <c r="C626" t="s">
        <v>45</v>
      </c>
      <c r="D626" s="8">
        <v>53</v>
      </c>
      <c r="E626" t="str">
        <f t="shared" si="49"/>
        <v>46-55</v>
      </c>
      <c r="F626" t="s">
        <v>46</v>
      </c>
      <c r="G626" t="s">
        <v>39</v>
      </c>
      <c r="H626" s="8" t="s">
        <v>40</v>
      </c>
      <c r="I626" s="10">
        <v>7</v>
      </c>
      <c r="J626" t="str">
        <f t="shared" si="45"/>
        <v>Moderate</v>
      </c>
      <c r="K626">
        <v>2</v>
      </c>
      <c r="L626" t="s">
        <v>62</v>
      </c>
      <c r="M626">
        <v>1</v>
      </c>
      <c r="N626">
        <v>2</v>
      </c>
      <c r="O626">
        <v>3</v>
      </c>
      <c r="P626" t="s">
        <v>42</v>
      </c>
      <c r="Q626">
        <v>4</v>
      </c>
      <c r="R626" s="11">
        <v>661</v>
      </c>
      <c r="S626" s="14">
        <v>78</v>
      </c>
      <c r="T626" s="13">
        <v>10934</v>
      </c>
      <c r="U626" s="13">
        <f t="shared" si="46"/>
        <v>131208</v>
      </c>
      <c r="V626" s="14">
        <v>20715</v>
      </c>
      <c r="W626">
        <v>7</v>
      </c>
      <c r="X626" s="8" t="s">
        <v>38</v>
      </c>
      <c r="Y626" s="15">
        <v>0.18</v>
      </c>
      <c r="Z626">
        <v>3</v>
      </c>
      <c r="AA626">
        <v>4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 t="str">
        <f t="shared" si="47"/>
        <v>0-3</v>
      </c>
      <c r="AI626">
        <v>0</v>
      </c>
      <c r="AJ626" t="str">
        <f t="shared" si="48"/>
        <v>0-2</v>
      </c>
      <c r="AK626">
        <v>4</v>
      </c>
    </row>
    <row r="627" spans="1:37" x14ac:dyDescent="0.25">
      <c r="A627" s="8">
        <v>626</v>
      </c>
      <c r="B627" t="s">
        <v>44</v>
      </c>
      <c r="C627" t="s">
        <v>54</v>
      </c>
      <c r="D627" s="8">
        <v>45</v>
      </c>
      <c r="E627" t="str">
        <f t="shared" si="49"/>
        <v>36-45</v>
      </c>
      <c r="F627" t="s">
        <v>46</v>
      </c>
      <c r="G627" t="s">
        <v>39</v>
      </c>
      <c r="H627" s="8" t="s">
        <v>40</v>
      </c>
      <c r="I627" s="10">
        <v>9</v>
      </c>
      <c r="J627" t="str">
        <f t="shared" si="45"/>
        <v>Moderate</v>
      </c>
      <c r="K627">
        <v>3</v>
      </c>
      <c r="L627" t="s">
        <v>62</v>
      </c>
      <c r="M627">
        <v>4</v>
      </c>
      <c r="N627">
        <v>3</v>
      </c>
      <c r="O627">
        <v>3</v>
      </c>
      <c r="P627" t="s">
        <v>42</v>
      </c>
      <c r="Q627">
        <v>1</v>
      </c>
      <c r="R627" s="11">
        <v>930</v>
      </c>
      <c r="S627" s="14">
        <v>74</v>
      </c>
      <c r="T627" s="13">
        <v>10761</v>
      </c>
      <c r="U627" s="13">
        <f t="shared" si="46"/>
        <v>129132</v>
      </c>
      <c r="V627" s="14">
        <v>19239</v>
      </c>
      <c r="W627">
        <v>4</v>
      </c>
      <c r="X627" s="8" t="s">
        <v>38</v>
      </c>
      <c r="Y627" s="15">
        <v>0.12</v>
      </c>
      <c r="Z627">
        <v>3</v>
      </c>
      <c r="AA627">
        <v>3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 t="str">
        <f t="shared" si="47"/>
        <v>4-7</v>
      </c>
      <c r="AI627">
        <v>0</v>
      </c>
      <c r="AJ627" t="str">
        <f t="shared" si="48"/>
        <v>0-2</v>
      </c>
      <c r="AK627">
        <v>2</v>
      </c>
    </row>
    <row r="628" spans="1:37" x14ac:dyDescent="0.25">
      <c r="A628" s="8">
        <v>627</v>
      </c>
      <c r="B628" t="s">
        <v>52</v>
      </c>
      <c r="C628" t="s">
        <v>45</v>
      </c>
      <c r="D628" s="8">
        <v>32</v>
      </c>
      <c r="E628" t="str">
        <f t="shared" si="49"/>
        <v>26-35</v>
      </c>
      <c r="F628" t="s">
        <v>46</v>
      </c>
      <c r="G628" t="s">
        <v>39</v>
      </c>
      <c r="H628" s="8" t="s">
        <v>48</v>
      </c>
      <c r="I628" s="10">
        <v>8</v>
      </c>
      <c r="J628" t="str">
        <f t="shared" si="45"/>
        <v>Moderate</v>
      </c>
      <c r="K628">
        <v>2</v>
      </c>
      <c r="L628" t="s">
        <v>53</v>
      </c>
      <c r="M628">
        <v>3</v>
      </c>
      <c r="N628">
        <v>4</v>
      </c>
      <c r="O628">
        <v>2</v>
      </c>
      <c r="P628" t="s">
        <v>49</v>
      </c>
      <c r="Q628">
        <v>3</v>
      </c>
      <c r="R628" s="11">
        <v>638</v>
      </c>
      <c r="S628" s="14">
        <v>91</v>
      </c>
      <c r="T628" s="13">
        <v>5175</v>
      </c>
      <c r="U628" s="13">
        <f t="shared" si="46"/>
        <v>62100</v>
      </c>
      <c r="V628" s="14">
        <v>22162</v>
      </c>
      <c r="W628">
        <v>5</v>
      </c>
      <c r="X628" s="8" t="s">
        <v>46</v>
      </c>
      <c r="Y628" s="15">
        <v>0.12</v>
      </c>
      <c r="Z628">
        <v>3</v>
      </c>
      <c r="AA628">
        <v>3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 t="str">
        <f t="shared" si="47"/>
        <v>0-3</v>
      </c>
      <c r="AI628">
        <v>1</v>
      </c>
      <c r="AJ628" t="str">
        <f t="shared" si="48"/>
        <v>0-2</v>
      </c>
      <c r="AK628">
        <v>3</v>
      </c>
    </row>
    <row r="629" spans="1:37" x14ac:dyDescent="0.25">
      <c r="A629" s="8">
        <v>628</v>
      </c>
      <c r="B629" t="s">
        <v>52</v>
      </c>
      <c r="C629" t="s">
        <v>45</v>
      </c>
      <c r="D629" s="8">
        <v>52</v>
      </c>
      <c r="E629" t="str">
        <f t="shared" si="49"/>
        <v>46-55</v>
      </c>
      <c r="F629" t="s">
        <v>46</v>
      </c>
      <c r="G629" t="s">
        <v>47</v>
      </c>
      <c r="H629" s="8" t="s">
        <v>48</v>
      </c>
      <c r="I629" s="10">
        <v>25</v>
      </c>
      <c r="J629" t="str">
        <f t="shared" si="45"/>
        <v>Far</v>
      </c>
      <c r="K629">
        <v>4</v>
      </c>
      <c r="L629" t="s">
        <v>53</v>
      </c>
      <c r="M629">
        <v>3</v>
      </c>
      <c r="N629">
        <v>2</v>
      </c>
      <c r="O629">
        <v>4</v>
      </c>
      <c r="P629" t="s">
        <v>55</v>
      </c>
      <c r="Q629">
        <v>4</v>
      </c>
      <c r="R629" s="11">
        <v>890</v>
      </c>
      <c r="S629" s="14">
        <v>81</v>
      </c>
      <c r="T629" s="13">
        <v>13826</v>
      </c>
      <c r="U629" s="13">
        <f t="shared" si="46"/>
        <v>165912</v>
      </c>
      <c r="V629" s="14">
        <v>19028</v>
      </c>
      <c r="W629">
        <v>3</v>
      </c>
      <c r="X629" s="8" t="s">
        <v>46</v>
      </c>
      <c r="Y629" s="15">
        <v>0.22</v>
      </c>
      <c r="Z629">
        <v>4</v>
      </c>
      <c r="AA629">
        <v>3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 t="str">
        <f t="shared" si="47"/>
        <v>8-11</v>
      </c>
      <c r="AI629">
        <v>0</v>
      </c>
      <c r="AJ629" t="str">
        <f t="shared" si="48"/>
        <v>0-2</v>
      </c>
      <c r="AK629">
        <v>0</v>
      </c>
    </row>
    <row r="630" spans="1:37" x14ac:dyDescent="0.25">
      <c r="A630" s="8">
        <v>629</v>
      </c>
      <c r="B630" t="s">
        <v>44</v>
      </c>
      <c r="C630" t="s">
        <v>54</v>
      </c>
      <c r="D630" s="8">
        <v>37</v>
      </c>
      <c r="E630" t="str">
        <f t="shared" si="49"/>
        <v>36-45</v>
      </c>
      <c r="F630" t="s">
        <v>46</v>
      </c>
      <c r="G630" t="s">
        <v>39</v>
      </c>
      <c r="H630" s="8" t="s">
        <v>40</v>
      </c>
      <c r="I630" s="10">
        <v>16</v>
      </c>
      <c r="J630" t="str">
        <f t="shared" si="45"/>
        <v>Far</v>
      </c>
      <c r="K630">
        <v>4</v>
      </c>
      <c r="L630" t="s">
        <v>62</v>
      </c>
      <c r="M630">
        <v>4</v>
      </c>
      <c r="N630">
        <v>2</v>
      </c>
      <c r="O630">
        <v>2</v>
      </c>
      <c r="P630" t="s">
        <v>42</v>
      </c>
      <c r="Q630">
        <v>3</v>
      </c>
      <c r="R630" s="11">
        <v>342</v>
      </c>
      <c r="S630" s="14">
        <v>66</v>
      </c>
      <c r="T630" s="13">
        <v>6334</v>
      </c>
      <c r="U630" s="13">
        <f t="shared" si="46"/>
        <v>76008</v>
      </c>
      <c r="V630" s="14">
        <v>24558</v>
      </c>
      <c r="W630">
        <v>4</v>
      </c>
      <c r="X630" s="8" t="s">
        <v>46</v>
      </c>
      <c r="Y630" s="15">
        <v>0.19</v>
      </c>
      <c r="Z630">
        <v>3</v>
      </c>
      <c r="AA630">
        <v>4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 t="str">
        <f t="shared" si="47"/>
        <v>0-3</v>
      </c>
      <c r="AI630">
        <v>0</v>
      </c>
      <c r="AJ630" t="str">
        <f t="shared" si="48"/>
        <v>0-2</v>
      </c>
      <c r="AK630">
        <v>0</v>
      </c>
    </row>
    <row r="631" spans="1:37" x14ac:dyDescent="0.25">
      <c r="A631" s="8">
        <v>630</v>
      </c>
      <c r="B631" t="s">
        <v>44</v>
      </c>
      <c r="C631" t="s">
        <v>54</v>
      </c>
      <c r="D631" s="8">
        <v>28</v>
      </c>
      <c r="E631" t="str">
        <f t="shared" si="49"/>
        <v>26-35</v>
      </c>
      <c r="F631" t="s">
        <v>46</v>
      </c>
      <c r="G631" t="s">
        <v>39</v>
      </c>
      <c r="H631" s="8" t="s">
        <v>64</v>
      </c>
      <c r="I631" s="10">
        <v>8</v>
      </c>
      <c r="J631" t="str">
        <f t="shared" si="45"/>
        <v>Moderate</v>
      </c>
      <c r="K631">
        <v>2</v>
      </c>
      <c r="L631" t="s">
        <v>53</v>
      </c>
      <c r="M631">
        <v>2</v>
      </c>
      <c r="N631">
        <v>2</v>
      </c>
      <c r="O631">
        <v>1</v>
      </c>
      <c r="P631" t="s">
        <v>64</v>
      </c>
      <c r="Q631">
        <v>4</v>
      </c>
      <c r="R631" s="11">
        <v>1169</v>
      </c>
      <c r="S631" s="14">
        <v>63</v>
      </c>
      <c r="T631" s="13">
        <v>4936</v>
      </c>
      <c r="U631" s="13">
        <f t="shared" si="46"/>
        <v>59232</v>
      </c>
      <c r="V631" s="14">
        <v>23965</v>
      </c>
      <c r="W631">
        <v>1</v>
      </c>
      <c r="X631" s="8" t="s">
        <v>46</v>
      </c>
      <c r="Y631" s="15">
        <v>0.13</v>
      </c>
      <c r="Z631">
        <v>3</v>
      </c>
      <c r="AA631">
        <v>4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 t="str">
        <f t="shared" si="47"/>
        <v>0-3</v>
      </c>
      <c r="AI631">
        <v>0</v>
      </c>
      <c r="AJ631" t="str">
        <f t="shared" si="48"/>
        <v>0-2</v>
      </c>
      <c r="AK631">
        <v>4</v>
      </c>
    </row>
    <row r="632" spans="1:37" x14ac:dyDescent="0.25">
      <c r="A632" s="8">
        <v>631</v>
      </c>
      <c r="B632" t="s">
        <v>44</v>
      </c>
      <c r="C632" t="s">
        <v>45</v>
      </c>
      <c r="D632" s="8">
        <v>22</v>
      </c>
      <c r="E632" t="str">
        <f t="shared" si="49"/>
        <v>18-25</v>
      </c>
      <c r="F632" t="s">
        <v>46</v>
      </c>
      <c r="G632" t="s">
        <v>39</v>
      </c>
      <c r="H632" s="8" t="s">
        <v>48</v>
      </c>
      <c r="I632" s="10">
        <v>1</v>
      </c>
      <c r="J632" t="str">
        <f t="shared" si="45"/>
        <v>Near</v>
      </c>
      <c r="K632">
        <v>2</v>
      </c>
      <c r="L632" t="s">
        <v>41</v>
      </c>
      <c r="M632">
        <v>4</v>
      </c>
      <c r="N632">
        <v>2</v>
      </c>
      <c r="O632">
        <v>2</v>
      </c>
      <c r="P632" t="s">
        <v>55</v>
      </c>
      <c r="Q632">
        <v>4</v>
      </c>
      <c r="R632" s="11">
        <v>1230</v>
      </c>
      <c r="S632" s="14">
        <v>33</v>
      </c>
      <c r="T632" s="13">
        <v>4775</v>
      </c>
      <c r="U632" s="13">
        <f t="shared" si="46"/>
        <v>57300</v>
      </c>
      <c r="V632" s="14">
        <v>19146</v>
      </c>
      <c r="W632">
        <v>6</v>
      </c>
      <c r="X632" s="8" t="s">
        <v>46</v>
      </c>
      <c r="Y632" s="15">
        <v>0.22</v>
      </c>
      <c r="Z632">
        <v>4</v>
      </c>
      <c r="AA632">
        <v>1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 t="str">
        <f t="shared" si="47"/>
        <v>0-3</v>
      </c>
      <c r="AI632">
        <v>2</v>
      </c>
      <c r="AJ632" t="str">
        <f t="shared" si="48"/>
        <v>0-2</v>
      </c>
      <c r="AK632">
        <v>2</v>
      </c>
    </row>
    <row r="633" spans="1:37" x14ac:dyDescent="0.25">
      <c r="A633" s="8">
        <v>632</v>
      </c>
      <c r="B633" t="s">
        <v>44</v>
      </c>
      <c r="C633" t="s">
        <v>45</v>
      </c>
      <c r="D633" s="8">
        <v>44</v>
      </c>
      <c r="E633" t="str">
        <f t="shared" si="49"/>
        <v>36-45</v>
      </c>
      <c r="F633" t="s">
        <v>46</v>
      </c>
      <c r="G633" t="s">
        <v>39</v>
      </c>
      <c r="H633" s="8" t="s">
        <v>48</v>
      </c>
      <c r="I633" s="10">
        <v>8</v>
      </c>
      <c r="J633" t="str">
        <f t="shared" si="45"/>
        <v>Moderate</v>
      </c>
      <c r="K633">
        <v>4</v>
      </c>
      <c r="L633" t="s">
        <v>41</v>
      </c>
      <c r="M633">
        <v>1</v>
      </c>
      <c r="N633">
        <v>4</v>
      </c>
      <c r="O633">
        <v>1</v>
      </c>
      <c r="P633" t="s">
        <v>51</v>
      </c>
      <c r="Q633">
        <v>4</v>
      </c>
      <c r="R633" s="11">
        <v>986</v>
      </c>
      <c r="S633" s="14">
        <v>62</v>
      </c>
      <c r="T633" s="13">
        <v>2818</v>
      </c>
      <c r="U633" s="13">
        <f t="shared" si="46"/>
        <v>33816</v>
      </c>
      <c r="V633" s="14">
        <v>5044</v>
      </c>
      <c r="W633">
        <v>2</v>
      </c>
      <c r="X633" s="8" t="s">
        <v>38</v>
      </c>
      <c r="Y633" s="15">
        <v>0.24</v>
      </c>
      <c r="Z633">
        <v>4</v>
      </c>
      <c r="AA633">
        <v>3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 t="str">
        <f t="shared" si="47"/>
        <v>0-3</v>
      </c>
      <c r="AI633">
        <v>0</v>
      </c>
      <c r="AJ633" t="str">
        <f t="shared" si="48"/>
        <v>0-2</v>
      </c>
      <c r="AK633">
        <v>2</v>
      </c>
    </row>
    <row r="634" spans="1:37" x14ac:dyDescent="0.25">
      <c r="A634" s="8">
        <v>633</v>
      </c>
      <c r="B634" t="s">
        <v>44</v>
      </c>
      <c r="C634" t="s">
        <v>37</v>
      </c>
      <c r="D634" s="8">
        <v>42</v>
      </c>
      <c r="E634" t="str">
        <f t="shared" si="49"/>
        <v>36-45</v>
      </c>
      <c r="F634" t="s">
        <v>46</v>
      </c>
      <c r="G634" t="s">
        <v>47</v>
      </c>
      <c r="H634" s="8" t="s">
        <v>48</v>
      </c>
      <c r="I634" s="10">
        <v>2</v>
      </c>
      <c r="J634" t="str">
        <f t="shared" si="45"/>
        <v>Near</v>
      </c>
      <c r="K634">
        <v>1</v>
      </c>
      <c r="L634" t="s">
        <v>53</v>
      </c>
      <c r="M634">
        <v>2</v>
      </c>
      <c r="N634">
        <v>3</v>
      </c>
      <c r="O634">
        <v>1</v>
      </c>
      <c r="P634" t="s">
        <v>49</v>
      </c>
      <c r="Q634">
        <v>4</v>
      </c>
      <c r="R634" s="11">
        <v>1271</v>
      </c>
      <c r="S634" s="14">
        <v>35</v>
      </c>
      <c r="T634" s="13">
        <v>2515</v>
      </c>
      <c r="U634" s="13">
        <f t="shared" si="46"/>
        <v>30180</v>
      </c>
      <c r="V634" s="14">
        <v>9068</v>
      </c>
      <c r="W634">
        <v>5</v>
      </c>
      <c r="X634" s="8" t="s">
        <v>38</v>
      </c>
      <c r="Y634" s="15">
        <v>0.14000000000000001</v>
      </c>
      <c r="Z634">
        <v>3</v>
      </c>
      <c r="AA634">
        <v>4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 t="str">
        <f t="shared" si="47"/>
        <v>0-3</v>
      </c>
      <c r="AI634">
        <v>2</v>
      </c>
      <c r="AJ634" t="str">
        <f t="shared" si="48"/>
        <v>0-2</v>
      </c>
      <c r="AK634">
        <v>2</v>
      </c>
    </row>
    <row r="635" spans="1:37" x14ac:dyDescent="0.25">
      <c r="A635" s="8">
        <v>634</v>
      </c>
      <c r="B635" t="s">
        <v>44</v>
      </c>
      <c r="C635" t="s">
        <v>45</v>
      </c>
      <c r="D635" s="8">
        <v>36</v>
      </c>
      <c r="E635" t="str">
        <f t="shared" si="49"/>
        <v>36-45</v>
      </c>
      <c r="F635" t="s">
        <v>46</v>
      </c>
      <c r="G635" t="s">
        <v>39</v>
      </c>
      <c r="H635" s="8" t="s">
        <v>64</v>
      </c>
      <c r="I635" s="10">
        <v>8</v>
      </c>
      <c r="J635" t="str">
        <f t="shared" si="45"/>
        <v>Moderate</v>
      </c>
      <c r="K635">
        <v>3</v>
      </c>
      <c r="L635" t="s">
        <v>41</v>
      </c>
      <c r="M635">
        <v>1</v>
      </c>
      <c r="N635">
        <v>2</v>
      </c>
      <c r="O635">
        <v>1</v>
      </c>
      <c r="P635" t="s">
        <v>64</v>
      </c>
      <c r="Q635">
        <v>1</v>
      </c>
      <c r="R635" s="11">
        <v>1278</v>
      </c>
      <c r="S635" s="14">
        <v>77</v>
      </c>
      <c r="T635" s="13">
        <v>2342</v>
      </c>
      <c r="U635" s="13">
        <f t="shared" si="46"/>
        <v>28104</v>
      </c>
      <c r="V635" s="14">
        <v>8635</v>
      </c>
      <c r="W635">
        <v>0</v>
      </c>
      <c r="X635" s="8" t="s">
        <v>46</v>
      </c>
      <c r="Y635" s="15">
        <v>0.21</v>
      </c>
      <c r="Z635">
        <v>4</v>
      </c>
      <c r="AA635">
        <v>3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 t="str">
        <f t="shared" si="47"/>
        <v>4-7</v>
      </c>
      <c r="AI635">
        <v>0</v>
      </c>
      <c r="AJ635" t="str">
        <f t="shared" si="48"/>
        <v>0-2</v>
      </c>
      <c r="AK635">
        <v>3</v>
      </c>
    </row>
    <row r="636" spans="1:37" x14ac:dyDescent="0.25">
      <c r="A636" s="8">
        <v>635</v>
      </c>
      <c r="B636" t="s">
        <v>44</v>
      </c>
      <c r="C636" t="s">
        <v>45</v>
      </c>
      <c r="D636" s="8">
        <v>25</v>
      </c>
      <c r="E636" t="str">
        <f t="shared" si="49"/>
        <v>26-35</v>
      </c>
      <c r="F636" t="s">
        <v>46</v>
      </c>
      <c r="G636" t="s">
        <v>39</v>
      </c>
      <c r="H636" s="8" t="s">
        <v>40</v>
      </c>
      <c r="I636" s="10">
        <v>3</v>
      </c>
      <c r="J636" t="str">
        <f t="shared" si="45"/>
        <v>Near</v>
      </c>
      <c r="K636">
        <v>1</v>
      </c>
      <c r="L636" t="s">
        <v>50</v>
      </c>
      <c r="M636">
        <v>3</v>
      </c>
      <c r="N636">
        <v>3</v>
      </c>
      <c r="O636">
        <v>2</v>
      </c>
      <c r="P636" t="s">
        <v>42</v>
      </c>
      <c r="Q636">
        <v>1</v>
      </c>
      <c r="R636" s="11">
        <v>141</v>
      </c>
      <c r="S636" s="14">
        <v>98</v>
      </c>
      <c r="T636" s="13">
        <v>4194</v>
      </c>
      <c r="U636" s="13">
        <f t="shared" si="46"/>
        <v>50328</v>
      </c>
      <c r="V636" s="14">
        <v>14363</v>
      </c>
      <c r="W636">
        <v>1</v>
      </c>
      <c r="X636" s="8" t="s">
        <v>38</v>
      </c>
      <c r="Y636" s="15">
        <v>0.18</v>
      </c>
      <c r="Z636">
        <v>3</v>
      </c>
      <c r="AA636">
        <v>4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 t="str">
        <f t="shared" si="47"/>
        <v>0-3</v>
      </c>
      <c r="AI636">
        <v>0</v>
      </c>
      <c r="AJ636" t="str">
        <f t="shared" si="48"/>
        <v>0-2</v>
      </c>
      <c r="AK636">
        <v>3</v>
      </c>
    </row>
    <row r="637" spans="1:37" x14ac:dyDescent="0.25">
      <c r="A637" s="8">
        <v>636</v>
      </c>
      <c r="B637" t="s">
        <v>52</v>
      </c>
      <c r="C637" t="s">
        <v>45</v>
      </c>
      <c r="D637" s="8">
        <v>35</v>
      </c>
      <c r="E637" t="str">
        <f t="shared" si="49"/>
        <v>26-35</v>
      </c>
      <c r="F637" t="s">
        <v>46</v>
      </c>
      <c r="G637" t="s">
        <v>39</v>
      </c>
      <c r="H637" s="8" t="s">
        <v>48</v>
      </c>
      <c r="I637" s="10">
        <v>9</v>
      </c>
      <c r="J637" t="str">
        <f t="shared" si="45"/>
        <v>Moderate</v>
      </c>
      <c r="K637">
        <v>3</v>
      </c>
      <c r="L637" t="s">
        <v>41</v>
      </c>
      <c r="M637">
        <v>4</v>
      </c>
      <c r="N637">
        <v>2</v>
      </c>
      <c r="O637">
        <v>3</v>
      </c>
      <c r="P637" t="s">
        <v>55</v>
      </c>
      <c r="Q637">
        <v>3</v>
      </c>
      <c r="R637" s="11">
        <v>607</v>
      </c>
      <c r="S637" s="14">
        <v>66</v>
      </c>
      <c r="T637" s="13">
        <v>10685</v>
      </c>
      <c r="U637" s="13">
        <f t="shared" si="46"/>
        <v>128220</v>
      </c>
      <c r="V637" s="14">
        <v>23457</v>
      </c>
      <c r="W637">
        <v>1</v>
      </c>
      <c r="X637" s="8" t="s">
        <v>38</v>
      </c>
      <c r="Y637" s="15">
        <v>0.2</v>
      </c>
      <c r="Z637">
        <v>4</v>
      </c>
      <c r="AA637">
        <v>2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 t="str">
        <f t="shared" si="47"/>
        <v>12-15</v>
      </c>
      <c r="AI637">
        <v>5</v>
      </c>
      <c r="AJ637" t="str">
        <f t="shared" si="48"/>
        <v>3-5</v>
      </c>
      <c r="AK637">
        <v>15</v>
      </c>
    </row>
    <row r="638" spans="1:37" x14ac:dyDescent="0.25">
      <c r="A638" s="8">
        <v>637</v>
      </c>
      <c r="B638" t="s">
        <v>52</v>
      </c>
      <c r="C638" t="s">
        <v>54</v>
      </c>
      <c r="D638" s="8">
        <v>35</v>
      </c>
      <c r="E638" t="str">
        <f t="shared" si="49"/>
        <v>26-35</v>
      </c>
      <c r="F638" t="s">
        <v>38</v>
      </c>
      <c r="G638" t="s">
        <v>47</v>
      </c>
      <c r="H638" s="8" t="s">
        <v>48</v>
      </c>
      <c r="I638" s="10">
        <v>25</v>
      </c>
      <c r="J638" t="str">
        <f t="shared" si="45"/>
        <v>Far</v>
      </c>
      <c r="K638">
        <v>4</v>
      </c>
      <c r="L638" t="s">
        <v>41</v>
      </c>
      <c r="M638">
        <v>4</v>
      </c>
      <c r="N638">
        <v>3</v>
      </c>
      <c r="O638">
        <v>1</v>
      </c>
      <c r="P638" t="s">
        <v>49</v>
      </c>
      <c r="Q638">
        <v>2</v>
      </c>
      <c r="R638" s="11">
        <v>130</v>
      </c>
      <c r="S638" s="14">
        <v>96</v>
      </c>
      <c r="T638" s="13">
        <v>2022</v>
      </c>
      <c r="U638" s="13">
        <f t="shared" si="46"/>
        <v>24264</v>
      </c>
      <c r="V638" s="14">
        <v>16612</v>
      </c>
      <c r="W638">
        <v>1</v>
      </c>
      <c r="X638" s="8" t="s">
        <v>38</v>
      </c>
      <c r="Y638" s="15">
        <v>0.19</v>
      </c>
      <c r="Z638">
        <v>3</v>
      </c>
      <c r="AA638">
        <v>1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 t="str">
        <f t="shared" si="47"/>
        <v>0-3</v>
      </c>
      <c r="AI638">
        <v>7</v>
      </c>
      <c r="AJ638" t="str">
        <f t="shared" si="48"/>
        <v>6-8</v>
      </c>
      <c r="AK638">
        <v>8</v>
      </c>
    </row>
    <row r="639" spans="1:37" x14ac:dyDescent="0.25">
      <c r="A639" s="8">
        <v>638</v>
      </c>
      <c r="B639" t="s">
        <v>44</v>
      </c>
      <c r="C639" t="s">
        <v>54</v>
      </c>
      <c r="D639" s="8">
        <v>32</v>
      </c>
      <c r="E639" t="str">
        <f t="shared" si="49"/>
        <v>26-35</v>
      </c>
      <c r="F639" t="s">
        <v>46</v>
      </c>
      <c r="G639" t="s">
        <v>58</v>
      </c>
      <c r="H639" s="8" t="s">
        <v>48</v>
      </c>
      <c r="I639" s="10">
        <v>1</v>
      </c>
      <c r="J639" t="str">
        <f t="shared" si="45"/>
        <v>Near</v>
      </c>
      <c r="K639">
        <v>3</v>
      </c>
      <c r="L639" t="s">
        <v>41</v>
      </c>
      <c r="M639">
        <v>4</v>
      </c>
      <c r="N639">
        <v>3</v>
      </c>
      <c r="O639">
        <v>1</v>
      </c>
      <c r="P639" t="s">
        <v>51</v>
      </c>
      <c r="Q639">
        <v>4</v>
      </c>
      <c r="R639" s="11">
        <v>300</v>
      </c>
      <c r="S639" s="14">
        <v>61</v>
      </c>
      <c r="T639" s="13">
        <v>2314</v>
      </c>
      <c r="U639" s="13">
        <f t="shared" si="46"/>
        <v>27768</v>
      </c>
      <c r="V639" s="14">
        <v>9148</v>
      </c>
      <c r="W639">
        <v>0</v>
      </c>
      <c r="X639" s="8" t="s">
        <v>46</v>
      </c>
      <c r="Y639" s="15">
        <v>0.12</v>
      </c>
      <c r="Z639">
        <v>3</v>
      </c>
      <c r="AA639">
        <v>2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 t="str">
        <f t="shared" si="47"/>
        <v>0-3</v>
      </c>
      <c r="AI639">
        <v>0</v>
      </c>
      <c r="AJ639" t="str">
        <f t="shared" si="48"/>
        <v>0-2</v>
      </c>
      <c r="AK639">
        <v>2</v>
      </c>
    </row>
    <row r="640" spans="1:37" x14ac:dyDescent="0.25">
      <c r="A640" s="8">
        <v>639</v>
      </c>
      <c r="B640" t="s">
        <v>44</v>
      </c>
      <c r="C640" t="s">
        <v>45</v>
      </c>
      <c r="D640" s="8">
        <v>25</v>
      </c>
      <c r="E640" t="str">
        <f t="shared" si="49"/>
        <v>26-35</v>
      </c>
      <c r="F640" t="s">
        <v>46</v>
      </c>
      <c r="G640" t="s">
        <v>39</v>
      </c>
      <c r="H640" s="8" t="s">
        <v>40</v>
      </c>
      <c r="I640" s="10">
        <v>4</v>
      </c>
      <c r="J640" t="str">
        <f t="shared" si="45"/>
        <v>Near</v>
      </c>
      <c r="K640">
        <v>1</v>
      </c>
      <c r="L640" t="s">
        <v>62</v>
      </c>
      <c r="M640">
        <v>3</v>
      </c>
      <c r="N640">
        <v>2</v>
      </c>
      <c r="O640">
        <v>2</v>
      </c>
      <c r="P640" t="s">
        <v>42</v>
      </c>
      <c r="Q640">
        <v>1</v>
      </c>
      <c r="R640" s="11">
        <v>583</v>
      </c>
      <c r="S640" s="14">
        <v>87</v>
      </c>
      <c r="T640" s="13">
        <v>4256</v>
      </c>
      <c r="U640" s="13">
        <f t="shared" si="46"/>
        <v>51072</v>
      </c>
      <c r="V640" s="14">
        <v>18154</v>
      </c>
      <c r="W640">
        <v>1</v>
      </c>
      <c r="X640" s="8" t="s">
        <v>46</v>
      </c>
      <c r="Y640" s="15">
        <v>0.12</v>
      </c>
      <c r="Z640">
        <v>3</v>
      </c>
      <c r="AA640">
        <v>1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 t="str">
        <f t="shared" si="47"/>
        <v>0-3</v>
      </c>
      <c r="AI640">
        <v>0</v>
      </c>
      <c r="AJ640" t="str">
        <f t="shared" si="48"/>
        <v>0-2</v>
      </c>
      <c r="AK640">
        <v>3</v>
      </c>
    </row>
    <row r="641" spans="1:37" x14ac:dyDescent="0.25">
      <c r="A641" s="8">
        <v>640</v>
      </c>
      <c r="B641" t="s">
        <v>52</v>
      </c>
      <c r="C641" t="s">
        <v>45</v>
      </c>
      <c r="D641" s="8">
        <v>49</v>
      </c>
      <c r="E641" t="str">
        <f t="shared" si="49"/>
        <v>46-55</v>
      </c>
      <c r="F641" t="s">
        <v>46</v>
      </c>
      <c r="G641" t="s">
        <v>39</v>
      </c>
      <c r="H641" s="8" t="s">
        <v>48</v>
      </c>
      <c r="I641" s="10">
        <v>1</v>
      </c>
      <c r="J641" t="str">
        <f t="shared" si="45"/>
        <v>Near</v>
      </c>
      <c r="K641">
        <v>3</v>
      </c>
      <c r="L641" t="s">
        <v>63</v>
      </c>
      <c r="M641">
        <v>3</v>
      </c>
      <c r="N641">
        <v>3</v>
      </c>
      <c r="O641">
        <v>1</v>
      </c>
      <c r="P641" t="s">
        <v>49</v>
      </c>
      <c r="Q641">
        <v>1</v>
      </c>
      <c r="R641" s="11">
        <v>1418</v>
      </c>
      <c r="S641" s="14">
        <v>36</v>
      </c>
      <c r="T641" s="13">
        <v>3580</v>
      </c>
      <c r="U641" s="13">
        <f t="shared" si="46"/>
        <v>42960</v>
      </c>
      <c r="V641" s="14">
        <v>10554</v>
      </c>
      <c r="W641">
        <v>2</v>
      </c>
      <c r="X641" s="8" t="s">
        <v>46</v>
      </c>
      <c r="Y641" s="15">
        <v>0.16</v>
      </c>
      <c r="Z641">
        <v>3</v>
      </c>
      <c r="AA641">
        <v>2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 t="str">
        <f t="shared" si="47"/>
        <v>0-3</v>
      </c>
      <c r="AI641">
        <v>0</v>
      </c>
      <c r="AJ641" t="str">
        <f t="shared" si="48"/>
        <v>0-2</v>
      </c>
      <c r="AK641">
        <v>2</v>
      </c>
    </row>
    <row r="642" spans="1:37" x14ac:dyDescent="0.25">
      <c r="A642" s="8">
        <v>641</v>
      </c>
      <c r="B642" t="s">
        <v>44</v>
      </c>
      <c r="C642" t="s">
        <v>45</v>
      </c>
      <c r="D642" s="8">
        <v>24</v>
      </c>
      <c r="E642" t="str">
        <f t="shared" si="49"/>
        <v>18-25</v>
      </c>
      <c r="F642" t="s">
        <v>46</v>
      </c>
      <c r="G642" t="s">
        <v>58</v>
      </c>
      <c r="H642" s="8" t="s">
        <v>48</v>
      </c>
      <c r="I642" s="10">
        <v>4</v>
      </c>
      <c r="J642" t="str">
        <f t="shared" si="45"/>
        <v>Near</v>
      </c>
      <c r="K642">
        <v>1</v>
      </c>
      <c r="L642" t="s">
        <v>41</v>
      </c>
      <c r="M642">
        <v>1</v>
      </c>
      <c r="N642">
        <v>2</v>
      </c>
      <c r="O642">
        <v>1</v>
      </c>
      <c r="P642" t="s">
        <v>51</v>
      </c>
      <c r="Q642">
        <v>4</v>
      </c>
      <c r="R642" s="11">
        <v>1269</v>
      </c>
      <c r="S642" s="14">
        <v>46</v>
      </c>
      <c r="T642" s="13">
        <v>3162</v>
      </c>
      <c r="U642" s="13">
        <f t="shared" si="46"/>
        <v>37944</v>
      </c>
      <c r="V642" s="14">
        <v>10778</v>
      </c>
      <c r="W642">
        <v>0</v>
      </c>
      <c r="X642" s="8" t="s">
        <v>46</v>
      </c>
      <c r="Y642" s="15">
        <v>0.17</v>
      </c>
      <c r="Z642">
        <v>3</v>
      </c>
      <c r="AA642">
        <v>4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 t="str">
        <f t="shared" si="47"/>
        <v>0-3</v>
      </c>
      <c r="AI642">
        <v>3</v>
      </c>
      <c r="AJ642" t="str">
        <f t="shared" si="48"/>
        <v>3-5</v>
      </c>
      <c r="AK642">
        <v>4</v>
      </c>
    </row>
    <row r="643" spans="1:37" x14ac:dyDescent="0.25">
      <c r="A643" s="8">
        <v>642</v>
      </c>
      <c r="B643" t="s">
        <v>44</v>
      </c>
      <c r="C643" t="s">
        <v>45</v>
      </c>
      <c r="D643" s="8">
        <v>32</v>
      </c>
      <c r="E643" t="str">
        <f t="shared" si="49"/>
        <v>26-35</v>
      </c>
      <c r="F643" t="s">
        <v>46</v>
      </c>
      <c r="G643" t="s">
        <v>47</v>
      </c>
      <c r="H643" s="8" t="s">
        <v>40</v>
      </c>
      <c r="I643" s="10">
        <v>5</v>
      </c>
      <c r="J643" t="str">
        <f t="shared" ref="J643:J706" si="50">IF(I643&lt;=5,"Near",IF(I643&lt;=15,"Moderate",IF(I643&gt;15,"Far")))</f>
        <v>Near</v>
      </c>
      <c r="K643">
        <v>2</v>
      </c>
      <c r="L643" t="s">
        <v>41</v>
      </c>
      <c r="M643">
        <v>2</v>
      </c>
      <c r="N643">
        <v>3</v>
      </c>
      <c r="O643">
        <v>2</v>
      </c>
      <c r="P643" t="s">
        <v>42</v>
      </c>
      <c r="Q643">
        <v>2</v>
      </c>
      <c r="R643" s="11">
        <v>379</v>
      </c>
      <c r="S643" s="14">
        <v>48</v>
      </c>
      <c r="T643" s="13">
        <v>6524</v>
      </c>
      <c r="U643" s="13">
        <f t="shared" ref="U643:U706" si="51">T643*12</f>
        <v>78288</v>
      </c>
      <c r="V643" s="14">
        <v>8891</v>
      </c>
      <c r="W643">
        <v>1</v>
      </c>
      <c r="X643" s="8" t="s">
        <v>46</v>
      </c>
      <c r="Y643" s="15">
        <v>0.14000000000000001</v>
      </c>
      <c r="Z643">
        <v>3</v>
      </c>
      <c r="AA643">
        <v>4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 t="str">
        <f t="shared" ref="AH643:AH706" si="52">IF(AG:AG&lt;=3,"0-3", IF(AG:AG&lt;=7,"4-7", IF(AG:AG&lt;=11,"8-11", IF(AG:AG&lt;=15,"12-15","16-19"))))</f>
        <v>8-11</v>
      </c>
      <c r="AI643">
        <v>5</v>
      </c>
      <c r="AJ643" t="str">
        <f t="shared" ref="AJ643:AJ706" si="53">IF(AI:AI&lt;=2,"0-2",IF(AI:AI&lt;=5,"3-5", IF(AI:AI&lt;=8,"6-8", IF(AI:AI&lt;=11,"9-11","12-15"))))</f>
        <v>3-5</v>
      </c>
      <c r="AK643">
        <v>3</v>
      </c>
    </row>
    <row r="644" spans="1:37" x14ac:dyDescent="0.25">
      <c r="A644" s="8">
        <v>643</v>
      </c>
      <c r="B644" t="s">
        <v>44</v>
      </c>
      <c r="C644" t="s">
        <v>45</v>
      </c>
      <c r="D644" s="8">
        <v>38</v>
      </c>
      <c r="E644" t="str">
        <f t="shared" ref="E644:E707" si="54">IF(D644&lt;25,"18-25",IF(D644&lt;=35,"26-35",IF(D644&lt;=45,"36-45",IF(D644&lt;=55,"46-55",IF(D644&gt;55,"55+")))))</f>
        <v>36-45</v>
      </c>
      <c r="F644" t="s">
        <v>46</v>
      </c>
      <c r="G644" t="s">
        <v>39</v>
      </c>
      <c r="H644" s="8" t="s">
        <v>40</v>
      </c>
      <c r="I644" s="10">
        <v>9</v>
      </c>
      <c r="J644" t="str">
        <f t="shared" si="50"/>
        <v>Moderate</v>
      </c>
      <c r="K644">
        <v>3</v>
      </c>
      <c r="L644" t="s">
        <v>62</v>
      </c>
      <c r="M644">
        <v>2</v>
      </c>
      <c r="N644">
        <v>2</v>
      </c>
      <c r="O644">
        <v>1</v>
      </c>
      <c r="P644" t="s">
        <v>60</v>
      </c>
      <c r="Q644">
        <v>2</v>
      </c>
      <c r="R644" s="11">
        <v>395</v>
      </c>
      <c r="S644" s="14">
        <v>98</v>
      </c>
      <c r="T644" s="13">
        <v>2899</v>
      </c>
      <c r="U644" s="13">
        <f t="shared" si="51"/>
        <v>34788</v>
      </c>
      <c r="V644" s="14">
        <v>12102</v>
      </c>
      <c r="W644">
        <v>0</v>
      </c>
      <c r="X644" s="8" t="s">
        <v>46</v>
      </c>
      <c r="Y644" s="15">
        <v>0.19</v>
      </c>
      <c r="Z644">
        <v>3</v>
      </c>
      <c r="AA644">
        <v>4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 t="str">
        <f t="shared" si="52"/>
        <v>0-3</v>
      </c>
      <c r="AI644">
        <v>1</v>
      </c>
      <c r="AJ644" t="str">
        <f t="shared" si="53"/>
        <v>0-2</v>
      </c>
      <c r="AK644">
        <v>2</v>
      </c>
    </row>
    <row r="645" spans="1:37" x14ac:dyDescent="0.25">
      <c r="A645" s="8">
        <v>644</v>
      </c>
      <c r="B645" t="s">
        <v>52</v>
      </c>
      <c r="C645" t="s">
        <v>45</v>
      </c>
      <c r="D645" s="8">
        <v>42</v>
      </c>
      <c r="E645" t="str">
        <f t="shared" si="54"/>
        <v>36-45</v>
      </c>
      <c r="F645" t="s">
        <v>46</v>
      </c>
      <c r="G645" t="s">
        <v>39</v>
      </c>
      <c r="H645" s="8" t="s">
        <v>48</v>
      </c>
      <c r="I645" s="10">
        <v>3</v>
      </c>
      <c r="J645" t="str">
        <f t="shared" si="50"/>
        <v>Near</v>
      </c>
      <c r="K645">
        <v>3</v>
      </c>
      <c r="L645" t="s">
        <v>41</v>
      </c>
      <c r="M645">
        <v>3</v>
      </c>
      <c r="N645">
        <v>4</v>
      </c>
      <c r="O645">
        <v>2</v>
      </c>
      <c r="P645" t="s">
        <v>51</v>
      </c>
      <c r="Q645">
        <v>4</v>
      </c>
      <c r="R645" s="11">
        <v>1265</v>
      </c>
      <c r="S645" s="14">
        <v>95</v>
      </c>
      <c r="T645" s="13">
        <v>5231</v>
      </c>
      <c r="U645" s="13">
        <f t="shared" si="51"/>
        <v>62772</v>
      </c>
      <c r="V645" s="14">
        <v>23726</v>
      </c>
      <c r="W645">
        <v>2</v>
      </c>
      <c r="X645" s="8" t="s">
        <v>38</v>
      </c>
      <c r="Y645" s="15">
        <v>0.13</v>
      </c>
      <c r="Z645">
        <v>3</v>
      </c>
      <c r="AA645">
        <v>2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 t="str">
        <f t="shared" si="52"/>
        <v>0-3</v>
      </c>
      <c r="AI645">
        <v>1</v>
      </c>
      <c r="AJ645" t="str">
        <f t="shared" si="53"/>
        <v>0-2</v>
      </c>
      <c r="AK645">
        <v>3</v>
      </c>
    </row>
    <row r="646" spans="1:37" x14ac:dyDescent="0.25">
      <c r="A646" s="8">
        <v>645</v>
      </c>
      <c r="B646" t="s">
        <v>44</v>
      </c>
      <c r="C646" t="s">
        <v>45</v>
      </c>
      <c r="D646" s="8">
        <v>31</v>
      </c>
      <c r="E646" t="str">
        <f t="shared" si="54"/>
        <v>26-35</v>
      </c>
      <c r="F646" t="s">
        <v>46</v>
      </c>
      <c r="G646" t="s">
        <v>39</v>
      </c>
      <c r="H646" s="8" t="s">
        <v>48</v>
      </c>
      <c r="I646" s="10">
        <v>11</v>
      </c>
      <c r="J646" t="str">
        <f t="shared" si="50"/>
        <v>Moderate</v>
      </c>
      <c r="K646">
        <v>4</v>
      </c>
      <c r="L646" t="s">
        <v>41</v>
      </c>
      <c r="M646">
        <v>4</v>
      </c>
      <c r="N646">
        <v>3</v>
      </c>
      <c r="O646">
        <v>1</v>
      </c>
      <c r="P646" t="s">
        <v>49</v>
      </c>
      <c r="Q646">
        <v>4</v>
      </c>
      <c r="R646" s="11">
        <v>1222</v>
      </c>
      <c r="S646" s="14">
        <v>48</v>
      </c>
      <c r="T646" s="13">
        <v>2356</v>
      </c>
      <c r="U646" s="13">
        <f t="shared" si="51"/>
        <v>28272</v>
      </c>
      <c r="V646" s="14">
        <v>14871</v>
      </c>
      <c r="W646">
        <v>3</v>
      </c>
      <c r="X646" s="8" t="s">
        <v>38</v>
      </c>
      <c r="Y646" s="15">
        <v>0.19</v>
      </c>
      <c r="Z646">
        <v>3</v>
      </c>
      <c r="AA646">
        <v>2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 t="str">
        <f t="shared" si="52"/>
        <v>4-7</v>
      </c>
      <c r="AI646">
        <v>0</v>
      </c>
      <c r="AJ646" t="str">
        <f t="shared" si="53"/>
        <v>0-2</v>
      </c>
      <c r="AK646">
        <v>2</v>
      </c>
    </row>
    <row r="647" spans="1:37" x14ac:dyDescent="0.25">
      <c r="A647" s="8">
        <v>646</v>
      </c>
      <c r="B647" t="s">
        <v>52</v>
      </c>
      <c r="C647" t="s">
        <v>54</v>
      </c>
      <c r="D647" s="8">
        <v>29</v>
      </c>
      <c r="E647" t="str">
        <f t="shared" si="54"/>
        <v>26-35</v>
      </c>
      <c r="F647" t="s">
        <v>38</v>
      </c>
      <c r="G647" t="s">
        <v>39</v>
      </c>
      <c r="H647" s="8" t="s">
        <v>40</v>
      </c>
      <c r="I647" s="10">
        <v>1</v>
      </c>
      <c r="J647" t="str">
        <f t="shared" si="50"/>
        <v>Near</v>
      </c>
      <c r="K647">
        <v>3</v>
      </c>
      <c r="L647" t="s">
        <v>53</v>
      </c>
      <c r="M647">
        <v>2</v>
      </c>
      <c r="N647">
        <v>2</v>
      </c>
      <c r="O647">
        <v>1</v>
      </c>
      <c r="P647" t="s">
        <v>60</v>
      </c>
      <c r="Q647">
        <v>3</v>
      </c>
      <c r="R647" s="11">
        <v>341</v>
      </c>
      <c r="S647" s="14">
        <v>48</v>
      </c>
      <c r="T647" s="13">
        <v>2800</v>
      </c>
      <c r="U647" s="13">
        <f t="shared" si="51"/>
        <v>33600</v>
      </c>
      <c r="V647" s="14">
        <v>23522</v>
      </c>
      <c r="W647">
        <v>6</v>
      </c>
      <c r="X647" s="8" t="s">
        <v>38</v>
      </c>
      <c r="Y647" s="15">
        <v>0.19</v>
      </c>
      <c r="Z647">
        <v>3</v>
      </c>
      <c r="AA647">
        <v>3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 t="str">
        <f t="shared" si="52"/>
        <v>0-3</v>
      </c>
      <c r="AI647">
        <v>0</v>
      </c>
      <c r="AJ647" t="str">
        <f t="shared" si="53"/>
        <v>0-2</v>
      </c>
      <c r="AK647">
        <v>2</v>
      </c>
    </row>
    <row r="648" spans="1:37" x14ac:dyDescent="0.25">
      <c r="A648" s="8">
        <v>647</v>
      </c>
      <c r="B648" t="s">
        <v>44</v>
      </c>
      <c r="C648" t="s">
        <v>45</v>
      </c>
      <c r="D648" s="8">
        <v>53</v>
      </c>
      <c r="E648" t="str">
        <f t="shared" si="54"/>
        <v>46-55</v>
      </c>
      <c r="F648" t="s">
        <v>46</v>
      </c>
      <c r="G648" t="s">
        <v>39</v>
      </c>
      <c r="H648" s="8" t="s">
        <v>40</v>
      </c>
      <c r="I648" s="10">
        <v>8</v>
      </c>
      <c r="J648" t="str">
        <f t="shared" si="50"/>
        <v>Moderate</v>
      </c>
      <c r="K648">
        <v>3</v>
      </c>
      <c r="L648" t="s">
        <v>62</v>
      </c>
      <c r="M648">
        <v>1</v>
      </c>
      <c r="N648">
        <v>3</v>
      </c>
      <c r="O648">
        <v>4</v>
      </c>
      <c r="P648" t="s">
        <v>42</v>
      </c>
      <c r="Q648">
        <v>4</v>
      </c>
      <c r="R648" s="11">
        <v>868</v>
      </c>
      <c r="S648" s="14">
        <v>73</v>
      </c>
      <c r="T648" s="13">
        <v>11836</v>
      </c>
      <c r="U648" s="13">
        <f t="shared" si="51"/>
        <v>142032</v>
      </c>
      <c r="V648" s="14">
        <v>22789</v>
      </c>
      <c r="W648">
        <v>5</v>
      </c>
      <c r="X648" s="8" t="s">
        <v>46</v>
      </c>
      <c r="Y648" s="15">
        <v>0.14000000000000001</v>
      </c>
      <c r="Z648">
        <v>3</v>
      </c>
      <c r="AA648">
        <v>3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 t="str">
        <f t="shared" si="52"/>
        <v>0-3</v>
      </c>
      <c r="AI648">
        <v>2</v>
      </c>
      <c r="AJ648" t="str">
        <f t="shared" si="53"/>
        <v>0-2</v>
      </c>
      <c r="AK648">
        <v>2</v>
      </c>
    </row>
    <row r="649" spans="1:37" x14ac:dyDescent="0.25">
      <c r="A649" s="8">
        <v>648</v>
      </c>
      <c r="B649" t="s">
        <v>44</v>
      </c>
      <c r="C649" t="s">
        <v>45</v>
      </c>
      <c r="D649" s="8">
        <v>35</v>
      </c>
      <c r="E649" t="str">
        <f t="shared" si="54"/>
        <v>26-35</v>
      </c>
      <c r="F649" t="s">
        <v>46</v>
      </c>
      <c r="G649" t="s">
        <v>39</v>
      </c>
      <c r="H649" s="8" t="s">
        <v>48</v>
      </c>
      <c r="I649" s="10">
        <v>25</v>
      </c>
      <c r="J649" t="str">
        <f t="shared" si="50"/>
        <v>Far</v>
      </c>
      <c r="K649">
        <v>3</v>
      </c>
      <c r="L649" t="s">
        <v>63</v>
      </c>
      <c r="M649">
        <v>4</v>
      </c>
      <c r="N649">
        <v>2</v>
      </c>
      <c r="O649">
        <v>3</v>
      </c>
      <c r="P649" t="s">
        <v>55</v>
      </c>
      <c r="Q649">
        <v>2</v>
      </c>
      <c r="R649" s="11">
        <v>672</v>
      </c>
      <c r="S649" s="14">
        <v>78</v>
      </c>
      <c r="T649" s="13">
        <v>10903</v>
      </c>
      <c r="U649" s="13">
        <f t="shared" si="51"/>
        <v>130836</v>
      </c>
      <c r="V649" s="14">
        <v>9129</v>
      </c>
      <c r="W649">
        <v>3</v>
      </c>
      <c r="X649" s="8" t="s">
        <v>46</v>
      </c>
      <c r="Y649" s="15">
        <v>0.16</v>
      </c>
      <c r="Z649">
        <v>3</v>
      </c>
      <c r="AA649">
        <v>1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 t="str">
        <f t="shared" si="52"/>
        <v>8-11</v>
      </c>
      <c r="AI649">
        <v>4</v>
      </c>
      <c r="AJ649" t="str">
        <f t="shared" si="53"/>
        <v>3-5</v>
      </c>
      <c r="AK649">
        <v>8</v>
      </c>
    </row>
    <row r="650" spans="1:37" x14ac:dyDescent="0.25">
      <c r="A650" s="8">
        <v>649</v>
      </c>
      <c r="B650" t="s">
        <v>52</v>
      </c>
      <c r="C650" t="s">
        <v>45</v>
      </c>
      <c r="D650" s="8">
        <v>37</v>
      </c>
      <c r="E650" t="str">
        <f t="shared" si="54"/>
        <v>36-45</v>
      </c>
      <c r="F650" t="s">
        <v>46</v>
      </c>
      <c r="G650" t="s">
        <v>47</v>
      </c>
      <c r="H650" s="8" t="s">
        <v>40</v>
      </c>
      <c r="I650" s="10">
        <v>21</v>
      </c>
      <c r="J650" t="str">
        <f t="shared" si="50"/>
        <v>Far</v>
      </c>
      <c r="K650">
        <v>2</v>
      </c>
      <c r="L650" t="s">
        <v>53</v>
      </c>
      <c r="M650">
        <v>3</v>
      </c>
      <c r="N650">
        <v>3</v>
      </c>
      <c r="O650">
        <v>1</v>
      </c>
      <c r="P650" t="s">
        <v>60</v>
      </c>
      <c r="Q650">
        <v>4</v>
      </c>
      <c r="R650" s="11">
        <v>1231</v>
      </c>
      <c r="S650" s="14">
        <v>54</v>
      </c>
      <c r="T650" s="13">
        <v>2973</v>
      </c>
      <c r="U650" s="13">
        <f t="shared" si="51"/>
        <v>35676</v>
      </c>
      <c r="V650" s="14">
        <v>21222</v>
      </c>
      <c r="W650">
        <v>5</v>
      </c>
      <c r="X650" s="8" t="s">
        <v>46</v>
      </c>
      <c r="Y650" s="15">
        <v>0.15</v>
      </c>
      <c r="Z650">
        <v>3</v>
      </c>
      <c r="AA650">
        <v>2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 t="str">
        <f t="shared" si="52"/>
        <v>4-7</v>
      </c>
      <c r="AI650">
        <v>0</v>
      </c>
      <c r="AJ650" t="str">
        <f t="shared" si="53"/>
        <v>0-2</v>
      </c>
      <c r="AK650">
        <v>0</v>
      </c>
    </row>
    <row r="651" spans="1:37" x14ac:dyDescent="0.25">
      <c r="A651" s="8">
        <v>650</v>
      </c>
      <c r="B651" t="s">
        <v>52</v>
      </c>
      <c r="C651" t="s">
        <v>37</v>
      </c>
      <c r="D651" s="8">
        <v>53</v>
      </c>
      <c r="E651" t="str">
        <f t="shared" si="54"/>
        <v>46-55</v>
      </c>
      <c r="F651" t="s">
        <v>46</v>
      </c>
      <c r="G651" t="s">
        <v>39</v>
      </c>
      <c r="H651" s="8" t="s">
        <v>48</v>
      </c>
      <c r="I651" s="10">
        <v>23</v>
      </c>
      <c r="J651" t="str">
        <f t="shared" si="50"/>
        <v>Far</v>
      </c>
      <c r="K651">
        <v>4</v>
      </c>
      <c r="L651" t="s">
        <v>41</v>
      </c>
      <c r="M651">
        <v>4</v>
      </c>
      <c r="N651">
        <v>3</v>
      </c>
      <c r="O651">
        <v>4</v>
      </c>
      <c r="P651" t="s">
        <v>61</v>
      </c>
      <c r="Q651">
        <v>4</v>
      </c>
      <c r="R651" s="11">
        <v>102</v>
      </c>
      <c r="S651" s="14">
        <v>72</v>
      </c>
      <c r="T651" s="13">
        <v>14275</v>
      </c>
      <c r="U651" s="13">
        <f t="shared" si="51"/>
        <v>171300</v>
      </c>
      <c r="V651" s="14">
        <v>20206</v>
      </c>
      <c r="W651">
        <v>6</v>
      </c>
      <c r="X651" s="8" t="s">
        <v>46</v>
      </c>
      <c r="Y651" s="15">
        <v>0.18</v>
      </c>
      <c r="Z651">
        <v>3</v>
      </c>
      <c r="AA651">
        <v>3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 t="str">
        <f t="shared" si="52"/>
        <v>8-11</v>
      </c>
      <c r="AI651">
        <v>3</v>
      </c>
      <c r="AJ651" t="str">
        <f t="shared" si="53"/>
        <v>3-5</v>
      </c>
      <c r="AK651">
        <v>8</v>
      </c>
    </row>
    <row r="652" spans="1:37" x14ac:dyDescent="0.25">
      <c r="A652" s="8">
        <v>651</v>
      </c>
      <c r="B652" t="s">
        <v>52</v>
      </c>
      <c r="C652" t="s">
        <v>45</v>
      </c>
      <c r="D652" s="8">
        <v>43</v>
      </c>
      <c r="E652" t="str">
        <f t="shared" si="54"/>
        <v>36-45</v>
      </c>
      <c r="F652" t="s">
        <v>46</v>
      </c>
      <c r="G652" t="s">
        <v>47</v>
      </c>
      <c r="H652" s="8" t="s">
        <v>48</v>
      </c>
      <c r="I652" s="10">
        <v>1</v>
      </c>
      <c r="J652" t="str">
        <f t="shared" si="50"/>
        <v>Near</v>
      </c>
      <c r="K652">
        <v>3</v>
      </c>
      <c r="L652" t="s">
        <v>41</v>
      </c>
      <c r="M652">
        <v>4</v>
      </c>
      <c r="N652">
        <v>3</v>
      </c>
      <c r="O652">
        <v>2</v>
      </c>
      <c r="P652" t="s">
        <v>56</v>
      </c>
      <c r="Q652">
        <v>4</v>
      </c>
      <c r="R652" s="11">
        <v>422</v>
      </c>
      <c r="S652" s="14">
        <v>33</v>
      </c>
      <c r="T652" s="13">
        <v>5562</v>
      </c>
      <c r="U652" s="13">
        <f t="shared" si="51"/>
        <v>66744</v>
      </c>
      <c r="V652" s="14">
        <v>21782</v>
      </c>
      <c r="W652">
        <v>4</v>
      </c>
      <c r="X652" s="8" t="s">
        <v>46</v>
      </c>
      <c r="Y652" s="15">
        <v>0.13</v>
      </c>
      <c r="Z652">
        <v>3</v>
      </c>
      <c r="AA652">
        <v>2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 t="str">
        <f t="shared" si="52"/>
        <v>0-3</v>
      </c>
      <c r="AI652">
        <v>2</v>
      </c>
      <c r="AJ652" t="str">
        <f t="shared" si="53"/>
        <v>0-2</v>
      </c>
      <c r="AK652">
        <v>2</v>
      </c>
    </row>
    <row r="653" spans="1:37" x14ac:dyDescent="0.25">
      <c r="A653" s="8">
        <v>652</v>
      </c>
      <c r="B653" t="s">
        <v>52</v>
      </c>
      <c r="C653" t="s">
        <v>45</v>
      </c>
      <c r="D653" s="8">
        <v>47</v>
      </c>
      <c r="E653" t="str">
        <f t="shared" si="54"/>
        <v>46-55</v>
      </c>
      <c r="F653" t="s">
        <v>46</v>
      </c>
      <c r="G653" t="s">
        <v>39</v>
      </c>
      <c r="H653" s="8" t="s">
        <v>40</v>
      </c>
      <c r="I653" s="10">
        <v>2</v>
      </c>
      <c r="J653" t="str">
        <f t="shared" si="50"/>
        <v>Near</v>
      </c>
      <c r="K653">
        <v>2</v>
      </c>
      <c r="L653" t="s">
        <v>62</v>
      </c>
      <c r="M653">
        <v>3</v>
      </c>
      <c r="N653">
        <v>3</v>
      </c>
      <c r="O653">
        <v>2</v>
      </c>
      <c r="P653" t="s">
        <v>42</v>
      </c>
      <c r="Q653">
        <v>4</v>
      </c>
      <c r="R653" s="11">
        <v>249</v>
      </c>
      <c r="S653" s="14">
        <v>35</v>
      </c>
      <c r="T653" s="13">
        <v>4537</v>
      </c>
      <c r="U653" s="13">
        <f t="shared" si="51"/>
        <v>54444</v>
      </c>
      <c r="V653" s="14">
        <v>17783</v>
      </c>
      <c r="W653">
        <v>0</v>
      </c>
      <c r="X653" s="8" t="s">
        <v>38</v>
      </c>
      <c r="Y653" s="15">
        <v>0.22</v>
      </c>
      <c r="Z653">
        <v>4</v>
      </c>
      <c r="AA653">
        <v>1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 t="str">
        <f t="shared" si="52"/>
        <v>4-7</v>
      </c>
      <c r="AI653">
        <v>7</v>
      </c>
      <c r="AJ653" t="str">
        <f t="shared" si="53"/>
        <v>6-8</v>
      </c>
      <c r="AK653">
        <v>7</v>
      </c>
    </row>
    <row r="654" spans="1:37" x14ac:dyDescent="0.25">
      <c r="A654" s="8">
        <v>653</v>
      </c>
      <c r="B654" t="s">
        <v>44</v>
      </c>
      <c r="C654" t="s">
        <v>37</v>
      </c>
      <c r="D654" s="8">
        <v>37</v>
      </c>
      <c r="E654" t="str">
        <f t="shared" si="54"/>
        <v>36-45</v>
      </c>
      <c r="F654" t="s">
        <v>46</v>
      </c>
      <c r="G654" t="s">
        <v>58</v>
      </c>
      <c r="H654" s="8" t="s">
        <v>40</v>
      </c>
      <c r="I654" s="10">
        <v>19</v>
      </c>
      <c r="J654" t="str">
        <f t="shared" si="50"/>
        <v>Far</v>
      </c>
      <c r="K654">
        <v>2</v>
      </c>
      <c r="L654" t="s">
        <v>53</v>
      </c>
      <c r="M654">
        <v>1</v>
      </c>
      <c r="N654">
        <v>3</v>
      </c>
      <c r="O654">
        <v>3</v>
      </c>
      <c r="P654" t="s">
        <v>42</v>
      </c>
      <c r="Q654">
        <v>2</v>
      </c>
      <c r="R654" s="11">
        <v>1252</v>
      </c>
      <c r="S654" s="14">
        <v>32</v>
      </c>
      <c r="T654" s="13">
        <v>7642</v>
      </c>
      <c r="U654" s="13">
        <f t="shared" si="51"/>
        <v>91704</v>
      </c>
      <c r="V654" s="14">
        <v>4814</v>
      </c>
      <c r="W654">
        <v>1</v>
      </c>
      <c r="X654" s="8" t="s">
        <v>38</v>
      </c>
      <c r="Y654" s="15">
        <v>0.13</v>
      </c>
      <c r="Z654">
        <v>3</v>
      </c>
      <c r="AA654">
        <v>4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 t="str">
        <f t="shared" si="52"/>
        <v>0-3</v>
      </c>
      <c r="AI654">
        <v>0</v>
      </c>
      <c r="AJ654" t="str">
        <f t="shared" si="53"/>
        <v>0-2</v>
      </c>
      <c r="AK654">
        <v>9</v>
      </c>
    </row>
    <row r="655" spans="1:37" x14ac:dyDescent="0.25">
      <c r="A655" s="8">
        <v>654</v>
      </c>
      <c r="B655" t="s">
        <v>44</v>
      </c>
      <c r="C655" t="s">
        <v>54</v>
      </c>
      <c r="D655" s="8">
        <v>50</v>
      </c>
      <c r="E655" t="str">
        <f t="shared" si="54"/>
        <v>46-55</v>
      </c>
      <c r="F655" t="s">
        <v>46</v>
      </c>
      <c r="G655" t="s">
        <v>58</v>
      </c>
      <c r="H655" s="8" t="s">
        <v>48</v>
      </c>
      <c r="I655" s="10">
        <v>2</v>
      </c>
      <c r="J655" t="str">
        <f t="shared" si="50"/>
        <v>Near</v>
      </c>
      <c r="K655">
        <v>4</v>
      </c>
      <c r="L655" t="s">
        <v>41</v>
      </c>
      <c r="M655">
        <v>1</v>
      </c>
      <c r="N655">
        <v>3</v>
      </c>
      <c r="O655">
        <v>4</v>
      </c>
      <c r="P655" t="s">
        <v>59</v>
      </c>
      <c r="Q655">
        <v>1</v>
      </c>
      <c r="R655" s="11">
        <v>881</v>
      </c>
      <c r="S655" s="14">
        <v>98</v>
      </c>
      <c r="T655" s="13">
        <v>17924</v>
      </c>
      <c r="U655" s="13">
        <f t="shared" si="51"/>
        <v>215088</v>
      </c>
      <c r="V655" s="14">
        <v>4544</v>
      </c>
      <c r="W655">
        <v>1</v>
      </c>
      <c r="X655" s="8" t="s">
        <v>46</v>
      </c>
      <c r="Y655" s="15">
        <v>0.11</v>
      </c>
      <c r="Z655">
        <v>3</v>
      </c>
      <c r="AA655">
        <v>4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 t="str">
        <f t="shared" si="52"/>
        <v>4-7</v>
      </c>
      <c r="AI655">
        <v>14</v>
      </c>
      <c r="AJ655" t="str">
        <f t="shared" si="53"/>
        <v>12-15</v>
      </c>
      <c r="AK655">
        <v>7</v>
      </c>
    </row>
    <row r="656" spans="1:37" x14ac:dyDescent="0.25">
      <c r="A656" s="8">
        <v>655</v>
      </c>
      <c r="B656" t="s">
        <v>52</v>
      </c>
      <c r="C656" t="s">
        <v>45</v>
      </c>
      <c r="D656" s="8">
        <v>39</v>
      </c>
      <c r="E656" t="str">
        <f t="shared" si="54"/>
        <v>36-45</v>
      </c>
      <c r="F656" t="s">
        <v>46</v>
      </c>
      <c r="G656" t="s">
        <v>39</v>
      </c>
      <c r="H656" s="8" t="s">
        <v>64</v>
      </c>
      <c r="I656" s="10">
        <v>2</v>
      </c>
      <c r="J656" t="str">
        <f t="shared" si="50"/>
        <v>Near</v>
      </c>
      <c r="K656">
        <v>3</v>
      </c>
      <c r="L656" t="s">
        <v>41</v>
      </c>
      <c r="M656">
        <v>4</v>
      </c>
      <c r="N656">
        <v>2</v>
      </c>
      <c r="O656">
        <v>2</v>
      </c>
      <c r="P656" t="s">
        <v>64</v>
      </c>
      <c r="Q656">
        <v>4</v>
      </c>
      <c r="R656" s="11">
        <v>1383</v>
      </c>
      <c r="S656" s="14">
        <v>42</v>
      </c>
      <c r="T656" s="13">
        <v>5204</v>
      </c>
      <c r="U656" s="13">
        <f t="shared" si="51"/>
        <v>62448</v>
      </c>
      <c r="V656" s="14">
        <v>7790</v>
      </c>
      <c r="W656">
        <v>8</v>
      </c>
      <c r="X656" s="8" t="s">
        <v>46</v>
      </c>
      <c r="Y656" s="15">
        <v>0.11</v>
      </c>
      <c r="Z656">
        <v>3</v>
      </c>
      <c r="AA656">
        <v>3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 t="str">
        <f t="shared" si="52"/>
        <v>4-7</v>
      </c>
      <c r="AI656">
        <v>0</v>
      </c>
      <c r="AJ656" t="str">
        <f t="shared" si="53"/>
        <v>0-2</v>
      </c>
      <c r="AK656">
        <v>4</v>
      </c>
    </row>
    <row r="657" spans="1:37" x14ac:dyDescent="0.25">
      <c r="A657" s="8">
        <v>656</v>
      </c>
      <c r="B657" t="s">
        <v>44</v>
      </c>
      <c r="C657" t="s">
        <v>54</v>
      </c>
      <c r="D657" s="8">
        <v>33</v>
      </c>
      <c r="E657" t="str">
        <f t="shared" si="54"/>
        <v>26-35</v>
      </c>
      <c r="F657" t="s">
        <v>46</v>
      </c>
      <c r="G657" t="s">
        <v>39</v>
      </c>
      <c r="H657" s="8" t="s">
        <v>64</v>
      </c>
      <c r="I657" s="10">
        <v>3</v>
      </c>
      <c r="J657" t="str">
        <f t="shared" si="50"/>
        <v>Near</v>
      </c>
      <c r="K657">
        <v>2</v>
      </c>
      <c r="L657" t="s">
        <v>64</v>
      </c>
      <c r="M657">
        <v>4</v>
      </c>
      <c r="N657">
        <v>3</v>
      </c>
      <c r="O657">
        <v>1</v>
      </c>
      <c r="P657" t="s">
        <v>64</v>
      </c>
      <c r="Q657">
        <v>2</v>
      </c>
      <c r="R657" s="11">
        <v>1075</v>
      </c>
      <c r="S657" s="14">
        <v>57</v>
      </c>
      <c r="T657" s="13">
        <v>2277</v>
      </c>
      <c r="U657" s="13">
        <f t="shared" si="51"/>
        <v>27324</v>
      </c>
      <c r="V657" s="14">
        <v>22650</v>
      </c>
      <c r="W657">
        <v>3</v>
      </c>
      <c r="X657" s="8" t="s">
        <v>38</v>
      </c>
      <c r="Y657" s="15">
        <v>0.11</v>
      </c>
      <c r="Z657">
        <v>3</v>
      </c>
      <c r="AA657">
        <v>3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 t="str">
        <f t="shared" si="52"/>
        <v>0-3</v>
      </c>
      <c r="AI657">
        <v>0</v>
      </c>
      <c r="AJ657" t="str">
        <f t="shared" si="53"/>
        <v>0-2</v>
      </c>
      <c r="AK657">
        <v>3</v>
      </c>
    </row>
    <row r="658" spans="1:37" x14ac:dyDescent="0.25">
      <c r="A658" s="8">
        <v>657</v>
      </c>
      <c r="B658" t="s">
        <v>44</v>
      </c>
      <c r="C658" t="s">
        <v>37</v>
      </c>
      <c r="D658" s="8">
        <v>32</v>
      </c>
      <c r="E658" t="str">
        <f t="shared" si="54"/>
        <v>26-35</v>
      </c>
      <c r="F658" t="s">
        <v>38</v>
      </c>
      <c r="G658" t="s">
        <v>39</v>
      </c>
      <c r="H658" s="8" t="s">
        <v>48</v>
      </c>
      <c r="I658" s="10">
        <v>25</v>
      </c>
      <c r="J658" t="str">
        <f t="shared" si="50"/>
        <v>Far</v>
      </c>
      <c r="K658">
        <v>4</v>
      </c>
      <c r="L658" t="s">
        <v>41</v>
      </c>
      <c r="M658">
        <v>1</v>
      </c>
      <c r="N658">
        <v>3</v>
      </c>
      <c r="O658">
        <v>1</v>
      </c>
      <c r="P658" t="s">
        <v>51</v>
      </c>
      <c r="Q658">
        <v>4</v>
      </c>
      <c r="R658" s="11">
        <v>374</v>
      </c>
      <c r="S658" s="14">
        <v>87</v>
      </c>
      <c r="T658" s="13">
        <v>2795</v>
      </c>
      <c r="U658" s="13">
        <f t="shared" si="51"/>
        <v>33540</v>
      </c>
      <c r="V658" s="14">
        <v>18016</v>
      </c>
      <c r="W658">
        <v>1</v>
      </c>
      <c r="X658" s="8" t="s">
        <v>38</v>
      </c>
      <c r="Y658" s="15">
        <v>0.24</v>
      </c>
      <c r="Z658">
        <v>4</v>
      </c>
      <c r="AA658">
        <v>3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 t="str">
        <f t="shared" si="52"/>
        <v>0-3</v>
      </c>
      <c r="AI658">
        <v>0</v>
      </c>
      <c r="AJ658" t="str">
        <f t="shared" si="53"/>
        <v>0-2</v>
      </c>
      <c r="AK658">
        <v>1</v>
      </c>
    </row>
    <row r="659" spans="1:37" x14ac:dyDescent="0.25">
      <c r="A659" s="8">
        <v>658</v>
      </c>
      <c r="B659" t="s">
        <v>52</v>
      </c>
      <c r="C659" t="s">
        <v>54</v>
      </c>
      <c r="D659" s="8">
        <v>29</v>
      </c>
      <c r="E659" t="str">
        <f t="shared" si="54"/>
        <v>26-35</v>
      </c>
      <c r="F659" t="s">
        <v>46</v>
      </c>
      <c r="G659" t="s">
        <v>39</v>
      </c>
      <c r="H659" s="8" t="s">
        <v>48</v>
      </c>
      <c r="I659" s="10">
        <v>7</v>
      </c>
      <c r="J659" t="str">
        <f t="shared" si="50"/>
        <v>Moderate</v>
      </c>
      <c r="K659">
        <v>1</v>
      </c>
      <c r="L659" t="s">
        <v>53</v>
      </c>
      <c r="M659">
        <v>1</v>
      </c>
      <c r="N659">
        <v>2</v>
      </c>
      <c r="O659">
        <v>1</v>
      </c>
      <c r="P659" t="s">
        <v>51</v>
      </c>
      <c r="Q659">
        <v>4</v>
      </c>
      <c r="R659" s="11">
        <v>1086</v>
      </c>
      <c r="S659" s="14">
        <v>62</v>
      </c>
      <c r="T659" s="13">
        <v>2532</v>
      </c>
      <c r="U659" s="13">
        <f t="shared" si="51"/>
        <v>30384</v>
      </c>
      <c r="V659" s="14">
        <v>6054</v>
      </c>
      <c r="W659">
        <v>6</v>
      </c>
      <c r="X659" s="8" t="s">
        <v>46</v>
      </c>
      <c r="Y659" s="15">
        <v>0.14000000000000001</v>
      </c>
      <c r="Z659">
        <v>3</v>
      </c>
      <c r="AA659">
        <v>3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 t="str">
        <f t="shared" si="52"/>
        <v>0-3</v>
      </c>
      <c r="AI659">
        <v>0</v>
      </c>
      <c r="AJ659" t="str">
        <f t="shared" si="53"/>
        <v>0-2</v>
      </c>
      <c r="AK659">
        <v>3</v>
      </c>
    </row>
    <row r="660" spans="1:37" x14ac:dyDescent="0.25">
      <c r="A660" s="8">
        <v>659</v>
      </c>
      <c r="B660" t="s">
        <v>44</v>
      </c>
      <c r="C660" t="s">
        <v>45</v>
      </c>
      <c r="D660" s="8">
        <v>44</v>
      </c>
      <c r="E660" t="str">
        <f t="shared" si="54"/>
        <v>36-45</v>
      </c>
      <c r="F660" t="s">
        <v>46</v>
      </c>
      <c r="G660" t="s">
        <v>39</v>
      </c>
      <c r="H660" s="8" t="s">
        <v>48</v>
      </c>
      <c r="I660" s="10">
        <v>9</v>
      </c>
      <c r="J660" t="str">
        <f t="shared" si="50"/>
        <v>Moderate</v>
      </c>
      <c r="K660">
        <v>2</v>
      </c>
      <c r="L660" t="s">
        <v>41</v>
      </c>
      <c r="M660">
        <v>2</v>
      </c>
      <c r="N660">
        <v>3</v>
      </c>
      <c r="O660">
        <v>1</v>
      </c>
      <c r="P660" t="s">
        <v>49</v>
      </c>
      <c r="Q660">
        <v>1</v>
      </c>
      <c r="R660" s="11">
        <v>661</v>
      </c>
      <c r="S660" s="14">
        <v>61</v>
      </c>
      <c r="T660" s="13">
        <v>2559</v>
      </c>
      <c r="U660" s="13">
        <f t="shared" si="51"/>
        <v>30708</v>
      </c>
      <c r="V660" s="14">
        <v>7508</v>
      </c>
      <c r="W660">
        <v>1</v>
      </c>
      <c r="X660" s="8" t="s">
        <v>38</v>
      </c>
      <c r="Y660" s="15">
        <v>0.13</v>
      </c>
      <c r="Z660">
        <v>3</v>
      </c>
      <c r="AA660">
        <v>4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 t="str">
        <f t="shared" si="52"/>
        <v>4-7</v>
      </c>
      <c r="AI660">
        <v>7</v>
      </c>
      <c r="AJ660" t="str">
        <f t="shared" si="53"/>
        <v>6-8</v>
      </c>
      <c r="AK660">
        <v>1</v>
      </c>
    </row>
    <row r="661" spans="1:37" x14ac:dyDescent="0.25">
      <c r="A661" s="8">
        <v>660</v>
      </c>
      <c r="B661" t="s">
        <v>44</v>
      </c>
      <c r="C661" t="s">
        <v>37</v>
      </c>
      <c r="D661" s="8">
        <v>28</v>
      </c>
      <c r="E661" t="str">
        <f t="shared" si="54"/>
        <v>26-35</v>
      </c>
      <c r="F661" t="s">
        <v>46</v>
      </c>
      <c r="G661" t="s">
        <v>39</v>
      </c>
      <c r="H661" s="8" t="s">
        <v>40</v>
      </c>
      <c r="I661" s="10">
        <v>5</v>
      </c>
      <c r="J661" t="str">
        <f t="shared" si="50"/>
        <v>Near</v>
      </c>
      <c r="K661">
        <v>4</v>
      </c>
      <c r="L661" t="s">
        <v>53</v>
      </c>
      <c r="M661">
        <v>1</v>
      </c>
      <c r="N661">
        <v>3</v>
      </c>
      <c r="O661">
        <v>2</v>
      </c>
      <c r="P661" t="s">
        <v>42</v>
      </c>
      <c r="Q661">
        <v>4</v>
      </c>
      <c r="R661" s="11">
        <v>821</v>
      </c>
      <c r="S661" s="14">
        <v>98</v>
      </c>
      <c r="T661" s="13">
        <v>4908</v>
      </c>
      <c r="U661" s="13">
        <f t="shared" si="51"/>
        <v>58896</v>
      </c>
      <c r="V661" s="14">
        <v>24252</v>
      </c>
      <c r="W661">
        <v>1</v>
      </c>
      <c r="X661" s="8" t="s">
        <v>46</v>
      </c>
      <c r="Y661" s="15">
        <v>0.14000000000000001</v>
      </c>
      <c r="Z661">
        <v>3</v>
      </c>
      <c r="AA661">
        <v>2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 t="str">
        <f t="shared" si="52"/>
        <v>0-3</v>
      </c>
      <c r="AI661">
        <v>0</v>
      </c>
      <c r="AJ661" t="str">
        <f t="shared" si="53"/>
        <v>0-2</v>
      </c>
      <c r="AK661">
        <v>2</v>
      </c>
    </row>
    <row r="662" spans="1:37" x14ac:dyDescent="0.25">
      <c r="A662" s="8">
        <v>661</v>
      </c>
      <c r="B662" t="s">
        <v>44</v>
      </c>
      <c r="C662" t="s">
        <v>54</v>
      </c>
      <c r="D662" s="8">
        <v>58</v>
      </c>
      <c r="E662" t="str">
        <f t="shared" si="54"/>
        <v>55+</v>
      </c>
      <c r="F662" t="s">
        <v>38</v>
      </c>
      <c r="G662" t="s">
        <v>47</v>
      </c>
      <c r="H662" s="8" t="s">
        <v>48</v>
      </c>
      <c r="I662" s="10">
        <v>2</v>
      </c>
      <c r="J662" t="str">
        <f t="shared" si="50"/>
        <v>Near</v>
      </c>
      <c r="K662">
        <v>1</v>
      </c>
      <c r="L662" t="s">
        <v>41</v>
      </c>
      <c r="M662">
        <v>4</v>
      </c>
      <c r="N662">
        <v>2</v>
      </c>
      <c r="O662">
        <v>1</v>
      </c>
      <c r="P662" t="s">
        <v>51</v>
      </c>
      <c r="Q662">
        <v>4</v>
      </c>
      <c r="R662" s="11">
        <v>781</v>
      </c>
      <c r="S662" s="14">
        <v>57</v>
      </c>
      <c r="T662" s="13">
        <v>2380</v>
      </c>
      <c r="U662" s="13">
        <f t="shared" si="51"/>
        <v>28560</v>
      </c>
      <c r="V662" s="14">
        <v>13384</v>
      </c>
      <c r="W662">
        <v>9</v>
      </c>
      <c r="X662" s="8" t="s">
        <v>38</v>
      </c>
      <c r="Y662" s="15">
        <v>0.14000000000000001</v>
      </c>
      <c r="Z662">
        <v>3</v>
      </c>
      <c r="AA662">
        <v>4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 t="str">
        <f t="shared" si="52"/>
        <v>0-3</v>
      </c>
      <c r="AI662">
        <v>0</v>
      </c>
      <c r="AJ662" t="str">
        <f t="shared" si="53"/>
        <v>0-2</v>
      </c>
      <c r="AK662">
        <v>0</v>
      </c>
    </row>
    <row r="663" spans="1:37" x14ac:dyDescent="0.25">
      <c r="A663" s="8">
        <v>662</v>
      </c>
      <c r="B663" t="s">
        <v>52</v>
      </c>
      <c r="C663" t="s">
        <v>54</v>
      </c>
      <c r="D663" s="8">
        <v>43</v>
      </c>
      <c r="E663" t="str">
        <f t="shared" si="54"/>
        <v>36-45</v>
      </c>
      <c r="F663" t="s">
        <v>46</v>
      </c>
      <c r="G663" t="s">
        <v>39</v>
      </c>
      <c r="H663" s="8" t="s">
        <v>48</v>
      </c>
      <c r="I663" s="10">
        <v>8</v>
      </c>
      <c r="J663" t="str">
        <f t="shared" si="50"/>
        <v>Moderate</v>
      </c>
      <c r="K663">
        <v>3</v>
      </c>
      <c r="L663" t="s">
        <v>41</v>
      </c>
      <c r="M663">
        <v>1</v>
      </c>
      <c r="N663">
        <v>3</v>
      </c>
      <c r="O663">
        <v>2</v>
      </c>
      <c r="P663" t="s">
        <v>55</v>
      </c>
      <c r="Q663">
        <v>2</v>
      </c>
      <c r="R663" s="11">
        <v>177</v>
      </c>
      <c r="S663" s="14">
        <v>55</v>
      </c>
      <c r="T663" s="13">
        <v>4765</v>
      </c>
      <c r="U663" s="13">
        <f t="shared" si="51"/>
        <v>57180</v>
      </c>
      <c r="V663" s="14">
        <v>23814</v>
      </c>
      <c r="W663">
        <v>4</v>
      </c>
      <c r="X663" s="8" t="s">
        <v>46</v>
      </c>
      <c r="Y663" s="15">
        <v>0.21</v>
      </c>
      <c r="Z663">
        <v>4</v>
      </c>
      <c r="AA663">
        <v>3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 t="str">
        <f t="shared" si="52"/>
        <v>0-3</v>
      </c>
      <c r="AI663">
        <v>0</v>
      </c>
      <c r="AJ663" t="str">
        <f t="shared" si="53"/>
        <v>0-2</v>
      </c>
      <c r="AK663">
        <v>0</v>
      </c>
    </row>
    <row r="664" spans="1:37" x14ac:dyDescent="0.25">
      <c r="A664" s="8">
        <v>663</v>
      </c>
      <c r="B664" t="s">
        <v>52</v>
      </c>
      <c r="C664" t="s">
        <v>37</v>
      </c>
      <c r="D664" s="8">
        <v>20</v>
      </c>
      <c r="E664" t="str">
        <f t="shared" si="54"/>
        <v>18-25</v>
      </c>
      <c r="F664" t="s">
        <v>38</v>
      </c>
      <c r="G664" t="s">
        <v>39</v>
      </c>
      <c r="H664" s="8" t="s">
        <v>40</v>
      </c>
      <c r="I664" s="10">
        <v>2</v>
      </c>
      <c r="J664" t="str">
        <f t="shared" si="50"/>
        <v>Near</v>
      </c>
      <c r="K664">
        <v>3</v>
      </c>
      <c r="L664" t="s">
        <v>53</v>
      </c>
      <c r="M664">
        <v>3</v>
      </c>
      <c r="N664">
        <v>2</v>
      </c>
      <c r="O664">
        <v>1</v>
      </c>
      <c r="P664" t="s">
        <v>60</v>
      </c>
      <c r="Q664">
        <v>3</v>
      </c>
      <c r="R664" s="11">
        <v>500</v>
      </c>
      <c r="S664" s="14">
        <v>49</v>
      </c>
      <c r="T664" s="13">
        <v>2044</v>
      </c>
      <c r="U664" s="13">
        <f t="shared" si="51"/>
        <v>24528</v>
      </c>
      <c r="V664" s="14">
        <v>22052</v>
      </c>
      <c r="W664">
        <v>1</v>
      </c>
      <c r="X664" s="8" t="s">
        <v>46</v>
      </c>
      <c r="Y664" s="15">
        <v>0.13</v>
      </c>
      <c r="Z664">
        <v>3</v>
      </c>
      <c r="AA664">
        <v>4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 t="str">
        <f t="shared" si="52"/>
        <v>0-3</v>
      </c>
      <c r="AI664">
        <v>0</v>
      </c>
      <c r="AJ664" t="str">
        <f t="shared" si="53"/>
        <v>0-2</v>
      </c>
      <c r="AK664">
        <v>2</v>
      </c>
    </row>
    <row r="665" spans="1:37" x14ac:dyDescent="0.25">
      <c r="A665" s="8">
        <v>664</v>
      </c>
      <c r="B665" t="s">
        <v>52</v>
      </c>
      <c r="C665" t="s">
        <v>37</v>
      </c>
      <c r="D665" s="8">
        <v>21</v>
      </c>
      <c r="E665" t="str">
        <f t="shared" si="54"/>
        <v>18-25</v>
      </c>
      <c r="F665" t="s">
        <v>38</v>
      </c>
      <c r="G665" t="s">
        <v>39</v>
      </c>
      <c r="H665" s="8" t="s">
        <v>48</v>
      </c>
      <c r="I665" s="10">
        <v>18</v>
      </c>
      <c r="J665" t="str">
        <f t="shared" si="50"/>
        <v>Far</v>
      </c>
      <c r="K665">
        <v>1</v>
      </c>
      <c r="L665" t="s">
        <v>50</v>
      </c>
      <c r="M665">
        <v>4</v>
      </c>
      <c r="N665">
        <v>3</v>
      </c>
      <c r="O665">
        <v>1</v>
      </c>
      <c r="P665" t="s">
        <v>49</v>
      </c>
      <c r="Q665">
        <v>4</v>
      </c>
      <c r="R665" s="11">
        <v>1427</v>
      </c>
      <c r="S665" s="14">
        <v>65</v>
      </c>
      <c r="T665" s="13">
        <v>2693</v>
      </c>
      <c r="U665" s="13">
        <f t="shared" si="51"/>
        <v>32316</v>
      </c>
      <c r="V665" s="14">
        <v>8870</v>
      </c>
      <c r="W665">
        <v>1</v>
      </c>
      <c r="X665" s="8" t="s">
        <v>46</v>
      </c>
      <c r="Y665" s="15">
        <v>0.19</v>
      </c>
      <c r="Z665">
        <v>3</v>
      </c>
      <c r="AA665">
        <v>1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 t="str">
        <f t="shared" si="52"/>
        <v>0-3</v>
      </c>
      <c r="AI665">
        <v>0</v>
      </c>
      <c r="AJ665" t="str">
        <f t="shared" si="53"/>
        <v>0-2</v>
      </c>
      <c r="AK665">
        <v>0</v>
      </c>
    </row>
    <row r="666" spans="1:37" x14ac:dyDescent="0.25">
      <c r="A666" s="8">
        <v>665</v>
      </c>
      <c r="B666" t="s">
        <v>44</v>
      </c>
      <c r="C666" t="s">
        <v>45</v>
      </c>
      <c r="D666" s="8">
        <v>36</v>
      </c>
      <c r="E666" t="str">
        <f t="shared" si="54"/>
        <v>36-45</v>
      </c>
      <c r="F666" t="s">
        <v>46</v>
      </c>
      <c r="G666" t="s">
        <v>39</v>
      </c>
      <c r="H666" s="8" t="s">
        <v>48</v>
      </c>
      <c r="I666" s="10">
        <v>14</v>
      </c>
      <c r="J666" t="str">
        <f t="shared" si="50"/>
        <v>Moderate</v>
      </c>
      <c r="K666">
        <v>1</v>
      </c>
      <c r="L666" t="s">
        <v>41</v>
      </c>
      <c r="M666">
        <v>3</v>
      </c>
      <c r="N666">
        <v>3</v>
      </c>
      <c r="O666">
        <v>2</v>
      </c>
      <c r="P666" t="s">
        <v>56</v>
      </c>
      <c r="Q666">
        <v>4</v>
      </c>
      <c r="R666" s="11">
        <v>1425</v>
      </c>
      <c r="S666" s="14">
        <v>68</v>
      </c>
      <c r="T666" s="13">
        <v>6586</v>
      </c>
      <c r="U666" s="13">
        <f t="shared" si="51"/>
        <v>79032</v>
      </c>
      <c r="V666" s="14">
        <v>4821</v>
      </c>
      <c r="W666">
        <v>0</v>
      </c>
      <c r="X666" s="8" t="s">
        <v>38</v>
      </c>
      <c r="Y666" s="15">
        <v>0.17</v>
      </c>
      <c r="Z666">
        <v>3</v>
      </c>
      <c r="AA666">
        <v>1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 t="str">
        <f t="shared" si="52"/>
        <v>8-11</v>
      </c>
      <c r="AI666">
        <v>4</v>
      </c>
      <c r="AJ666" t="str">
        <f t="shared" si="53"/>
        <v>3-5</v>
      </c>
      <c r="AK666">
        <v>11</v>
      </c>
    </row>
    <row r="667" spans="1:37" x14ac:dyDescent="0.25">
      <c r="A667" s="8">
        <v>666</v>
      </c>
      <c r="B667" t="s">
        <v>52</v>
      </c>
      <c r="C667" t="s">
        <v>37</v>
      </c>
      <c r="D667" s="8">
        <v>47</v>
      </c>
      <c r="E667" t="str">
        <f t="shared" si="54"/>
        <v>46-55</v>
      </c>
      <c r="F667" t="s">
        <v>46</v>
      </c>
      <c r="G667" t="s">
        <v>39</v>
      </c>
      <c r="H667" s="8" t="s">
        <v>40</v>
      </c>
      <c r="I667" s="10">
        <v>2</v>
      </c>
      <c r="J667" t="str">
        <f t="shared" si="50"/>
        <v>Near</v>
      </c>
      <c r="K667">
        <v>4</v>
      </c>
      <c r="L667" t="s">
        <v>41</v>
      </c>
      <c r="M667">
        <v>4</v>
      </c>
      <c r="N667">
        <v>2</v>
      </c>
      <c r="O667">
        <v>1</v>
      </c>
      <c r="P667" t="s">
        <v>60</v>
      </c>
      <c r="Q667">
        <v>4</v>
      </c>
      <c r="R667" s="11">
        <v>1454</v>
      </c>
      <c r="S667" s="14">
        <v>65</v>
      </c>
      <c r="T667" s="13">
        <v>3294</v>
      </c>
      <c r="U667" s="13">
        <f t="shared" si="51"/>
        <v>39528</v>
      </c>
      <c r="V667" s="14">
        <v>13137</v>
      </c>
      <c r="W667">
        <v>1</v>
      </c>
      <c r="X667" s="8" t="s">
        <v>38</v>
      </c>
      <c r="Y667" s="15">
        <v>0.18</v>
      </c>
      <c r="Z667">
        <v>3</v>
      </c>
      <c r="AA667">
        <v>1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 t="str">
        <f t="shared" si="52"/>
        <v>0-3</v>
      </c>
      <c r="AI667">
        <v>1</v>
      </c>
      <c r="AJ667" t="str">
        <f t="shared" si="53"/>
        <v>0-2</v>
      </c>
      <c r="AK667">
        <v>2</v>
      </c>
    </row>
    <row r="668" spans="1:37" x14ac:dyDescent="0.25">
      <c r="A668" s="8">
        <v>667</v>
      </c>
      <c r="B668" t="s">
        <v>52</v>
      </c>
      <c r="C668" t="s">
        <v>45</v>
      </c>
      <c r="D668" s="8">
        <v>22</v>
      </c>
      <c r="E668" t="str">
        <f t="shared" si="54"/>
        <v>18-25</v>
      </c>
      <c r="F668" t="s">
        <v>38</v>
      </c>
      <c r="G668" t="s">
        <v>39</v>
      </c>
      <c r="H668" s="8" t="s">
        <v>48</v>
      </c>
      <c r="I668" s="10">
        <v>3</v>
      </c>
      <c r="J668" t="str">
        <f t="shared" si="50"/>
        <v>Near</v>
      </c>
      <c r="K668">
        <v>1</v>
      </c>
      <c r="L668" t="s">
        <v>41</v>
      </c>
      <c r="M668">
        <v>2</v>
      </c>
      <c r="N668">
        <v>3</v>
      </c>
      <c r="O668">
        <v>2</v>
      </c>
      <c r="P668" t="s">
        <v>55</v>
      </c>
      <c r="Q668">
        <v>3</v>
      </c>
      <c r="R668" s="11">
        <v>617</v>
      </c>
      <c r="S668" s="14">
        <v>34</v>
      </c>
      <c r="T668" s="13">
        <v>4171</v>
      </c>
      <c r="U668" s="13">
        <f t="shared" si="51"/>
        <v>50052</v>
      </c>
      <c r="V668" s="14">
        <v>10022</v>
      </c>
      <c r="W668">
        <v>0</v>
      </c>
      <c r="X668" s="8" t="s">
        <v>38</v>
      </c>
      <c r="Y668" s="15">
        <v>0.19</v>
      </c>
      <c r="Z668">
        <v>3</v>
      </c>
      <c r="AA668">
        <v>1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 t="str">
        <f t="shared" si="52"/>
        <v>0-3</v>
      </c>
      <c r="AI668">
        <v>0</v>
      </c>
      <c r="AJ668" t="str">
        <f t="shared" si="53"/>
        <v>0-2</v>
      </c>
      <c r="AK668">
        <v>2</v>
      </c>
    </row>
    <row r="669" spans="1:37" x14ac:dyDescent="0.25">
      <c r="A669" s="8">
        <v>668</v>
      </c>
      <c r="B669" t="s">
        <v>52</v>
      </c>
      <c r="C669" t="s">
        <v>54</v>
      </c>
      <c r="D669" s="8">
        <v>41</v>
      </c>
      <c r="E669" t="str">
        <f t="shared" si="54"/>
        <v>36-45</v>
      </c>
      <c r="F669" t="s">
        <v>38</v>
      </c>
      <c r="G669" t="s">
        <v>39</v>
      </c>
      <c r="H669" s="8" t="s">
        <v>48</v>
      </c>
      <c r="I669" s="10">
        <v>2</v>
      </c>
      <c r="J669" t="str">
        <f t="shared" si="50"/>
        <v>Near</v>
      </c>
      <c r="K669">
        <v>4</v>
      </c>
      <c r="L669" t="s">
        <v>41</v>
      </c>
      <c r="M669">
        <v>2</v>
      </c>
      <c r="N669">
        <v>1</v>
      </c>
      <c r="O669">
        <v>1</v>
      </c>
      <c r="P669" t="s">
        <v>51</v>
      </c>
      <c r="Q669">
        <v>4</v>
      </c>
      <c r="R669" s="11">
        <v>1085</v>
      </c>
      <c r="S669" s="14">
        <v>57</v>
      </c>
      <c r="T669" s="13">
        <v>2778</v>
      </c>
      <c r="U669" s="13">
        <f t="shared" si="51"/>
        <v>33336</v>
      </c>
      <c r="V669" s="14">
        <v>17725</v>
      </c>
      <c r="W669">
        <v>4</v>
      </c>
      <c r="X669" s="8" t="s">
        <v>38</v>
      </c>
      <c r="Y669" s="15">
        <v>0.13</v>
      </c>
      <c r="Z669">
        <v>3</v>
      </c>
      <c r="AA669">
        <v>3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 t="str">
        <f t="shared" si="52"/>
        <v>4-7</v>
      </c>
      <c r="AI669">
        <v>1</v>
      </c>
      <c r="AJ669" t="str">
        <f t="shared" si="53"/>
        <v>0-2</v>
      </c>
      <c r="AK669">
        <v>0</v>
      </c>
    </row>
    <row r="670" spans="1:37" x14ac:dyDescent="0.25">
      <c r="A670" s="8">
        <v>669</v>
      </c>
      <c r="B670" t="s">
        <v>52</v>
      </c>
      <c r="C670" t="s">
        <v>54</v>
      </c>
      <c r="D670" s="8">
        <v>28</v>
      </c>
      <c r="E670" t="str">
        <f t="shared" si="54"/>
        <v>26-35</v>
      </c>
      <c r="F670" t="s">
        <v>46</v>
      </c>
      <c r="G670" t="s">
        <v>39</v>
      </c>
      <c r="H670" s="8" t="s">
        <v>48</v>
      </c>
      <c r="I670" s="10">
        <v>9</v>
      </c>
      <c r="J670" t="str">
        <f t="shared" si="50"/>
        <v>Moderate</v>
      </c>
      <c r="K670">
        <v>3</v>
      </c>
      <c r="L670" t="s">
        <v>53</v>
      </c>
      <c r="M670">
        <v>3</v>
      </c>
      <c r="N670">
        <v>3</v>
      </c>
      <c r="O670">
        <v>1</v>
      </c>
      <c r="P670" t="s">
        <v>49</v>
      </c>
      <c r="Q670">
        <v>3</v>
      </c>
      <c r="R670" s="11">
        <v>995</v>
      </c>
      <c r="S670" s="14">
        <v>77</v>
      </c>
      <c r="T670" s="13">
        <v>2377</v>
      </c>
      <c r="U670" s="13">
        <f t="shared" si="51"/>
        <v>28524</v>
      </c>
      <c r="V670" s="14">
        <v>9834</v>
      </c>
      <c r="W670">
        <v>5</v>
      </c>
      <c r="X670" s="8" t="s">
        <v>46</v>
      </c>
      <c r="Y670" s="15">
        <v>0.18</v>
      </c>
      <c r="Z670">
        <v>3</v>
      </c>
      <c r="AA670">
        <v>2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 t="str">
        <f t="shared" si="52"/>
        <v>0-3</v>
      </c>
      <c r="AI670">
        <v>2</v>
      </c>
      <c r="AJ670" t="str">
        <f t="shared" si="53"/>
        <v>0-2</v>
      </c>
      <c r="AK670">
        <v>2</v>
      </c>
    </row>
    <row r="671" spans="1:37" x14ac:dyDescent="0.25">
      <c r="A671" s="8">
        <v>670</v>
      </c>
      <c r="B671" t="s">
        <v>44</v>
      </c>
      <c r="C671" t="s">
        <v>45</v>
      </c>
      <c r="D671" s="8">
        <v>39</v>
      </c>
      <c r="E671" t="str">
        <f t="shared" si="54"/>
        <v>36-45</v>
      </c>
      <c r="F671" t="s">
        <v>38</v>
      </c>
      <c r="G671" t="s">
        <v>39</v>
      </c>
      <c r="H671" s="8" t="s">
        <v>48</v>
      </c>
      <c r="I671" s="10">
        <v>6</v>
      </c>
      <c r="J671" t="str">
        <f t="shared" si="50"/>
        <v>Moderate</v>
      </c>
      <c r="K671">
        <v>3</v>
      </c>
      <c r="L671" t="s">
        <v>53</v>
      </c>
      <c r="M671">
        <v>4</v>
      </c>
      <c r="N671">
        <v>3</v>
      </c>
      <c r="O671">
        <v>1</v>
      </c>
      <c r="P671" t="s">
        <v>51</v>
      </c>
      <c r="Q671">
        <v>1</v>
      </c>
      <c r="R671" s="11">
        <v>1122</v>
      </c>
      <c r="S671" s="14">
        <v>70</v>
      </c>
      <c r="T671" s="13">
        <v>2404</v>
      </c>
      <c r="U671" s="13">
        <f t="shared" si="51"/>
        <v>28848</v>
      </c>
      <c r="V671" s="14">
        <v>4303</v>
      </c>
      <c r="W671">
        <v>7</v>
      </c>
      <c r="X671" s="8" t="s">
        <v>38</v>
      </c>
      <c r="Y671" s="15">
        <v>0.21</v>
      </c>
      <c r="Z671">
        <v>4</v>
      </c>
      <c r="AA671">
        <v>4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 t="str">
        <f t="shared" si="52"/>
        <v>0-3</v>
      </c>
      <c r="AI671">
        <v>2</v>
      </c>
      <c r="AJ671" t="str">
        <f t="shared" si="53"/>
        <v>0-2</v>
      </c>
      <c r="AK671">
        <v>2</v>
      </c>
    </row>
    <row r="672" spans="1:37" x14ac:dyDescent="0.25">
      <c r="A672" s="8">
        <v>671</v>
      </c>
      <c r="B672" t="s">
        <v>52</v>
      </c>
      <c r="C672" t="s">
        <v>37</v>
      </c>
      <c r="D672" s="8">
        <v>27</v>
      </c>
      <c r="E672" t="str">
        <f t="shared" si="54"/>
        <v>26-35</v>
      </c>
      <c r="F672" t="s">
        <v>46</v>
      </c>
      <c r="G672" t="s">
        <v>39</v>
      </c>
      <c r="H672" s="8" t="s">
        <v>48</v>
      </c>
      <c r="I672" s="10">
        <v>4</v>
      </c>
      <c r="J672" t="str">
        <f t="shared" si="50"/>
        <v>Near</v>
      </c>
      <c r="K672">
        <v>3</v>
      </c>
      <c r="L672" t="s">
        <v>41</v>
      </c>
      <c r="M672">
        <v>2</v>
      </c>
      <c r="N672">
        <v>3</v>
      </c>
      <c r="O672">
        <v>1</v>
      </c>
      <c r="P672" t="s">
        <v>49</v>
      </c>
      <c r="Q672">
        <v>3</v>
      </c>
      <c r="R672" s="11">
        <v>618</v>
      </c>
      <c r="S672" s="14">
        <v>76</v>
      </c>
      <c r="T672" s="13">
        <v>2318</v>
      </c>
      <c r="U672" s="13">
        <f t="shared" si="51"/>
        <v>27816</v>
      </c>
      <c r="V672" s="14">
        <v>17808</v>
      </c>
      <c r="W672">
        <v>1</v>
      </c>
      <c r="X672" s="8" t="s">
        <v>46</v>
      </c>
      <c r="Y672" s="15">
        <v>0.19</v>
      </c>
      <c r="Z672">
        <v>3</v>
      </c>
      <c r="AA672">
        <v>3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 t="str">
        <f t="shared" si="52"/>
        <v>0-3</v>
      </c>
      <c r="AI672">
        <v>0</v>
      </c>
      <c r="AJ672" t="str">
        <f t="shared" si="53"/>
        <v>0-2</v>
      </c>
      <c r="AK672">
        <v>0</v>
      </c>
    </row>
    <row r="673" spans="1:37" x14ac:dyDescent="0.25">
      <c r="A673" s="8">
        <v>672</v>
      </c>
      <c r="B673" t="s">
        <v>44</v>
      </c>
      <c r="C673" t="s">
        <v>54</v>
      </c>
      <c r="D673" s="8">
        <v>34</v>
      </c>
      <c r="E673" t="str">
        <f t="shared" si="54"/>
        <v>26-35</v>
      </c>
      <c r="F673" t="s">
        <v>46</v>
      </c>
      <c r="G673" t="s">
        <v>39</v>
      </c>
      <c r="H673" s="8" t="s">
        <v>48</v>
      </c>
      <c r="I673" s="10">
        <v>10</v>
      </c>
      <c r="J673" t="str">
        <f t="shared" si="50"/>
        <v>Moderate</v>
      </c>
      <c r="K673">
        <v>3</v>
      </c>
      <c r="L673" t="s">
        <v>41</v>
      </c>
      <c r="M673">
        <v>2</v>
      </c>
      <c r="N673">
        <v>3</v>
      </c>
      <c r="O673">
        <v>1</v>
      </c>
      <c r="P673" t="s">
        <v>51</v>
      </c>
      <c r="Q673">
        <v>2</v>
      </c>
      <c r="R673" s="11">
        <v>546</v>
      </c>
      <c r="S673" s="14">
        <v>83</v>
      </c>
      <c r="T673" s="13">
        <v>2008</v>
      </c>
      <c r="U673" s="13">
        <f t="shared" si="51"/>
        <v>24096</v>
      </c>
      <c r="V673" s="14">
        <v>6896</v>
      </c>
      <c r="W673">
        <v>1</v>
      </c>
      <c r="X673" s="8" t="s">
        <v>46</v>
      </c>
      <c r="Y673" s="15">
        <v>0.14000000000000001</v>
      </c>
      <c r="Z673">
        <v>3</v>
      </c>
      <c r="AA673">
        <v>2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 t="str">
        <f t="shared" si="52"/>
        <v>0-3</v>
      </c>
      <c r="AI673">
        <v>1</v>
      </c>
      <c r="AJ673" t="str">
        <f t="shared" si="53"/>
        <v>0-2</v>
      </c>
      <c r="AK673">
        <v>0</v>
      </c>
    </row>
    <row r="674" spans="1:37" x14ac:dyDescent="0.25">
      <c r="A674" s="8">
        <v>673</v>
      </c>
      <c r="B674" t="s">
        <v>52</v>
      </c>
      <c r="C674" t="s">
        <v>37</v>
      </c>
      <c r="D674" s="8">
        <v>42</v>
      </c>
      <c r="E674" t="str">
        <f t="shared" si="54"/>
        <v>36-45</v>
      </c>
      <c r="F674" t="s">
        <v>46</v>
      </c>
      <c r="G674" t="s">
        <v>39</v>
      </c>
      <c r="H674" s="8" t="s">
        <v>40</v>
      </c>
      <c r="I674" s="10">
        <v>14</v>
      </c>
      <c r="J674" t="str">
        <f t="shared" si="50"/>
        <v>Moderate</v>
      </c>
      <c r="K674">
        <v>2</v>
      </c>
      <c r="L674" t="s">
        <v>53</v>
      </c>
      <c r="M674">
        <v>3</v>
      </c>
      <c r="N674">
        <v>2</v>
      </c>
      <c r="O674">
        <v>2</v>
      </c>
      <c r="P674" t="s">
        <v>42</v>
      </c>
      <c r="Q674">
        <v>3</v>
      </c>
      <c r="R674" s="11">
        <v>462</v>
      </c>
      <c r="S674" s="14">
        <v>68</v>
      </c>
      <c r="T674" s="13">
        <v>6244</v>
      </c>
      <c r="U674" s="13">
        <f t="shared" si="51"/>
        <v>74928</v>
      </c>
      <c r="V674" s="14">
        <v>7824</v>
      </c>
      <c r="W674">
        <v>7</v>
      </c>
      <c r="X674" s="8" t="s">
        <v>46</v>
      </c>
      <c r="Y674" s="15">
        <v>0.17</v>
      </c>
      <c r="Z674">
        <v>3</v>
      </c>
      <c r="AA674">
        <v>1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 t="str">
        <f t="shared" si="52"/>
        <v>4-7</v>
      </c>
      <c r="AI674">
        <v>0</v>
      </c>
      <c r="AJ674" t="str">
        <f t="shared" si="53"/>
        <v>0-2</v>
      </c>
      <c r="AK674">
        <v>3</v>
      </c>
    </row>
    <row r="675" spans="1:37" x14ac:dyDescent="0.25">
      <c r="A675" s="8">
        <v>674</v>
      </c>
      <c r="B675" t="s">
        <v>44</v>
      </c>
      <c r="C675" t="s">
        <v>37</v>
      </c>
      <c r="D675" s="8">
        <v>33</v>
      </c>
      <c r="E675" t="str">
        <f t="shared" si="54"/>
        <v>26-35</v>
      </c>
      <c r="F675" t="s">
        <v>46</v>
      </c>
      <c r="G675" t="s">
        <v>39</v>
      </c>
      <c r="H675" s="8" t="s">
        <v>48</v>
      </c>
      <c r="I675" s="10">
        <v>1</v>
      </c>
      <c r="J675" t="str">
        <f t="shared" si="50"/>
        <v>Near</v>
      </c>
      <c r="K675">
        <v>4</v>
      </c>
      <c r="L675" t="s">
        <v>50</v>
      </c>
      <c r="M675">
        <v>3</v>
      </c>
      <c r="N675">
        <v>2</v>
      </c>
      <c r="O675">
        <v>1</v>
      </c>
      <c r="P675" t="s">
        <v>49</v>
      </c>
      <c r="Q675">
        <v>1</v>
      </c>
      <c r="R675" s="11">
        <v>1198</v>
      </c>
      <c r="S675" s="14">
        <v>100</v>
      </c>
      <c r="T675" s="13">
        <v>2799</v>
      </c>
      <c r="U675" s="13">
        <f t="shared" si="51"/>
        <v>33588</v>
      </c>
      <c r="V675" s="14">
        <v>3339</v>
      </c>
      <c r="W675">
        <v>3</v>
      </c>
      <c r="X675" s="8" t="s">
        <v>38</v>
      </c>
      <c r="Y675" s="15">
        <v>0.11</v>
      </c>
      <c r="Z675">
        <v>3</v>
      </c>
      <c r="AA675">
        <v>2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 t="str">
        <f t="shared" si="52"/>
        <v>0-3</v>
      </c>
      <c r="AI675">
        <v>0</v>
      </c>
      <c r="AJ675" t="str">
        <f t="shared" si="53"/>
        <v>0-2</v>
      </c>
      <c r="AK675">
        <v>2</v>
      </c>
    </row>
    <row r="676" spans="1:37" x14ac:dyDescent="0.25">
      <c r="A676" s="8">
        <v>675</v>
      </c>
      <c r="B676" t="s">
        <v>52</v>
      </c>
      <c r="C676" t="s">
        <v>54</v>
      </c>
      <c r="D676" s="8">
        <v>58</v>
      </c>
      <c r="E676" t="str">
        <f t="shared" si="54"/>
        <v>55+</v>
      </c>
      <c r="F676" t="s">
        <v>46</v>
      </c>
      <c r="G676" t="s">
        <v>39</v>
      </c>
      <c r="H676" s="8" t="s">
        <v>48</v>
      </c>
      <c r="I676" s="10">
        <v>5</v>
      </c>
      <c r="J676" t="str">
        <f t="shared" si="50"/>
        <v>Near</v>
      </c>
      <c r="K676">
        <v>3</v>
      </c>
      <c r="L676" t="s">
        <v>63</v>
      </c>
      <c r="M676">
        <v>3</v>
      </c>
      <c r="N676">
        <v>2</v>
      </c>
      <c r="O676">
        <v>3</v>
      </c>
      <c r="P676" t="s">
        <v>56</v>
      </c>
      <c r="Q676">
        <v>2</v>
      </c>
      <c r="R676" s="11">
        <v>1272</v>
      </c>
      <c r="S676" s="14">
        <v>37</v>
      </c>
      <c r="T676" s="13">
        <v>10552</v>
      </c>
      <c r="U676" s="13">
        <f t="shared" si="51"/>
        <v>126624</v>
      </c>
      <c r="V676" s="14">
        <v>9255</v>
      </c>
      <c r="W676">
        <v>2</v>
      </c>
      <c r="X676" s="8" t="s">
        <v>38</v>
      </c>
      <c r="Y676" s="15">
        <v>0.13</v>
      </c>
      <c r="Z676">
        <v>3</v>
      </c>
      <c r="AA676">
        <v>4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 t="str">
        <f t="shared" si="52"/>
        <v>0-3</v>
      </c>
      <c r="AI676">
        <v>0</v>
      </c>
      <c r="AJ676" t="str">
        <f t="shared" si="53"/>
        <v>0-2</v>
      </c>
      <c r="AK676">
        <v>4</v>
      </c>
    </row>
    <row r="677" spans="1:37" x14ac:dyDescent="0.25">
      <c r="A677" s="8">
        <v>676</v>
      </c>
      <c r="B677" t="s">
        <v>44</v>
      </c>
      <c r="C677" t="s">
        <v>45</v>
      </c>
      <c r="D677" s="8">
        <v>31</v>
      </c>
      <c r="E677" t="str">
        <f t="shared" si="54"/>
        <v>26-35</v>
      </c>
      <c r="F677" t="s">
        <v>46</v>
      </c>
      <c r="G677" t="s">
        <v>39</v>
      </c>
      <c r="H677" s="8" t="s">
        <v>40</v>
      </c>
      <c r="I677" s="10">
        <v>7</v>
      </c>
      <c r="J677" t="str">
        <f t="shared" si="50"/>
        <v>Moderate</v>
      </c>
      <c r="K677">
        <v>4</v>
      </c>
      <c r="L677" t="s">
        <v>41</v>
      </c>
      <c r="M677">
        <v>2</v>
      </c>
      <c r="N677">
        <v>2</v>
      </c>
      <c r="O677">
        <v>1</v>
      </c>
      <c r="P677" t="s">
        <v>60</v>
      </c>
      <c r="Q677">
        <v>3</v>
      </c>
      <c r="R677" s="11">
        <v>154</v>
      </c>
      <c r="S677" s="14">
        <v>41</v>
      </c>
      <c r="T677" s="13">
        <v>2329</v>
      </c>
      <c r="U677" s="13">
        <f t="shared" si="51"/>
        <v>27948</v>
      </c>
      <c r="V677" s="14">
        <v>11737</v>
      </c>
      <c r="W677">
        <v>3</v>
      </c>
      <c r="X677" s="8" t="s">
        <v>46</v>
      </c>
      <c r="Y677" s="15">
        <v>0.15</v>
      </c>
      <c r="Z677">
        <v>3</v>
      </c>
      <c r="AA677">
        <v>2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 t="str">
        <f t="shared" si="52"/>
        <v>4-7</v>
      </c>
      <c r="AI677">
        <v>5</v>
      </c>
      <c r="AJ677" t="str">
        <f t="shared" si="53"/>
        <v>3-5</v>
      </c>
      <c r="AK677">
        <v>2</v>
      </c>
    </row>
    <row r="678" spans="1:37" x14ac:dyDescent="0.25">
      <c r="A678" s="8">
        <v>677</v>
      </c>
      <c r="B678" t="s">
        <v>52</v>
      </c>
      <c r="C678" t="s">
        <v>45</v>
      </c>
      <c r="D678" s="8">
        <v>35</v>
      </c>
      <c r="E678" t="str">
        <f t="shared" si="54"/>
        <v>26-35</v>
      </c>
      <c r="F678" t="s">
        <v>46</v>
      </c>
      <c r="G678" t="s">
        <v>39</v>
      </c>
      <c r="H678" s="8" t="s">
        <v>48</v>
      </c>
      <c r="I678" s="10">
        <v>21</v>
      </c>
      <c r="J678" t="str">
        <f t="shared" si="50"/>
        <v>Far</v>
      </c>
      <c r="K678">
        <v>1</v>
      </c>
      <c r="L678" t="s">
        <v>41</v>
      </c>
      <c r="M678">
        <v>4</v>
      </c>
      <c r="N678">
        <v>3</v>
      </c>
      <c r="O678">
        <v>2</v>
      </c>
      <c r="P678" t="s">
        <v>56</v>
      </c>
      <c r="Q678">
        <v>4</v>
      </c>
      <c r="R678" s="11">
        <v>1137</v>
      </c>
      <c r="S678" s="14">
        <v>51</v>
      </c>
      <c r="T678" s="13">
        <v>4014</v>
      </c>
      <c r="U678" s="13">
        <f t="shared" si="51"/>
        <v>48168</v>
      </c>
      <c r="V678" s="14">
        <v>19170</v>
      </c>
      <c r="W678">
        <v>1</v>
      </c>
      <c r="X678" s="8" t="s">
        <v>38</v>
      </c>
      <c r="Y678" s="15">
        <v>0.25</v>
      </c>
      <c r="Z678">
        <v>4</v>
      </c>
      <c r="AA678">
        <v>4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 t="str">
        <f t="shared" si="52"/>
        <v>4-7</v>
      </c>
      <c r="AI678">
        <v>0</v>
      </c>
      <c r="AJ678" t="str">
        <f t="shared" si="53"/>
        <v>0-2</v>
      </c>
      <c r="AK678">
        <v>7</v>
      </c>
    </row>
    <row r="679" spans="1:37" x14ac:dyDescent="0.25">
      <c r="A679" s="8">
        <v>678</v>
      </c>
      <c r="B679" t="s">
        <v>52</v>
      </c>
      <c r="C679" t="s">
        <v>45</v>
      </c>
      <c r="D679" s="8">
        <v>49</v>
      </c>
      <c r="E679" t="str">
        <f t="shared" si="54"/>
        <v>46-55</v>
      </c>
      <c r="F679" t="s">
        <v>46</v>
      </c>
      <c r="G679" t="s">
        <v>39</v>
      </c>
      <c r="H679" s="8" t="s">
        <v>48</v>
      </c>
      <c r="I679" s="10">
        <v>8</v>
      </c>
      <c r="J679" t="str">
        <f t="shared" si="50"/>
        <v>Moderate</v>
      </c>
      <c r="K679">
        <v>2</v>
      </c>
      <c r="L679" t="s">
        <v>50</v>
      </c>
      <c r="M679">
        <v>1</v>
      </c>
      <c r="N679">
        <v>3</v>
      </c>
      <c r="O679">
        <v>3</v>
      </c>
      <c r="P679" t="s">
        <v>51</v>
      </c>
      <c r="Q679">
        <v>2</v>
      </c>
      <c r="R679" s="11">
        <v>527</v>
      </c>
      <c r="S679" s="14">
        <v>51</v>
      </c>
      <c r="T679" s="13">
        <v>7403</v>
      </c>
      <c r="U679" s="13">
        <f t="shared" si="51"/>
        <v>88836</v>
      </c>
      <c r="V679" s="14">
        <v>22477</v>
      </c>
      <c r="W679">
        <v>4</v>
      </c>
      <c r="X679" s="8" t="s">
        <v>46</v>
      </c>
      <c r="Y679" s="15">
        <v>0.11</v>
      </c>
      <c r="Z679">
        <v>3</v>
      </c>
      <c r="AA679">
        <v>3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 t="str">
        <f t="shared" si="52"/>
        <v>8-11</v>
      </c>
      <c r="AI679">
        <v>1</v>
      </c>
      <c r="AJ679" t="str">
        <f t="shared" si="53"/>
        <v>0-2</v>
      </c>
      <c r="AK679">
        <v>7</v>
      </c>
    </row>
    <row r="680" spans="1:37" x14ac:dyDescent="0.25">
      <c r="A680" s="8">
        <v>679</v>
      </c>
      <c r="B680" t="s">
        <v>44</v>
      </c>
      <c r="C680" t="s">
        <v>45</v>
      </c>
      <c r="D680" s="8">
        <v>48</v>
      </c>
      <c r="E680" t="str">
        <f t="shared" si="54"/>
        <v>46-55</v>
      </c>
      <c r="F680" t="s">
        <v>46</v>
      </c>
      <c r="G680" t="s">
        <v>39</v>
      </c>
      <c r="H680" s="8" t="s">
        <v>48</v>
      </c>
      <c r="I680" s="10">
        <v>20</v>
      </c>
      <c r="J680" t="str">
        <f t="shared" si="50"/>
        <v>Far</v>
      </c>
      <c r="K680">
        <v>4</v>
      </c>
      <c r="L680" t="s">
        <v>53</v>
      </c>
      <c r="M680">
        <v>4</v>
      </c>
      <c r="N680">
        <v>3</v>
      </c>
      <c r="O680">
        <v>1</v>
      </c>
      <c r="P680" t="s">
        <v>49</v>
      </c>
      <c r="Q680">
        <v>3</v>
      </c>
      <c r="R680" s="11">
        <v>1469</v>
      </c>
      <c r="S680" s="14">
        <v>51</v>
      </c>
      <c r="T680" s="13">
        <v>2259</v>
      </c>
      <c r="U680" s="13">
        <f t="shared" si="51"/>
        <v>27108</v>
      </c>
      <c r="V680" s="14">
        <v>5543</v>
      </c>
      <c r="W680">
        <v>4</v>
      </c>
      <c r="X680" s="8" t="s">
        <v>46</v>
      </c>
      <c r="Y680" s="15">
        <v>0.17</v>
      </c>
      <c r="Z680">
        <v>3</v>
      </c>
      <c r="AA680">
        <v>1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 t="str">
        <f t="shared" si="52"/>
        <v>0-3</v>
      </c>
      <c r="AI680">
        <v>0</v>
      </c>
      <c r="AJ680" t="str">
        <f t="shared" si="53"/>
        <v>0-2</v>
      </c>
      <c r="AK680">
        <v>0</v>
      </c>
    </row>
    <row r="681" spans="1:37" x14ac:dyDescent="0.25">
      <c r="A681" s="8">
        <v>680</v>
      </c>
      <c r="B681" t="s">
        <v>52</v>
      </c>
      <c r="C681" t="s">
        <v>45</v>
      </c>
      <c r="D681" s="8">
        <v>31</v>
      </c>
      <c r="E681" t="str">
        <f t="shared" si="54"/>
        <v>26-35</v>
      </c>
      <c r="F681" t="s">
        <v>46</v>
      </c>
      <c r="G681" t="s">
        <v>58</v>
      </c>
      <c r="H681" s="8" t="s">
        <v>40</v>
      </c>
      <c r="I681" s="10">
        <v>20</v>
      </c>
      <c r="J681" t="str">
        <f t="shared" si="50"/>
        <v>Far</v>
      </c>
      <c r="K681">
        <v>2</v>
      </c>
      <c r="L681" t="s">
        <v>62</v>
      </c>
      <c r="M681">
        <v>4</v>
      </c>
      <c r="N681">
        <v>3</v>
      </c>
      <c r="O681">
        <v>2</v>
      </c>
      <c r="P681" t="s">
        <v>42</v>
      </c>
      <c r="Q681">
        <v>3</v>
      </c>
      <c r="R681" s="11">
        <v>1188</v>
      </c>
      <c r="S681" s="14">
        <v>45</v>
      </c>
      <c r="T681" s="13">
        <v>6932</v>
      </c>
      <c r="U681" s="13">
        <f t="shared" si="51"/>
        <v>83184</v>
      </c>
      <c r="V681" s="14">
        <v>24406</v>
      </c>
      <c r="W681">
        <v>1</v>
      </c>
      <c r="X681" s="8" t="s">
        <v>46</v>
      </c>
      <c r="Y681" s="15">
        <v>0.13</v>
      </c>
      <c r="Z681">
        <v>3</v>
      </c>
      <c r="AA681">
        <v>4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 t="str">
        <f t="shared" si="52"/>
        <v>8-11</v>
      </c>
      <c r="AI681">
        <v>0</v>
      </c>
      <c r="AJ681" t="str">
        <f t="shared" si="53"/>
        <v>0-2</v>
      </c>
      <c r="AK681">
        <v>0</v>
      </c>
    </row>
    <row r="682" spans="1:37" x14ac:dyDescent="0.25">
      <c r="A682" s="8">
        <v>681</v>
      </c>
      <c r="B682" t="s">
        <v>44</v>
      </c>
      <c r="C682" t="s">
        <v>37</v>
      </c>
      <c r="D682" s="8">
        <v>36</v>
      </c>
      <c r="E682" t="str">
        <f t="shared" si="54"/>
        <v>36-45</v>
      </c>
      <c r="F682" t="s">
        <v>46</v>
      </c>
      <c r="G682" t="s">
        <v>39</v>
      </c>
      <c r="H682" s="8" t="s">
        <v>48</v>
      </c>
      <c r="I682" s="10">
        <v>7</v>
      </c>
      <c r="J682" t="str">
        <f t="shared" si="50"/>
        <v>Moderate</v>
      </c>
      <c r="K682">
        <v>4</v>
      </c>
      <c r="L682" t="s">
        <v>50</v>
      </c>
      <c r="M682">
        <v>2</v>
      </c>
      <c r="N682">
        <v>3</v>
      </c>
      <c r="O682">
        <v>1</v>
      </c>
      <c r="P682" t="s">
        <v>49</v>
      </c>
      <c r="Q682">
        <v>4</v>
      </c>
      <c r="R682" s="11">
        <v>188</v>
      </c>
      <c r="S682" s="14">
        <v>65</v>
      </c>
      <c r="T682" s="13">
        <v>4678</v>
      </c>
      <c r="U682" s="13">
        <f t="shared" si="51"/>
        <v>56136</v>
      </c>
      <c r="V682" s="14">
        <v>23293</v>
      </c>
      <c r="W682">
        <v>2</v>
      </c>
      <c r="X682" s="8" t="s">
        <v>46</v>
      </c>
      <c r="Y682" s="15">
        <v>0.18</v>
      </c>
      <c r="Z682">
        <v>3</v>
      </c>
      <c r="AA682">
        <v>3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 t="str">
        <f t="shared" si="52"/>
        <v>0-3</v>
      </c>
      <c r="AI682">
        <v>0</v>
      </c>
      <c r="AJ682" t="str">
        <f t="shared" si="53"/>
        <v>0-2</v>
      </c>
      <c r="AK682">
        <v>1</v>
      </c>
    </row>
    <row r="683" spans="1:37" x14ac:dyDescent="0.25">
      <c r="A683" s="8">
        <v>682</v>
      </c>
      <c r="B683" t="s">
        <v>52</v>
      </c>
      <c r="C683" t="s">
        <v>45</v>
      </c>
      <c r="D683" s="8">
        <v>38</v>
      </c>
      <c r="E683" t="str">
        <f t="shared" si="54"/>
        <v>36-45</v>
      </c>
      <c r="F683" t="s">
        <v>46</v>
      </c>
      <c r="G683" t="s">
        <v>39</v>
      </c>
      <c r="H683" s="8" t="s">
        <v>48</v>
      </c>
      <c r="I683" s="10">
        <v>1</v>
      </c>
      <c r="J683" t="str">
        <f t="shared" si="50"/>
        <v>Near</v>
      </c>
      <c r="K683">
        <v>3</v>
      </c>
      <c r="L683" t="s">
        <v>63</v>
      </c>
      <c r="M683">
        <v>4</v>
      </c>
      <c r="N683">
        <v>3</v>
      </c>
      <c r="O683">
        <v>3</v>
      </c>
      <c r="P683" t="s">
        <v>61</v>
      </c>
      <c r="Q683">
        <v>1</v>
      </c>
      <c r="R683" s="11">
        <v>1333</v>
      </c>
      <c r="S683" s="14">
        <v>80</v>
      </c>
      <c r="T683" s="13">
        <v>13582</v>
      </c>
      <c r="U683" s="13">
        <f t="shared" si="51"/>
        <v>162984</v>
      </c>
      <c r="V683" s="14">
        <v>16292</v>
      </c>
      <c r="W683">
        <v>1</v>
      </c>
      <c r="X683" s="8" t="s">
        <v>46</v>
      </c>
      <c r="Y683" s="15">
        <v>0.13</v>
      </c>
      <c r="Z683">
        <v>3</v>
      </c>
      <c r="AA683">
        <v>2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 t="str">
        <f t="shared" si="52"/>
        <v>12-15</v>
      </c>
      <c r="AI683">
        <v>5</v>
      </c>
      <c r="AJ683" t="str">
        <f t="shared" si="53"/>
        <v>3-5</v>
      </c>
      <c r="AK683">
        <v>11</v>
      </c>
    </row>
    <row r="684" spans="1:37" x14ac:dyDescent="0.25">
      <c r="A684" s="8">
        <v>683</v>
      </c>
      <c r="B684" t="s">
        <v>52</v>
      </c>
      <c r="C684" t="s">
        <v>45</v>
      </c>
      <c r="D684" s="8">
        <v>32</v>
      </c>
      <c r="E684" t="str">
        <f t="shared" si="54"/>
        <v>26-35</v>
      </c>
      <c r="F684" t="s">
        <v>46</v>
      </c>
      <c r="G684" t="s">
        <v>58</v>
      </c>
      <c r="H684" s="8" t="s">
        <v>48</v>
      </c>
      <c r="I684" s="10">
        <v>1</v>
      </c>
      <c r="J684" t="str">
        <f t="shared" si="50"/>
        <v>Near</v>
      </c>
      <c r="K684">
        <v>3</v>
      </c>
      <c r="L684" t="s">
        <v>41</v>
      </c>
      <c r="M684">
        <v>3</v>
      </c>
      <c r="N684">
        <v>2</v>
      </c>
      <c r="O684">
        <v>1</v>
      </c>
      <c r="P684" t="s">
        <v>51</v>
      </c>
      <c r="Q684">
        <v>2</v>
      </c>
      <c r="R684" s="11">
        <v>1184</v>
      </c>
      <c r="S684" s="14">
        <v>70</v>
      </c>
      <c r="T684" s="13">
        <v>2332</v>
      </c>
      <c r="U684" s="13">
        <f t="shared" si="51"/>
        <v>27984</v>
      </c>
      <c r="V684" s="14">
        <v>3974</v>
      </c>
      <c r="W684">
        <v>6</v>
      </c>
      <c r="X684" s="8" t="s">
        <v>46</v>
      </c>
      <c r="Y684" s="15">
        <v>0.2</v>
      </c>
      <c r="Z684">
        <v>4</v>
      </c>
      <c r="AA684">
        <v>3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 t="str">
        <f t="shared" si="52"/>
        <v>0-3</v>
      </c>
      <c r="AI684">
        <v>0</v>
      </c>
      <c r="AJ684" t="str">
        <f t="shared" si="53"/>
        <v>0-2</v>
      </c>
      <c r="AK684">
        <v>2</v>
      </c>
    </row>
    <row r="685" spans="1:37" x14ac:dyDescent="0.25">
      <c r="A685" s="8">
        <v>684</v>
      </c>
      <c r="B685" t="s">
        <v>44</v>
      </c>
      <c r="C685" t="s">
        <v>45</v>
      </c>
      <c r="D685" s="8">
        <v>25</v>
      </c>
      <c r="E685" t="str">
        <f t="shared" si="54"/>
        <v>26-35</v>
      </c>
      <c r="F685" t="s">
        <v>38</v>
      </c>
      <c r="G685" t="s">
        <v>39</v>
      </c>
      <c r="H685" s="8" t="s">
        <v>40</v>
      </c>
      <c r="I685" s="10">
        <v>19</v>
      </c>
      <c r="J685" t="str">
        <f t="shared" si="50"/>
        <v>Far</v>
      </c>
      <c r="K685">
        <v>2</v>
      </c>
      <c r="L685" t="s">
        <v>62</v>
      </c>
      <c r="M685">
        <v>3</v>
      </c>
      <c r="N685">
        <v>2</v>
      </c>
      <c r="O685">
        <v>1</v>
      </c>
      <c r="P685" t="s">
        <v>60</v>
      </c>
      <c r="Q685">
        <v>2</v>
      </c>
      <c r="R685" s="11">
        <v>867</v>
      </c>
      <c r="S685" s="14">
        <v>36</v>
      </c>
      <c r="T685" s="13">
        <v>2413</v>
      </c>
      <c r="U685" s="13">
        <f t="shared" si="51"/>
        <v>28956</v>
      </c>
      <c r="V685" s="14">
        <v>18798</v>
      </c>
      <c r="W685">
        <v>1</v>
      </c>
      <c r="X685" s="8" t="s">
        <v>38</v>
      </c>
      <c r="Y685" s="15">
        <v>0.18</v>
      </c>
      <c r="Z685">
        <v>3</v>
      </c>
      <c r="AA685">
        <v>3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 t="str">
        <f t="shared" si="52"/>
        <v>0-3</v>
      </c>
      <c r="AI685">
        <v>0</v>
      </c>
      <c r="AJ685" t="str">
        <f t="shared" si="53"/>
        <v>0-2</v>
      </c>
      <c r="AK685">
        <v>0</v>
      </c>
    </row>
    <row r="686" spans="1:37" x14ac:dyDescent="0.25">
      <c r="A686" s="8">
        <v>685</v>
      </c>
      <c r="B686" t="s">
        <v>44</v>
      </c>
      <c r="C686" t="s">
        <v>54</v>
      </c>
      <c r="D686" s="8">
        <v>40</v>
      </c>
      <c r="E686" t="str">
        <f t="shared" si="54"/>
        <v>36-45</v>
      </c>
      <c r="F686" t="s">
        <v>46</v>
      </c>
      <c r="G686" t="s">
        <v>39</v>
      </c>
      <c r="H686" s="8" t="s">
        <v>40</v>
      </c>
      <c r="I686" s="10">
        <v>10</v>
      </c>
      <c r="J686" t="str">
        <f t="shared" si="50"/>
        <v>Moderate</v>
      </c>
      <c r="K686">
        <v>4</v>
      </c>
      <c r="L686" t="s">
        <v>62</v>
      </c>
      <c r="M686">
        <v>1</v>
      </c>
      <c r="N686">
        <v>2</v>
      </c>
      <c r="O686">
        <v>3</v>
      </c>
      <c r="P686" t="s">
        <v>42</v>
      </c>
      <c r="Q686">
        <v>2</v>
      </c>
      <c r="R686" s="11">
        <v>658</v>
      </c>
      <c r="S686" s="14">
        <v>67</v>
      </c>
      <c r="T686" s="13">
        <v>9705</v>
      </c>
      <c r="U686" s="13">
        <f t="shared" si="51"/>
        <v>116460</v>
      </c>
      <c r="V686" s="14">
        <v>20652</v>
      </c>
      <c r="W686">
        <v>2</v>
      </c>
      <c r="X686" s="8" t="s">
        <v>46</v>
      </c>
      <c r="Y686" s="15">
        <v>0.12</v>
      </c>
      <c r="Z686">
        <v>3</v>
      </c>
      <c r="AA686">
        <v>2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 t="str">
        <f t="shared" si="52"/>
        <v>0-3</v>
      </c>
      <c r="AI686">
        <v>0</v>
      </c>
      <c r="AJ686" t="str">
        <f t="shared" si="53"/>
        <v>0-2</v>
      </c>
      <c r="AK686">
        <v>0</v>
      </c>
    </row>
    <row r="687" spans="1:37" x14ac:dyDescent="0.25">
      <c r="A687" s="8">
        <v>686</v>
      </c>
      <c r="B687" t="s">
        <v>44</v>
      </c>
      <c r="C687" t="s">
        <v>37</v>
      </c>
      <c r="D687" s="8">
        <v>26</v>
      </c>
      <c r="E687" t="str">
        <f t="shared" si="54"/>
        <v>26-35</v>
      </c>
      <c r="F687" t="s">
        <v>46</v>
      </c>
      <c r="G687" t="s">
        <v>47</v>
      </c>
      <c r="H687" s="8" t="s">
        <v>40</v>
      </c>
      <c r="I687" s="10">
        <v>1</v>
      </c>
      <c r="J687" t="str">
        <f t="shared" si="50"/>
        <v>Near</v>
      </c>
      <c r="K687">
        <v>3</v>
      </c>
      <c r="L687" t="s">
        <v>53</v>
      </c>
      <c r="M687">
        <v>3</v>
      </c>
      <c r="N687">
        <v>2</v>
      </c>
      <c r="O687">
        <v>2</v>
      </c>
      <c r="P687" t="s">
        <v>42</v>
      </c>
      <c r="Q687">
        <v>1</v>
      </c>
      <c r="R687" s="11">
        <v>1283</v>
      </c>
      <c r="S687" s="14">
        <v>52</v>
      </c>
      <c r="T687" s="13">
        <v>4294</v>
      </c>
      <c r="U687" s="13">
        <f t="shared" si="51"/>
        <v>51528</v>
      </c>
      <c r="V687" s="14">
        <v>11148</v>
      </c>
      <c r="W687">
        <v>1</v>
      </c>
      <c r="X687" s="8" t="s">
        <v>46</v>
      </c>
      <c r="Y687" s="15">
        <v>0.12</v>
      </c>
      <c r="Z687">
        <v>3</v>
      </c>
      <c r="AA687">
        <v>2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 t="str">
        <f t="shared" si="52"/>
        <v>4-7</v>
      </c>
      <c r="AI687">
        <v>0</v>
      </c>
      <c r="AJ687" t="str">
        <f t="shared" si="53"/>
        <v>0-2</v>
      </c>
      <c r="AK687">
        <v>7</v>
      </c>
    </row>
    <row r="688" spans="1:37" x14ac:dyDescent="0.25">
      <c r="A688" s="8">
        <v>687</v>
      </c>
      <c r="B688" t="s">
        <v>44</v>
      </c>
      <c r="C688" t="s">
        <v>37</v>
      </c>
      <c r="D688" s="8">
        <v>41</v>
      </c>
      <c r="E688" t="str">
        <f t="shared" si="54"/>
        <v>36-45</v>
      </c>
      <c r="F688" t="s">
        <v>46</v>
      </c>
      <c r="G688" t="s">
        <v>39</v>
      </c>
      <c r="H688" s="8" t="s">
        <v>48</v>
      </c>
      <c r="I688" s="10">
        <v>6</v>
      </c>
      <c r="J688" t="str">
        <f t="shared" si="50"/>
        <v>Moderate</v>
      </c>
      <c r="K688">
        <v>3</v>
      </c>
      <c r="L688" t="s">
        <v>53</v>
      </c>
      <c r="M688">
        <v>4</v>
      </c>
      <c r="N688">
        <v>3</v>
      </c>
      <c r="O688">
        <v>1</v>
      </c>
      <c r="P688" t="s">
        <v>51</v>
      </c>
      <c r="Q688">
        <v>1</v>
      </c>
      <c r="R688" s="11">
        <v>263</v>
      </c>
      <c r="S688" s="14">
        <v>59</v>
      </c>
      <c r="T688" s="13">
        <v>4721</v>
      </c>
      <c r="U688" s="13">
        <f t="shared" si="51"/>
        <v>56652</v>
      </c>
      <c r="V688" s="14">
        <v>3119</v>
      </c>
      <c r="W688">
        <v>2</v>
      </c>
      <c r="X688" s="8" t="s">
        <v>38</v>
      </c>
      <c r="Y688" s="15">
        <v>0.13</v>
      </c>
      <c r="Z688">
        <v>3</v>
      </c>
      <c r="AA688">
        <v>3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 t="str">
        <f t="shared" si="52"/>
        <v>12-15</v>
      </c>
      <c r="AI688">
        <v>2</v>
      </c>
      <c r="AJ688" t="str">
        <f t="shared" si="53"/>
        <v>0-2</v>
      </c>
      <c r="AK688">
        <v>17</v>
      </c>
    </row>
    <row r="689" spans="1:37" x14ac:dyDescent="0.25">
      <c r="A689" s="8">
        <v>688</v>
      </c>
      <c r="B689" t="s">
        <v>44</v>
      </c>
      <c r="C689" t="s">
        <v>37</v>
      </c>
      <c r="D689" s="8">
        <v>36</v>
      </c>
      <c r="E689" t="str">
        <f t="shared" si="54"/>
        <v>36-45</v>
      </c>
      <c r="F689" t="s">
        <v>46</v>
      </c>
      <c r="G689" t="s">
        <v>39</v>
      </c>
      <c r="H689" s="8" t="s">
        <v>48</v>
      </c>
      <c r="I689" s="10">
        <v>2</v>
      </c>
      <c r="J689" t="str">
        <f t="shared" si="50"/>
        <v>Near</v>
      </c>
      <c r="K689">
        <v>4</v>
      </c>
      <c r="L689" t="s">
        <v>53</v>
      </c>
      <c r="M689">
        <v>3</v>
      </c>
      <c r="N689">
        <v>3</v>
      </c>
      <c r="O689">
        <v>1</v>
      </c>
      <c r="P689" t="s">
        <v>51</v>
      </c>
      <c r="Q689">
        <v>3</v>
      </c>
      <c r="R689" s="11">
        <v>938</v>
      </c>
      <c r="S689" s="14">
        <v>79</v>
      </c>
      <c r="T689" s="13">
        <v>2519</v>
      </c>
      <c r="U689" s="13">
        <f t="shared" si="51"/>
        <v>30228</v>
      </c>
      <c r="V689" s="14">
        <v>12287</v>
      </c>
      <c r="W689">
        <v>4</v>
      </c>
      <c r="X689" s="8" t="s">
        <v>46</v>
      </c>
      <c r="Y689" s="15">
        <v>0.21</v>
      </c>
      <c r="Z689">
        <v>4</v>
      </c>
      <c r="AA689">
        <v>3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 t="str">
        <f t="shared" si="52"/>
        <v>8-11</v>
      </c>
      <c r="AI689">
        <v>3</v>
      </c>
      <c r="AJ689" t="str">
        <f t="shared" si="53"/>
        <v>3-5</v>
      </c>
      <c r="AK689">
        <v>9</v>
      </c>
    </row>
    <row r="690" spans="1:37" x14ac:dyDescent="0.25">
      <c r="A690" s="8">
        <v>689</v>
      </c>
      <c r="B690" t="s">
        <v>44</v>
      </c>
      <c r="C690" t="s">
        <v>37</v>
      </c>
      <c r="D690" s="8">
        <v>19</v>
      </c>
      <c r="E690" t="str">
        <f t="shared" si="54"/>
        <v>18-25</v>
      </c>
      <c r="F690" t="s">
        <v>38</v>
      </c>
      <c r="G690" t="s">
        <v>39</v>
      </c>
      <c r="H690" s="8" t="s">
        <v>40</v>
      </c>
      <c r="I690" s="10">
        <v>21</v>
      </c>
      <c r="J690" t="str">
        <f t="shared" si="50"/>
        <v>Far</v>
      </c>
      <c r="K690">
        <v>3</v>
      </c>
      <c r="L690" t="s">
        <v>50</v>
      </c>
      <c r="M690">
        <v>4</v>
      </c>
      <c r="N690">
        <v>2</v>
      </c>
      <c r="O690">
        <v>1</v>
      </c>
      <c r="P690" t="s">
        <v>60</v>
      </c>
      <c r="Q690">
        <v>2</v>
      </c>
      <c r="R690" s="11">
        <v>419</v>
      </c>
      <c r="S690" s="14">
        <v>37</v>
      </c>
      <c r="T690" s="13">
        <v>2121</v>
      </c>
      <c r="U690" s="13">
        <f t="shared" si="51"/>
        <v>25452</v>
      </c>
      <c r="V690" s="14">
        <v>9947</v>
      </c>
      <c r="W690">
        <v>1</v>
      </c>
      <c r="X690" s="8" t="s">
        <v>38</v>
      </c>
      <c r="Y690" s="15">
        <v>0.13</v>
      </c>
      <c r="Z690">
        <v>3</v>
      </c>
      <c r="AA690">
        <v>2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 t="str">
        <f t="shared" si="52"/>
        <v>0-3</v>
      </c>
      <c r="AI690">
        <v>0</v>
      </c>
      <c r="AJ690" t="str">
        <f t="shared" si="53"/>
        <v>0-2</v>
      </c>
      <c r="AK690">
        <v>0</v>
      </c>
    </row>
    <row r="691" spans="1:37" x14ac:dyDescent="0.25">
      <c r="A691" s="8">
        <v>690</v>
      </c>
      <c r="B691" t="s">
        <v>44</v>
      </c>
      <c r="C691" t="s">
        <v>37</v>
      </c>
      <c r="D691" s="8">
        <v>20</v>
      </c>
      <c r="E691" t="str">
        <f t="shared" si="54"/>
        <v>18-25</v>
      </c>
      <c r="F691" t="s">
        <v>38</v>
      </c>
      <c r="G691" t="s">
        <v>39</v>
      </c>
      <c r="H691" s="8" t="s">
        <v>48</v>
      </c>
      <c r="I691" s="10">
        <v>4</v>
      </c>
      <c r="J691" t="str">
        <f t="shared" si="50"/>
        <v>Near</v>
      </c>
      <c r="K691">
        <v>3</v>
      </c>
      <c r="L691" t="s">
        <v>63</v>
      </c>
      <c r="M691">
        <v>1</v>
      </c>
      <c r="N691">
        <v>3</v>
      </c>
      <c r="O691">
        <v>1</v>
      </c>
      <c r="P691" t="s">
        <v>51</v>
      </c>
      <c r="Q691">
        <v>1</v>
      </c>
      <c r="R691" s="11">
        <v>129</v>
      </c>
      <c r="S691" s="14">
        <v>84</v>
      </c>
      <c r="T691" s="13">
        <v>2973</v>
      </c>
      <c r="U691" s="13">
        <f t="shared" si="51"/>
        <v>35676</v>
      </c>
      <c r="V691" s="14">
        <v>13008</v>
      </c>
      <c r="W691">
        <v>1</v>
      </c>
      <c r="X691" s="8" t="s">
        <v>46</v>
      </c>
      <c r="Y691" s="15">
        <v>0.19</v>
      </c>
      <c r="Z691">
        <v>3</v>
      </c>
      <c r="AA691">
        <v>2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 t="str">
        <f t="shared" si="52"/>
        <v>0-3</v>
      </c>
      <c r="AI691">
        <v>0</v>
      </c>
      <c r="AJ691" t="str">
        <f t="shared" si="53"/>
        <v>0-2</v>
      </c>
      <c r="AK691">
        <v>0</v>
      </c>
    </row>
    <row r="692" spans="1:37" x14ac:dyDescent="0.25">
      <c r="A692" s="8">
        <v>691</v>
      </c>
      <c r="B692" t="s">
        <v>52</v>
      </c>
      <c r="C692" t="s">
        <v>45</v>
      </c>
      <c r="D692" s="8">
        <v>31</v>
      </c>
      <c r="E692" t="str">
        <f t="shared" si="54"/>
        <v>26-35</v>
      </c>
      <c r="F692" t="s">
        <v>46</v>
      </c>
      <c r="G692" t="s">
        <v>39</v>
      </c>
      <c r="H692" s="8" t="s">
        <v>48</v>
      </c>
      <c r="I692" s="10">
        <v>12</v>
      </c>
      <c r="J692" t="str">
        <f t="shared" si="50"/>
        <v>Moderate</v>
      </c>
      <c r="K692">
        <v>3</v>
      </c>
      <c r="L692" t="s">
        <v>53</v>
      </c>
      <c r="M692">
        <v>4</v>
      </c>
      <c r="N692">
        <v>3</v>
      </c>
      <c r="O692">
        <v>2</v>
      </c>
      <c r="P692" t="s">
        <v>56</v>
      </c>
      <c r="Q692">
        <v>4</v>
      </c>
      <c r="R692" s="11">
        <v>616</v>
      </c>
      <c r="S692" s="14">
        <v>41</v>
      </c>
      <c r="T692" s="13">
        <v>5855</v>
      </c>
      <c r="U692" s="13">
        <f t="shared" si="51"/>
        <v>70260</v>
      </c>
      <c r="V692" s="14">
        <v>17369</v>
      </c>
      <c r="W692">
        <v>0</v>
      </c>
      <c r="X692" s="8" t="s">
        <v>38</v>
      </c>
      <c r="Y692" s="15">
        <v>0.11</v>
      </c>
      <c r="Z692">
        <v>3</v>
      </c>
      <c r="AA692">
        <v>3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 t="str">
        <f t="shared" si="52"/>
        <v>4-7</v>
      </c>
      <c r="AI692">
        <v>8</v>
      </c>
      <c r="AJ692" t="str">
        <f t="shared" si="53"/>
        <v>6-8</v>
      </c>
      <c r="AK692">
        <v>5</v>
      </c>
    </row>
    <row r="693" spans="1:37" x14ac:dyDescent="0.25">
      <c r="A693" s="8">
        <v>692</v>
      </c>
      <c r="B693" t="s">
        <v>44</v>
      </c>
      <c r="C693" t="s">
        <v>54</v>
      </c>
      <c r="D693" s="8">
        <v>40</v>
      </c>
      <c r="E693" t="str">
        <f t="shared" si="54"/>
        <v>36-45</v>
      </c>
      <c r="F693" t="s">
        <v>46</v>
      </c>
      <c r="G693" t="s">
        <v>47</v>
      </c>
      <c r="H693" s="8" t="s">
        <v>48</v>
      </c>
      <c r="I693" s="10">
        <v>9</v>
      </c>
      <c r="J693" t="str">
        <f t="shared" si="50"/>
        <v>Moderate</v>
      </c>
      <c r="K693">
        <v>4</v>
      </c>
      <c r="L693" t="s">
        <v>53</v>
      </c>
      <c r="M693">
        <v>4</v>
      </c>
      <c r="N693">
        <v>3</v>
      </c>
      <c r="O693">
        <v>1</v>
      </c>
      <c r="P693" t="s">
        <v>49</v>
      </c>
      <c r="Q693">
        <v>2</v>
      </c>
      <c r="R693" s="11">
        <v>1469</v>
      </c>
      <c r="S693" s="14">
        <v>35</v>
      </c>
      <c r="T693" s="13">
        <v>3617</v>
      </c>
      <c r="U693" s="13">
        <f t="shared" si="51"/>
        <v>43404</v>
      </c>
      <c r="V693" s="14">
        <v>25063</v>
      </c>
      <c r="W693">
        <v>8</v>
      </c>
      <c r="X693" s="8" t="s">
        <v>38</v>
      </c>
      <c r="Y693" s="15">
        <v>0.14000000000000001</v>
      </c>
      <c r="Z693">
        <v>3</v>
      </c>
      <c r="AA693">
        <v>4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 t="str">
        <f t="shared" si="52"/>
        <v>0-3</v>
      </c>
      <c r="AI693">
        <v>0</v>
      </c>
      <c r="AJ693" t="str">
        <f t="shared" si="53"/>
        <v>0-2</v>
      </c>
      <c r="AK693">
        <v>0</v>
      </c>
    </row>
    <row r="694" spans="1:37" x14ac:dyDescent="0.25">
      <c r="A694" s="8">
        <v>693</v>
      </c>
      <c r="B694" t="s">
        <v>52</v>
      </c>
      <c r="C694" t="s">
        <v>45</v>
      </c>
      <c r="D694" s="8">
        <v>32</v>
      </c>
      <c r="E694" t="str">
        <f t="shared" si="54"/>
        <v>26-35</v>
      </c>
      <c r="F694" t="s">
        <v>46</v>
      </c>
      <c r="G694" t="s">
        <v>39</v>
      </c>
      <c r="H694" s="8" t="s">
        <v>48</v>
      </c>
      <c r="I694" s="10">
        <v>3</v>
      </c>
      <c r="J694" t="str">
        <f t="shared" si="50"/>
        <v>Near</v>
      </c>
      <c r="K694">
        <v>4</v>
      </c>
      <c r="L694" t="s">
        <v>53</v>
      </c>
      <c r="M694">
        <v>3</v>
      </c>
      <c r="N694">
        <v>3</v>
      </c>
      <c r="O694">
        <v>2</v>
      </c>
      <c r="P694" t="s">
        <v>55</v>
      </c>
      <c r="Q694">
        <v>1</v>
      </c>
      <c r="R694" s="11">
        <v>498</v>
      </c>
      <c r="S694" s="14">
        <v>93</v>
      </c>
      <c r="T694" s="13">
        <v>6725</v>
      </c>
      <c r="U694" s="13">
        <f t="shared" si="51"/>
        <v>80700</v>
      </c>
      <c r="V694" s="14">
        <v>13554</v>
      </c>
      <c r="W694">
        <v>1</v>
      </c>
      <c r="X694" s="8" t="s">
        <v>46</v>
      </c>
      <c r="Y694" s="15">
        <v>0.12</v>
      </c>
      <c r="Z694">
        <v>3</v>
      </c>
      <c r="AA694">
        <v>3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 t="str">
        <f t="shared" si="52"/>
        <v>4-7</v>
      </c>
      <c r="AI694">
        <v>6</v>
      </c>
      <c r="AJ694" t="str">
        <f t="shared" si="53"/>
        <v>6-8</v>
      </c>
      <c r="AK694">
        <v>3</v>
      </c>
    </row>
    <row r="695" spans="1:37" x14ac:dyDescent="0.25">
      <c r="A695" s="8">
        <v>694</v>
      </c>
      <c r="B695" t="s">
        <v>44</v>
      </c>
      <c r="C695" t="s">
        <v>45</v>
      </c>
      <c r="D695" s="8">
        <v>36</v>
      </c>
      <c r="E695" t="str">
        <f t="shared" si="54"/>
        <v>36-45</v>
      </c>
      <c r="F695" t="s">
        <v>38</v>
      </c>
      <c r="G695" t="s">
        <v>39</v>
      </c>
      <c r="H695" s="8" t="s">
        <v>40</v>
      </c>
      <c r="I695" s="10">
        <v>3</v>
      </c>
      <c r="J695" t="str">
        <f t="shared" si="50"/>
        <v>Near</v>
      </c>
      <c r="K695">
        <v>1</v>
      </c>
      <c r="L695" t="s">
        <v>41</v>
      </c>
      <c r="M695">
        <v>3</v>
      </c>
      <c r="N695">
        <v>2</v>
      </c>
      <c r="O695">
        <v>3</v>
      </c>
      <c r="P695" t="s">
        <v>42</v>
      </c>
      <c r="Q695">
        <v>4</v>
      </c>
      <c r="R695" s="11">
        <v>530</v>
      </c>
      <c r="S695" s="14">
        <v>51</v>
      </c>
      <c r="T695" s="13">
        <v>10325</v>
      </c>
      <c r="U695" s="13">
        <f t="shared" si="51"/>
        <v>123900</v>
      </c>
      <c r="V695" s="14">
        <v>5518</v>
      </c>
      <c r="W695">
        <v>1</v>
      </c>
      <c r="X695" s="8" t="s">
        <v>38</v>
      </c>
      <c r="Y695" s="15">
        <v>0.11</v>
      </c>
      <c r="Z695">
        <v>3</v>
      </c>
      <c r="AA695">
        <v>1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 t="str">
        <f t="shared" si="52"/>
        <v>4-7</v>
      </c>
      <c r="AI695">
        <v>3</v>
      </c>
      <c r="AJ695" t="str">
        <f t="shared" si="53"/>
        <v>3-5</v>
      </c>
      <c r="AK695">
        <v>7</v>
      </c>
    </row>
    <row r="696" spans="1:37" x14ac:dyDescent="0.25">
      <c r="A696" s="8">
        <v>695</v>
      </c>
      <c r="B696" t="s">
        <v>52</v>
      </c>
      <c r="C696" t="s">
        <v>37</v>
      </c>
      <c r="D696" s="8">
        <v>33</v>
      </c>
      <c r="E696" t="str">
        <f t="shared" si="54"/>
        <v>26-35</v>
      </c>
      <c r="F696" t="s">
        <v>46</v>
      </c>
      <c r="G696" t="s">
        <v>39</v>
      </c>
      <c r="H696" s="8" t="s">
        <v>48</v>
      </c>
      <c r="I696" s="10">
        <v>1</v>
      </c>
      <c r="J696" t="str">
        <f t="shared" si="50"/>
        <v>Near</v>
      </c>
      <c r="K696">
        <v>3</v>
      </c>
      <c r="L696" t="s">
        <v>41</v>
      </c>
      <c r="M696">
        <v>2</v>
      </c>
      <c r="N696">
        <v>2</v>
      </c>
      <c r="O696">
        <v>2</v>
      </c>
      <c r="P696" t="s">
        <v>56</v>
      </c>
      <c r="Q696">
        <v>4</v>
      </c>
      <c r="R696" s="11">
        <v>1069</v>
      </c>
      <c r="S696" s="14">
        <v>42</v>
      </c>
      <c r="T696" s="13">
        <v>6949</v>
      </c>
      <c r="U696" s="13">
        <f t="shared" si="51"/>
        <v>83388</v>
      </c>
      <c r="V696" s="14">
        <v>12291</v>
      </c>
      <c r="W696">
        <v>0</v>
      </c>
      <c r="X696" s="8" t="s">
        <v>46</v>
      </c>
      <c r="Y696" s="15">
        <v>0.14000000000000001</v>
      </c>
      <c r="Z696">
        <v>3</v>
      </c>
      <c r="AA696">
        <v>1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 t="str">
        <f t="shared" si="52"/>
        <v>0-3</v>
      </c>
      <c r="AI696">
        <v>1</v>
      </c>
      <c r="AJ696" t="str">
        <f t="shared" si="53"/>
        <v>0-2</v>
      </c>
      <c r="AK696">
        <v>4</v>
      </c>
    </row>
    <row r="697" spans="1:37" x14ac:dyDescent="0.25">
      <c r="A697" s="8">
        <v>696</v>
      </c>
      <c r="B697" t="s">
        <v>44</v>
      </c>
      <c r="C697" t="s">
        <v>45</v>
      </c>
      <c r="D697" s="8">
        <v>37</v>
      </c>
      <c r="E697" t="str">
        <f t="shared" si="54"/>
        <v>36-45</v>
      </c>
      <c r="F697" t="s">
        <v>38</v>
      </c>
      <c r="G697" t="s">
        <v>39</v>
      </c>
      <c r="H697" s="8" t="s">
        <v>40</v>
      </c>
      <c r="I697" s="10">
        <v>1</v>
      </c>
      <c r="J697" t="str">
        <f t="shared" si="50"/>
        <v>Near</v>
      </c>
      <c r="K697">
        <v>4</v>
      </c>
      <c r="L697" t="s">
        <v>41</v>
      </c>
      <c r="M697">
        <v>1</v>
      </c>
      <c r="N697">
        <v>2</v>
      </c>
      <c r="O697">
        <v>3</v>
      </c>
      <c r="P697" t="s">
        <v>42</v>
      </c>
      <c r="Q697">
        <v>3</v>
      </c>
      <c r="R697" s="11">
        <v>625</v>
      </c>
      <c r="S697" s="14">
        <v>46</v>
      </c>
      <c r="T697" s="13">
        <v>10609</v>
      </c>
      <c r="U697" s="13">
        <f t="shared" si="51"/>
        <v>127308</v>
      </c>
      <c r="V697" s="14">
        <v>14922</v>
      </c>
      <c r="W697">
        <v>5</v>
      </c>
      <c r="X697" s="8" t="s">
        <v>46</v>
      </c>
      <c r="Y697" s="15">
        <v>0.11</v>
      </c>
      <c r="Z697">
        <v>3</v>
      </c>
      <c r="AA697">
        <v>3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 t="str">
        <f t="shared" si="52"/>
        <v>0-3</v>
      </c>
      <c r="AI697">
        <v>11</v>
      </c>
      <c r="AJ697" t="str">
        <f t="shared" si="53"/>
        <v>9-11</v>
      </c>
      <c r="AK697">
        <v>7</v>
      </c>
    </row>
    <row r="698" spans="1:37" x14ac:dyDescent="0.25">
      <c r="A698" s="8">
        <v>697</v>
      </c>
      <c r="B698" t="s">
        <v>44</v>
      </c>
      <c r="C698" t="s">
        <v>45</v>
      </c>
      <c r="D698" s="8">
        <v>45</v>
      </c>
      <c r="E698" t="str">
        <f t="shared" si="54"/>
        <v>36-45</v>
      </c>
      <c r="F698" t="s">
        <v>46</v>
      </c>
      <c r="G698" t="s">
        <v>58</v>
      </c>
      <c r="H698" s="8" t="s">
        <v>48</v>
      </c>
      <c r="I698" s="10">
        <v>4</v>
      </c>
      <c r="J698" t="str">
        <f t="shared" si="50"/>
        <v>Near</v>
      </c>
      <c r="K698">
        <v>2</v>
      </c>
      <c r="L698" t="s">
        <v>41</v>
      </c>
      <c r="M698">
        <v>3</v>
      </c>
      <c r="N698">
        <v>3</v>
      </c>
      <c r="O698">
        <v>2</v>
      </c>
      <c r="P698" t="s">
        <v>51</v>
      </c>
      <c r="Q698">
        <v>2</v>
      </c>
      <c r="R698" s="11">
        <v>805</v>
      </c>
      <c r="S698" s="14">
        <v>57</v>
      </c>
      <c r="T698" s="13">
        <v>4447</v>
      </c>
      <c r="U698" s="13">
        <f t="shared" si="51"/>
        <v>53364</v>
      </c>
      <c r="V698" s="14">
        <v>23163</v>
      </c>
      <c r="W698">
        <v>1</v>
      </c>
      <c r="X698" s="8" t="s">
        <v>46</v>
      </c>
      <c r="Y698" s="15">
        <v>0.12</v>
      </c>
      <c r="Z698">
        <v>3</v>
      </c>
      <c r="AA698">
        <v>2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 t="str">
        <f t="shared" si="52"/>
        <v>4-7</v>
      </c>
      <c r="AI698">
        <v>0</v>
      </c>
      <c r="AJ698" t="str">
        <f t="shared" si="53"/>
        <v>0-2</v>
      </c>
      <c r="AK698">
        <v>8</v>
      </c>
    </row>
    <row r="699" spans="1:37" x14ac:dyDescent="0.25">
      <c r="A699" s="8">
        <v>698</v>
      </c>
      <c r="B699" t="s">
        <v>52</v>
      </c>
      <c r="C699" t="s">
        <v>45</v>
      </c>
      <c r="D699" s="8">
        <v>29</v>
      </c>
      <c r="E699" t="str">
        <f t="shared" si="54"/>
        <v>26-35</v>
      </c>
      <c r="F699" t="s">
        <v>46</v>
      </c>
      <c r="G699" t="s">
        <v>47</v>
      </c>
      <c r="H699" s="8" t="s">
        <v>40</v>
      </c>
      <c r="I699" s="10">
        <v>20</v>
      </c>
      <c r="J699" t="str">
        <f t="shared" si="50"/>
        <v>Far</v>
      </c>
      <c r="K699">
        <v>3</v>
      </c>
      <c r="L699" t="s">
        <v>63</v>
      </c>
      <c r="M699">
        <v>3</v>
      </c>
      <c r="N699">
        <v>3</v>
      </c>
      <c r="O699">
        <v>1</v>
      </c>
      <c r="P699" t="s">
        <v>60</v>
      </c>
      <c r="Q699">
        <v>4</v>
      </c>
      <c r="R699" s="11">
        <v>1404</v>
      </c>
      <c r="S699" s="14">
        <v>84</v>
      </c>
      <c r="T699" s="13">
        <v>2157</v>
      </c>
      <c r="U699" s="13">
        <f t="shared" si="51"/>
        <v>25884</v>
      </c>
      <c r="V699" s="14">
        <v>18203</v>
      </c>
      <c r="W699">
        <v>1</v>
      </c>
      <c r="X699" s="8" t="s">
        <v>46</v>
      </c>
      <c r="Y699" s="15">
        <v>0.15</v>
      </c>
      <c r="Z699">
        <v>3</v>
      </c>
      <c r="AA699">
        <v>2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 t="str">
        <f t="shared" si="52"/>
        <v>0-3</v>
      </c>
      <c r="AI699">
        <v>0</v>
      </c>
      <c r="AJ699" t="str">
        <f t="shared" si="53"/>
        <v>0-2</v>
      </c>
      <c r="AK699">
        <v>2</v>
      </c>
    </row>
    <row r="700" spans="1:37" x14ac:dyDescent="0.25">
      <c r="A700" s="8">
        <v>699</v>
      </c>
      <c r="B700" t="s">
        <v>52</v>
      </c>
      <c r="C700" t="s">
        <v>45</v>
      </c>
      <c r="D700" s="8">
        <v>35</v>
      </c>
      <c r="E700" t="str">
        <f t="shared" si="54"/>
        <v>26-35</v>
      </c>
      <c r="F700" t="s">
        <v>46</v>
      </c>
      <c r="G700" t="s">
        <v>39</v>
      </c>
      <c r="H700" s="8" t="s">
        <v>40</v>
      </c>
      <c r="I700" s="10">
        <v>18</v>
      </c>
      <c r="J700" t="str">
        <f t="shared" si="50"/>
        <v>Far</v>
      </c>
      <c r="K700">
        <v>3</v>
      </c>
      <c r="L700" t="s">
        <v>53</v>
      </c>
      <c r="M700">
        <v>3</v>
      </c>
      <c r="N700">
        <v>3</v>
      </c>
      <c r="O700">
        <v>2</v>
      </c>
      <c r="P700" t="s">
        <v>42</v>
      </c>
      <c r="Q700">
        <v>3</v>
      </c>
      <c r="R700" s="11">
        <v>1219</v>
      </c>
      <c r="S700" s="14">
        <v>86</v>
      </c>
      <c r="T700" s="13">
        <v>4601</v>
      </c>
      <c r="U700" s="13">
        <f t="shared" si="51"/>
        <v>55212</v>
      </c>
      <c r="V700" s="14">
        <v>6179</v>
      </c>
      <c r="W700">
        <v>1</v>
      </c>
      <c r="X700" s="8" t="s">
        <v>46</v>
      </c>
      <c r="Y700" s="15">
        <v>0.16</v>
      </c>
      <c r="Z700">
        <v>3</v>
      </c>
      <c r="AA700">
        <v>2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 t="str">
        <f t="shared" si="52"/>
        <v>0-3</v>
      </c>
      <c r="AI700">
        <v>1</v>
      </c>
      <c r="AJ700" t="str">
        <f t="shared" si="53"/>
        <v>0-2</v>
      </c>
      <c r="AK700">
        <v>0</v>
      </c>
    </row>
    <row r="701" spans="1:37" x14ac:dyDescent="0.25">
      <c r="A701" s="8">
        <v>700</v>
      </c>
      <c r="B701" t="s">
        <v>44</v>
      </c>
      <c r="C701" t="s">
        <v>45</v>
      </c>
      <c r="D701" s="8">
        <v>52</v>
      </c>
      <c r="E701" t="str">
        <f t="shared" si="54"/>
        <v>46-55</v>
      </c>
      <c r="F701" t="s">
        <v>46</v>
      </c>
      <c r="G701" t="s">
        <v>39</v>
      </c>
      <c r="H701" s="8" t="s">
        <v>48</v>
      </c>
      <c r="I701" s="10">
        <v>1</v>
      </c>
      <c r="J701" t="str">
        <f t="shared" si="50"/>
        <v>Near</v>
      </c>
      <c r="K701">
        <v>2</v>
      </c>
      <c r="L701" t="s">
        <v>41</v>
      </c>
      <c r="M701">
        <v>4</v>
      </c>
      <c r="N701">
        <v>3</v>
      </c>
      <c r="O701">
        <v>4</v>
      </c>
      <c r="P701" t="s">
        <v>59</v>
      </c>
      <c r="Q701">
        <v>4</v>
      </c>
      <c r="R701" s="11">
        <v>1053</v>
      </c>
      <c r="S701" s="14">
        <v>70</v>
      </c>
      <c r="T701" s="13">
        <v>17099</v>
      </c>
      <c r="U701" s="13">
        <f t="shared" si="51"/>
        <v>205188</v>
      </c>
      <c r="V701" s="14">
        <v>13829</v>
      </c>
      <c r="W701">
        <v>2</v>
      </c>
      <c r="X701" s="8" t="s">
        <v>46</v>
      </c>
      <c r="Y701" s="15">
        <v>0.15</v>
      </c>
      <c r="Z701">
        <v>3</v>
      </c>
      <c r="AA701">
        <v>2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 t="str">
        <f t="shared" si="52"/>
        <v>8-11</v>
      </c>
      <c r="AI701">
        <v>7</v>
      </c>
      <c r="AJ701" t="str">
        <f t="shared" si="53"/>
        <v>6-8</v>
      </c>
      <c r="AK701">
        <v>8</v>
      </c>
    </row>
    <row r="702" spans="1:37" x14ac:dyDescent="0.25">
      <c r="A702" s="8">
        <v>701</v>
      </c>
      <c r="B702" t="s">
        <v>44</v>
      </c>
      <c r="C702" t="s">
        <v>37</v>
      </c>
      <c r="D702" s="8">
        <v>58</v>
      </c>
      <c r="E702" t="str">
        <f t="shared" si="54"/>
        <v>55+</v>
      </c>
      <c r="F702" t="s">
        <v>38</v>
      </c>
      <c r="G702" t="s">
        <v>39</v>
      </c>
      <c r="H702" s="8" t="s">
        <v>48</v>
      </c>
      <c r="I702" s="10">
        <v>2</v>
      </c>
      <c r="J702" t="str">
        <f t="shared" si="50"/>
        <v>Near</v>
      </c>
      <c r="K702">
        <v>3</v>
      </c>
      <c r="L702" t="s">
        <v>63</v>
      </c>
      <c r="M702">
        <v>4</v>
      </c>
      <c r="N702">
        <v>3</v>
      </c>
      <c r="O702">
        <v>1</v>
      </c>
      <c r="P702" t="s">
        <v>49</v>
      </c>
      <c r="Q702">
        <v>3</v>
      </c>
      <c r="R702" s="11">
        <v>289</v>
      </c>
      <c r="S702" s="14">
        <v>51</v>
      </c>
      <c r="T702" s="13">
        <v>2479</v>
      </c>
      <c r="U702" s="13">
        <f t="shared" si="51"/>
        <v>29748</v>
      </c>
      <c r="V702" s="14">
        <v>26227</v>
      </c>
      <c r="W702">
        <v>4</v>
      </c>
      <c r="X702" s="8" t="s">
        <v>46</v>
      </c>
      <c r="Y702" s="15">
        <v>0.24</v>
      </c>
      <c r="Z702">
        <v>4</v>
      </c>
      <c r="AA702">
        <v>1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 t="str">
        <f t="shared" si="52"/>
        <v>0-3</v>
      </c>
      <c r="AI702">
        <v>0</v>
      </c>
      <c r="AJ702" t="str">
        <f t="shared" si="53"/>
        <v>0-2</v>
      </c>
      <c r="AK702">
        <v>0</v>
      </c>
    </row>
    <row r="703" spans="1:37" x14ac:dyDescent="0.25">
      <c r="A703" s="8">
        <v>702</v>
      </c>
      <c r="B703" t="s">
        <v>44</v>
      </c>
      <c r="C703" t="s">
        <v>54</v>
      </c>
      <c r="D703" s="8">
        <v>53</v>
      </c>
      <c r="E703" t="str">
        <f t="shared" si="54"/>
        <v>46-55</v>
      </c>
      <c r="F703" t="s">
        <v>46</v>
      </c>
      <c r="G703" t="s">
        <v>39</v>
      </c>
      <c r="H703" s="8" t="s">
        <v>40</v>
      </c>
      <c r="I703" s="10">
        <v>2</v>
      </c>
      <c r="J703" t="str">
        <f t="shared" si="50"/>
        <v>Near</v>
      </c>
      <c r="K703">
        <v>2</v>
      </c>
      <c r="L703" t="s">
        <v>53</v>
      </c>
      <c r="M703">
        <v>3</v>
      </c>
      <c r="N703">
        <v>3</v>
      </c>
      <c r="O703">
        <v>4</v>
      </c>
      <c r="P703" t="s">
        <v>59</v>
      </c>
      <c r="Q703">
        <v>3</v>
      </c>
      <c r="R703" s="11">
        <v>1376</v>
      </c>
      <c r="S703" s="14">
        <v>45</v>
      </c>
      <c r="T703" s="13">
        <v>14852</v>
      </c>
      <c r="U703" s="13">
        <f t="shared" si="51"/>
        <v>178224</v>
      </c>
      <c r="V703" s="14">
        <v>13938</v>
      </c>
      <c r="W703">
        <v>6</v>
      </c>
      <c r="X703" s="8" t="s">
        <v>46</v>
      </c>
      <c r="Y703" s="15">
        <v>0.13</v>
      </c>
      <c r="Z703">
        <v>3</v>
      </c>
      <c r="AA703">
        <v>3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 t="str">
        <f t="shared" si="52"/>
        <v>12-15</v>
      </c>
      <c r="AI703">
        <v>15</v>
      </c>
      <c r="AJ703" t="str">
        <f t="shared" si="53"/>
        <v>12-15</v>
      </c>
      <c r="AK703">
        <v>2</v>
      </c>
    </row>
    <row r="704" spans="1:37" x14ac:dyDescent="0.25">
      <c r="A704" s="8">
        <v>703</v>
      </c>
      <c r="B704" t="s">
        <v>44</v>
      </c>
      <c r="C704" t="s">
        <v>54</v>
      </c>
      <c r="D704" s="8">
        <v>30</v>
      </c>
      <c r="E704" t="str">
        <f t="shared" si="54"/>
        <v>26-35</v>
      </c>
      <c r="F704" t="s">
        <v>46</v>
      </c>
      <c r="G704" t="s">
        <v>39</v>
      </c>
      <c r="H704" s="8" t="s">
        <v>40</v>
      </c>
      <c r="I704" s="10">
        <v>8</v>
      </c>
      <c r="J704" t="str">
        <f t="shared" si="50"/>
        <v>Moderate</v>
      </c>
      <c r="K704">
        <v>2</v>
      </c>
      <c r="L704" t="s">
        <v>50</v>
      </c>
      <c r="M704">
        <v>3</v>
      </c>
      <c r="N704">
        <v>3</v>
      </c>
      <c r="O704">
        <v>3</v>
      </c>
      <c r="P704" t="s">
        <v>42</v>
      </c>
      <c r="Q704">
        <v>3</v>
      </c>
      <c r="R704" s="11">
        <v>231</v>
      </c>
      <c r="S704" s="14">
        <v>62</v>
      </c>
      <c r="T704" s="13">
        <v>7264</v>
      </c>
      <c r="U704" s="13">
        <f t="shared" si="51"/>
        <v>87168</v>
      </c>
      <c r="V704" s="14">
        <v>9977</v>
      </c>
      <c r="W704">
        <v>5</v>
      </c>
      <c r="X704" s="8" t="s">
        <v>46</v>
      </c>
      <c r="Y704" s="15">
        <v>0.11</v>
      </c>
      <c r="Z704">
        <v>3</v>
      </c>
      <c r="AA704">
        <v>1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 t="str">
        <f t="shared" si="52"/>
        <v>4-7</v>
      </c>
      <c r="AI704">
        <v>7</v>
      </c>
      <c r="AJ704" t="str">
        <f t="shared" si="53"/>
        <v>6-8</v>
      </c>
      <c r="AK704">
        <v>7</v>
      </c>
    </row>
    <row r="705" spans="1:37" x14ac:dyDescent="0.25">
      <c r="A705" s="8">
        <v>704</v>
      </c>
      <c r="B705" t="s">
        <v>52</v>
      </c>
      <c r="C705" t="s">
        <v>37</v>
      </c>
      <c r="D705" s="8">
        <v>38</v>
      </c>
      <c r="E705" t="str">
        <f t="shared" si="54"/>
        <v>36-45</v>
      </c>
      <c r="F705" t="s">
        <v>46</v>
      </c>
      <c r="G705" t="s">
        <v>58</v>
      </c>
      <c r="H705" s="8" t="s">
        <v>40</v>
      </c>
      <c r="I705" s="10">
        <v>10</v>
      </c>
      <c r="J705" t="str">
        <f t="shared" si="50"/>
        <v>Moderate</v>
      </c>
      <c r="K705">
        <v>3</v>
      </c>
      <c r="L705" t="s">
        <v>63</v>
      </c>
      <c r="M705">
        <v>3</v>
      </c>
      <c r="N705">
        <v>3</v>
      </c>
      <c r="O705">
        <v>2</v>
      </c>
      <c r="P705" t="s">
        <v>42</v>
      </c>
      <c r="Q705">
        <v>4</v>
      </c>
      <c r="R705" s="11">
        <v>152</v>
      </c>
      <c r="S705" s="14">
        <v>85</v>
      </c>
      <c r="T705" s="13">
        <v>5666</v>
      </c>
      <c r="U705" s="13">
        <f t="shared" si="51"/>
        <v>67992</v>
      </c>
      <c r="V705" s="14">
        <v>19899</v>
      </c>
      <c r="W705">
        <v>1</v>
      </c>
      <c r="X705" s="8" t="s">
        <v>38</v>
      </c>
      <c r="Y705" s="15">
        <v>0.13</v>
      </c>
      <c r="Z705">
        <v>3</v>
      </c>
      <c r="AA705">
        <v>2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 t="str">
        <f t="shared" si="52"/>
        <v>0-3</v>
      </c>
      <c r="AI705">
        <v>1</v>
      </c>
      <c r="AJ705" t="str">
        <f t="shared" si="53"/>
        <v>0-2</v>
      </c>
      <c r="AK705">
        <v>3</v>
      </c>
    </row>
    <row r="706" spans="1:37" x14ac:dyDescent="0.25">
      <c r="A706" s="8">
        <v>705</v>
      </c>
      <c r="B706" t="s">
        <v>44</v>
      </c>
      <c r="C706" t="s">
        <v>54</v>
      </c>
      <c r="D706" s="8">
        <v>35</v>
      </c>
      <c r="E706" t="str">
        <f t="shared" si="54"/>
        <v>26-35</v>
      </c>
      <c r="F706" t="s">
        <v>46</v>
      </c>
      <c r="G706" t="s">
        <v>39</v>
      </c>
      <c r="H706" s="8" t="s">
        <v>40</v>
      </c>
      <c r="I706" s="10">
        <v>3</v>
      </c>
      <c r="J706" t="str">
        <f t="shared" si="50"/>
        <v>Near</v>
      </c>
      <c r="K706">
        <v>4</v>
      </c>
      <c r="L706" t="s">
        <v>41</v>
      </c>
      <c r="M706">
        <v>4</v>
      </c>
      <c r="N706">
        <v>3</v>
      </c>
      <c r="O706">
        <v>3</v>
      </c>
      <c r="P706" t="s">
        <v>42</v>
      </c>
      <c r="Q706">
        <v>4</v>
      </c>
      <c r="R706" s="11">
        <v>882</v>
      </c>
      <c r="S706" s="14">
        <v>92</v>
      </c>
      <c r="T706" s="13">
        <v>7823</v>
      </c>
      <c r="U706" s="13">
        <f t="shared" si="51"/>
        <v>93876</v>
      </c>
      <c r="V706" s="14">
        <v>6812</v>
      </c>
      <c r="W706">
        <v>6</v>
      </c>
      <c r="X706" s="8" t="s">
        <v>46</v>
      </c>
      <c r="Y706" s="15">
        <v>0.13</v>
      </c>
      <c r="Z706">
        <v>3</v>
      </c>
      <c r="AA706">
        <v>2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 t="str">
        <f t="shared" si="52"/>
        <v>8-11</v>
      </c>
      <c r="AI706">
        <v>0</v>
      </c>
      <c r="AJ706" t="str">
        <f t="shared" si="53"/>
        <v>0-2</v>
      </c>
      <c r="AK706">
        <v>8</v>
      </c>
    </row>
    <row r="707" spans="1:37" x14ac:dyDescent="0.25">
      <c r="A707" s="8">
        <v>706</v>
      </c>
      <c r="B707" t="s">
        <v>44</v>
      </c>
      <c r="C707" t="s">
        <v>37</v>
      </c>
      <c r="D707" s="8">
        <v>39</v>
      </c>
      <c r="E707" t="str">
        <f t="shared" si="54"/>
        <v>36-45</v>
      </c>
      <c r="F707" t="s">
        <v>46</v>
      </c>
      <c r="G707" t="s">
        <v>39</v>
      </c>
      <c r="H707" s="8" t="s">
        <v>40</v>
      </c>
      <c r="I707" s="10">
        <v>2</v>
      </c>
      <c r="J707" t="str">
        <f t="shared" ref="J707:J770" si="55">IF(I707&lt;=5,"Near",IF(I707&lt;=15,"Moderate",IF(I707&gt;15,"Far")))</f>
        <v>Near</v>
      </c>
      <c r="K707">
        <v>5</v>
      </c>
      <c r="L707" t="s">
        <v>41</v>
      </c>
      <c r="M707">
        <v>1</v>
      </c>
      <c r="N707">
        <v>4</v>
      </c>
      <c r="O707">
        <v>3</v>
      </c>
      <c r="P707" t="s">
        <v>42</v>
      </c>
      <c r="Q707">
        <v>3</v>
      </c>
      <c r="R707" s="11">
        <v>903</v>
      </c>
      <c r="S707" s="14">
        <v>41</v>
      </c>
      <c r="T707" s="13">
        <v>7880</v>
      </c>
      <c r="U707" s="13">
        <f t="shared" ref="U707:U770" si="56">T707*12</f>
        <v>94560</v>
      </c>
      <c r="V707" s="14">
        <v>2560</v>
      </c>
      <c r="W707">
        <v>0</v>
      </c>
      <c r="X707" s="8" t="s">
        <v>46</v>
      </c>
      <c r="Y707" s="15">
        <v>0.18</v>
      </c>
      <c r="Z707">
        <v>3</v>
      </c>
      <c r="AA707">
        <v>4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 t="str">
        <f t="shared" ref="AH707:AH770" si="57">IF(AG:AG&lt;=3,"0-3", IF(AG:AG&lt;=7,"4-7", IF(AG:AG&lt;=11,"8-11", IF(AG:AG&lt;=15,"12-15","16-19"))))</f>
        <v>4-7</v>
      </c>
      <c r="AI707">
        <v>0</v>
      </c>
      <c r="AJ707" t="str">
        <f t="shared" ref="AJ707:AJ770" si="58">IF(AI:AI&lt;=2,"0-2",IF(AI:AI&lt;=5,"3-5", IF(AI:AI&lt;=8,"6-8", IF(AI:AI&lt;=11,"9-11","12-15"))))</f>
        <v>0-2</v>
      </c>
      <c r="AK707">
        <v>7</v>
      </c>
    </row>
    <row r="708" spans="1:37" x14ac:dyDescent="0.25">
      <c r="A708" s="8">
        <v>707</v>
      </c>
      <c r="B708" t="s">
        <v>52</v>
      </c>
      <c r="C708" t="s">
        <v>37</v>
      </c>
      <c r="D708" s="8">
        <v>40</v>
      </c>
      <c r="E708" t="str">
        <f t="shared" ref="E708:E771" si="59">IF(D708&lt;25,"18-25",IF(D708&lt;=35,"26-35",IF(D708&lt;=45,"36-45",IF(D708&lt;=55,"46-55",IF(D708&gt;55,"55+")))))</f>
        <v>36-45</v>
      </c>
      <c r="F708" t="s">
        <v>38</v>
      </c>
      <c r="G708" t="s">
        <v>58</v>
      </c>
      <c r="H708" s="8" t="s">
        <v>40</v>
      </c>
      <c r="I708" s="10">
        <v>24</v>
      </c>
      <c r="J708" t="str">
        <f t="shared" si="55"/>
        <v>Far</v>
      </c>
      <c r="K708">
        <v>3</v>
      </c>
      <c r="L708" t="s">
        <v>41</v>
      </c>
      <c r="M708">
        <v>2</v>
      </c>
      <c r="N708">
        <v>4</v>
      </c>
      <c r="O708">
        <v>4</v>
      </c>
      <c r="P708" t="s">
        <v>42</v>
      </c>
      <c r="Q708">
        <v>2</v>
      </c>
      <c r="R708" s="11">
        <v>1479</v>
      </c>
      <c r="S708" s="14">
        <v>100</v>
      </c>
      <c r="T708" s="13">
        <v>13194</v>
      </c>
      <c r="U708" s="13">
        <f t="shared" si="56"/>
        <v>158328</v>
      </c>
      <c r="V708" s="14">
        <v>17071</v>
      </c>
      <c r="W708">
        <v>4</v>
      </c>
      <c r="X708" s="8" t="s">
        <v>38</v>
      </c>
      <c r="Y708" s="15">
        <v>0.16</v>
      </c>
      <c r="Z708">
        <v>3</v>
      </c>
      <c r="AA708">
        <v>4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 t="str">
        <f t="shared" si="57"/>
        <v>0-3</v>
      </c>
      <c r="AI708">
        <v>0</v>
      </c>
      <c r="AJ708" t="str">
        <f t="shared" si="58"/>
        <v>0-2</v>
      </c>
      <c r="AK708">
        <v>0</v>
      </c>
    </row>
    <row r="709" spans="1:37" x14ac:dyDescent="0.25">
      <c r="A709" s="8">
        <v>708</v>
      </c>
      <c r="B709" t="s">
        <v>44</v>
      </c>
      <c r="C709" t="s">
        <v>54</v>
      </c>
      <c r="D709" s="8">
        <v>47</v>
      </c>
      <c r="E709" t="str">
        <f t="shared" si="59"/>
        <v>46-55</v>
      </c>
      <c r="F709" t="s">
        <v>46</v>
      </c>
      <c r="G709" t="s">
        <v>47</v>
      </c>
      <c r="H709" s="8" t="s">
        <v>48</v>
      </c>
      <c r="I709" s="10">
        <v>16</v>
      </c>
      <c r="J709" t="str">
        <f t="shared" si="55"/>
        <v>Far</v>
      </c>
      <c r="K709">
        <v>4</v>
      </c>
      <c r="L709" t="s">
        <v>53</v>
      </c>
      <c r="M709">
        <v>3</v>
      </c>
      <c r="N709">
        <v>4</v>
      </c>
      <c r="O709">
        <v>2</v>
      </c>
      <c r="P709" t="s">
        <v>55</v>
      </c>
      <c r="Q709">
        <v>3</v>
      </c>
      <c r="R709" s="11">
        <v>1379</v>
      </c>
      <c r="S709" s="14">
        <v>64</v>
      </c>
      <c r="T709" s="13">
        <v>5067</v>
      </c>
      <c r="U709" s="13">
        <f t="shared" si="56"/>
        <v>60804</v>
      </c>
      <c r="V709" s="14">
        <v>6759</v>
      </c>
      <c r="W709">
        <v>1</v>
      </c>
      <c r="X709" s="8" t="s">
        <v>38</v>
      </c>
      <c r="Y709" s="15">
        <v>0.19</v>
      </c>
      <c r="Z709">
        <v>3</v>
      </c>
      <c r="AA709">
        <v>3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 t="str">
        <f t="shared" si="57"/>
        <v>8-11</v>
      </c>
      <c r="AI709">
        <v>2</v>
      </c>
      <c r="AJ709" t="str">
        <f t="shared" si="58"/>
        <v>0-2</v>
      </c>
      <c r="AK709">
        <v>7</v>
      </c>
    </row>
    <row r="710" spans="1:37" x14ac:dyDescent="0.25">
      <c r="A710" s="8">
        <v>709</v>
      </c>
      <c r="B710" t="s">
        <v>44</v>
      </c>
      <c r="C710" t="s">
        <v>54</v>
      </c>
      <c r="D710" s="8">
        <v>36</v>
      </c>
      <c r="E710" t="str">
        <f t="shared" si="59"/>
        <v>36-45</v>
      </c>
      <c r="F710" t="s">
        <v>46</v>
      </c>
      <c r="G710" t="s">
        <v>58</v>
      </c>
      <c r="H710" s="8" t="s">
        <v>40</v>
      </c>
      <c r="I710" s="10">
        <v>8</v>
      </c>
      <c r="J710" t="str">
        <f t="shared" si="55"/>
        <v>Moderate</v>
      </c>
      <c r="K710">
        <v>4</v>
      </c>
      <c r="L710" t="s">
        <v>63</v>
      </c>
      <c r="M710">
        <v>1</v>
      </c>
      <c r="N710">
        <v>3</v>
      </c>
      <c r="O710">
        <v>2</v>
      </c>
      <c r="P710" t="s">
        <v>42</v>
      </c>
      <c r="Q710">
        <v>4</v>
      </c>
      <c r="R710" s="11">
        <v>1229</v>
      </c>
      <c r="S710" s="14">
        <v>84</v>
      </c>
      <c r="T710" s="13">
        <v>5079</v>
      </c>
      <c r="U710" s="13">
        <f t="shared" si="56"/>
        <v>60948</v>
      </c>
      <c r="V710" s="14">
        <v>25952</v>
      </c>
      <c r="W710">
        <v>4</v>
      </c>
      <c r="X710" s="8" t="s">
        <v>46</v>
      </c>
      <c r="Y710" s="15">
        <v>0.13</v>
      </c>
      <c r="Z710">
        <v>3</v>
      </c>
      <c r="AA710">
        <v>4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 t="str">
        <f t="shared" si="57"/>
        <v>4-7</v>
      </c>
      <c r="AI710">
        <v>0</v>
      </c>
      <c r="AJ710" t="str">
        <f t="shared" si="58"/>
        <v>0-2</v>
      </c>
      <c r="AK710">
        <v>7</v>
      </c>
    </row>
    <row r="711" spans="1:37" x14ac:dyDescent="0.25">
      <c r="A711" s="8">
        <v>710</v>
      </c>
      <c r="B711" t="s">
        <v>44</v>
      </c>
      <c r="C711" t="s">
        <v>37</v>
      </c>
      <c r="D711" s="8">
        <v>31</v>
      </c>
      <c r="E711" t="str">
        <f t="shared" si="59"/>
        <v>26-35</v>
      </c>
      <c r="F711" t="s">
        <v>38</v>
      </c>
      <c r="G711" t="s">
        <v>58</v>
      </c>
      <c r="H711" s="8" t="s">
        <v>48</v>
      </c>
      <c r="I711" s="10">
        <v>9</v>
      </c>
      <c r="J711" t="str">
        <f t="shared" si="55"/>
        <v>Moderate</v>
      </c>
      <c r="K711">
        <v>2</v>
      </c>
      <c r="L711" t="s">
        <v>53</v>
      </c>
      <c r="M711">
        <v>3</v>
      </c>
      <c r="N711">
        <v>2</v>
      </c>
      <c r="O711">
        <v>1</v>
      </c>
      <c r="P711" t="s">
        <v>49</v>
      </c>
      <c r="Q711">
        <v>1</v>
      </c>
      <c r="R711" s="11">
        <v>335</v>
      </c>
      <c r="S711" s="14">
        <v>46</v>
      </c>
      <c r="T711" s="13">
        <v>2321</v>
      </c>
      <c r="U711" s="13">
        <f t="shared" si="56"/>
        <v>27852</v>
      </c>
      <c r="V711" s="14">
        <v>10322</v>
      </c>
      <c r="W711">
        <v>0</v>
      </c>
      <c r="X711" s="8" t="s">
        <v>38</v>
      </c>
      <c r="Y711" s="15">
        <v>0.22</v>
      </c>
      <c r="Z711">
        <v>4</v>
      </c>
      <c r="AA711">
        <v>1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 t="str">
        <f t="shared" si="57"/>
        <v>0-3</v>
      </c>
      <c r="AI711">
        <v>1</v>
      </c>
      <c r="AJ711" t="str">
        <f t="shared" si="58"/>
        <v>0-2</v>
      </c>
      <c r="AK711">
        <v>2</v>
      </c>
    </row>
    <row r="712" spans="1:37" x14ac:dyDescent="0.25">
      <c r="A712" s="8">
        <v>711</v>
      </c>
      <c r="B712" t="s">
        <v>44</v>
      </c>
      <c r="C712" t="s">
        <v>37</v>
      </c>
      <c r="D712" s="8">
        <v>33</v>
      </c>
      <c r="E712" t="str">
        <f t="shared" si="59"/>
        <v>26-35</v>
      </c>
      <c r="F712" t="s">
        <v>46</v>
      </c>
      <c r="G712" t="s">
        <v>58</v>
      </c>
      <c r="H712" s="8" t="s">
        <v>40</v>
      </c>
      <c r="I712" s="10">
        <v>17</v>
      </c>
      <c r="J712" t="str">
        <f t="shared" si="55"/>
        <v>Far</v>
      </c>
      <c r="K712">
        <v>3</v>
      </c>
      <c r="L712" t="s">
        <v>41</v>
      </c>
      <c r="M712">
        <v>4</v>
      </c>
      <c r="N712">
        <v>3</v>
      </c>
      <c r="O712">
        <v>4</v>
      </c>
      <c r="P712" t="s">
        <v>59</v>
      </c>
      <c r="Q712">
        <v>3</v>
      </c>
      <c r="R712" s="11">
        <v>722</v>
      </c>
      <c r="S712" s="14">
        <v>38</v>
      </c>
      <c r="T712" s="13">
        <v>17444</v>
      </c>
      <c r="U712" s="13">
        <f t="shared" si="56"/>
        <v>209328</v>
      </c>
      <c r="V712" s="14">
        <v>20489</v>
      </c>
      <c r="W712">
        <v>1</v>
      </c>
      <c r="X712" s="8" t="s">
        <v>46</v>
      </c>
      <c r="Y712" s="15">
        <v>0.11</v>
      </c>
      <c r="Z712">
        <v>3</v>
      </c>
      <c r="AA712">
        <v>4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 t="str">
        <f t="shared" si="57"/>
        <v>8-11</v>
      </c>
      <c r="AI712">
        <v>6</v>
      </c>
      <c r="AJ712" t="str">
        <f t="shared" si="58"/>
        <v>6-8</v>
      </c>
      <c r="AK712">
        <v>0</v>
      </c>
    </row>
    <row r="713" spans="1:37" x14ac:dyDescent="0.25">
      <c r="A713" s="8">
        <v>712</v>
      </c>
      <c r="B713" t="s">
        <v>52</v>
      </c>
      <c r="C713" t="s">
        <v>37</v>
      </c>
      <c r="D713" s="8">
        <v>29</v>
      </c>
      <c r="E713" t="str">
        <f t="shared" si="59"/>
        <v>26-35</v>
      </c>
      <c r="F713" t="s">
        <v>38</v>
      </c>
      <c r="G713" t="s">
        <v>39</v>
      </c>
      <c r="H713" s="8" t="s">
        <v>48</v>
      </c>
      <c r="I713" s="10">
        <v>10</v>
      </c>
      <c r="J713" t="str">
        <f t="shared" si="55"/>
        <v>Moderate</v>
      </c>
      <c r="K713">
        <v>3</v>
      </c>
      <c r="L713" t="s">
        <v>41</v>
      </c>
      <c r="M713">
        <v>4</v>
      </c>
      <c r="N713">
        <v>2</v>
      </c>
      <c r="O713">
        <v>1</v>
      </c>
      <c r="P713" t="s">
        <v>49</v>
      </c>
      <c r="Q713">
        <v>1</v>
      </c>
      <c r="R713" s="11">
        <v>906</v>
      </c>
      <c r="S713" s="14">
        <v>92</v>
      </c>
      <c r="T713" s="13">
        <v>2404</v>
      </c>
      <c r="U713" s="13">
        <f t="shared" si="56"/>
        <v>28848</v>
      </c>
      <c r="V713" s="14">
        <v>11479</v>
      </c>
      <c r="W713">
        <v>6</v>
      </c>
      <c r="X713" s="8" t="s">
        <v>38</v>
      </c>
      <c r="Y713" s="15">
        <v>0.2</v>
      </c>
      <c r="Z713">
        <v>4</v>
      </c>
      <c r="AA713">
        <v>3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 t="str">
        <f t="shared" si="57"/>
        <v>0-3</v>
      </c>
      <c r="AI713">
        <v>0</v>
      </c>
      <c r="AJ713" t="str">
        <f t="shared" si="58"/>
        <v>0-2</v>
      </c>
      <c r="AK713">
        <v>0</v>
      </c>
    </row>
    <row r="714" spans="1:37" x14ac:dyDescent="0.25">
      <c r="A714" s="8">
        <v>713</v>
      </c>
      <c r="B714" t="s">
        <v>52</v>
      </c>
      <c r="C714" t="s">
        <v>37</v>
      </c>
      <c r="D714" s="8">
        <v>33</v>
      </c>
      <c r="E714" t="str">
        <f t="shared" si="59"/>
        <v>26-35</v>
      </c>
      <c r="F714" t="s">
        <v>46</v>
      </c>
      <c r="G714" t="s">
        <v>39</v>
      </c>
      <c r="H714" s="8" t="s">
        <v>48</v>
      </c>
      <c r="I714" s="10">
        <v>13</v>
      </c>
      <c r="J714" t="str">
        <f t="shared" si="55"/>
        <v>Moderate</v>
      </c>
      <c r="K714">
        <v>1</v>
      </c>
      <c r="L714" t="s">
        <v>41</v>
      </c>
      <c r="M714">
        <v>2</v>
      </c>
      <c r="N714">
        <v>3</v>
      </c>
      <c r="O714">
        <v>1</v>
      </c>
      <c r="P714" t="s">
        <v>49</v>
      </c>
      <c r="Q714">
        <v>4</v>
      </c>
      <c r="R714" s="11">
        <v>461</v>
      </c>
      <c r="S714" s="14">
        <v>53</v>
      </c>
      <c r="T714" s="13">
        <v>3452</v>
      </c>
      <c r="U714" s="13">
        <f t="shared" si="56"/>
        <v>41424</v>
      </c>
      <c r="V714" s="14">
        <v>17241</v>
      </c>
      <c r="W714">
        <v>3</v>
      </c>
      <c r="X714" s="8" t="s">
        <v>46</v>
      </c>
      <c r="Y714" s="15">
        <v>0.18</v>
      </c>
      <c r="Z714">
        <v>3</v>
      </c>
      <c r="AA714">
        <v>1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 t="str">
        <f t="shared" si="57"/>
        <v>0-3</v>
      </c>
      <c r="AI714">
        <v>0</v>
      </c>
      <c r="AJ714" t="str">
        <f t="shared" si="58"/>
        <v>0-2</v>
      </c>
      <c r="AK714">
        <v>2</v>
      </c>
    </row>
    <row r="715" spans="1:37" x14ac:dyDescent="0.25">
      <c r="A715" s="8">
        <v>714</v>
      </c>
      <c r="B715" t="s">
        <v>52</v>
      </c>
      <c r="C715" t="s">
        <v>54</v>
      </c>
      <c r="D715" s="8">
        <v>45</v>
      </c>
      <c r="E715" t="str">
        <f t="shared" si="59"/>
        <v>36-45</v>
      </c>
      <c r="F715" t="s">
        <v>46</v>
      </c>
      <c r="G715" t="s">
        <v>39</v>
      </c>
      <c r="H715" s="8" t="s">
        <v>48</v>
      </c>
      <c r="I715" s="10">
        <v>1</v>
      </c>
      <c r="J715" t="str">
        <f t="shared" si="55"/>
        <v>Near</v>
      </c>
      <c r="K715">
        <v>4</v>
      </c>
      <c r="L715" t="s">
        <v>53</v>
      </c>
      <c r="M715">
        <v>4</v>
      </c>
      <c r="N715">
        <v>3</v>
      </c>
      <c r="O715">
        <v>1</v>
      </c>
      <c r="P715" t="s">
        <v>51</v>
      </c>
      <c r="Q715">
        <v>4</v>
      </c>
      <c r="R715" s="11">
        <v>974</v>
      </c>
      <c r="S715" s="14">
        <v>91</v>
      </c>
      <c r="T715" s="13">
        <v>2270</v>
      </c>
      <c r="U715" s="13">
        <f t="shared" si="56"/>
        <v>27240</v>
      </c>
      <c r="V715" s="14">
        <v>11005</v>
      </c>
      <c r="W715">
        <v>3</v>
      </c>
      <c r="X715" s="8" t="s">
        <v>46</v>
      </c>
      <c r="Y715" s="15">
        <v>0.14000000000000001</v>
      </c>
      <c r="Z715">
        <v>3</v>
      </c>
      <c r="AA715">
        <v>4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 t="str">
        <f t="shared" si="57"/>
        <v>0-3</v>
      </c>
      <c r="AI715">
        <v>0</v>
      </c>
      <c r="AJ715" t="str">
        <f t="shared" si="58"/>
        <v>0-2</v>
      </c>
      <c r="AK715">
        <v>2</v>
      </c>
    </row>
    <row r="716" spans="1:37" x14ac:dyDescent="0.25">
      <c r="A716" s="8">
        <v>715</v>
      </c>
      <c r="B716" t="s">
        <v>44</v>
      </c>
      <c r="C716" t="s">
        <v>54</v>
      </c>
      <c r="D716" s="8">
        <v>50</v>
      </c>
      <c r="E716" t="str">
        <f t="shared" si="59"/>
        <v>46-55</v>
      </c>
      <c r="F716" t="s">
        <v>46</v>
      </c>
      <c r="G716" t="s">
        <v>39</v>
      </c>
      <c r="H716" s="8" t="s">
        <v>48</v>
      </c>
      <c r="I716" s="10">
        <v>1</v>
      </c>
      <c r="J716" t="str">
        <f t="shared" si="55"/>
        <v>Near</v>
      </c>
      <c r="K716">
        <v>2</v>
      </c>
      <c r="L716" t="s">
        <v>53</v>
      </c>
      <c r="M716">
        <v>4</v>
      </c>
      <c r="N716">
        <v>3</v>
      </c>
      <c r="O716">
        <v>4</v>
      </c>
      <c r="P716" t="s">
        <v>61</v>
      </c>
      <c r="Q716">
        <v>4</v>
      </c>
      <c r="R716" s="11">
        <v>1126</v>
      </c>
      <c r="S716" s="14">
        <v>66</v>
      </c>
      <c r="T716" s="13">
        <v>17399</v>
      </c>
      <c r="U716" s="13">
        <f t="shared" si="56"/>
        <v>208788</v>
      </c>
      <c r="V716" s="14">
        <v>6615</v>
      </c>
      <c r="W716">
        <v>9</v>
      </c>
      <c r="X716" s="8" t="s">
        <v>46</v>
      </c>
      <c r="Y716" s="15">
        <v>0.22</v>
      </c>
      <c r="Z716">
        <v>4</v>
      </c>
      <c r="AA716">
        <v>3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 t="str">
        <f t="shared" si="57"/>
        <v>4-7</v>
      </c>
      <c r="AI716">
        <v>1</v>
      </c>
      <c r="AJ716" t="str">
        <f t="shared" si="58"/>
        <v>0-2</v>
      </c>
      <c r="AK716">
        <v>3</v>
      </c>
    </row>
    <row r="717" spans="1:37" x14ac:dyDescent="0.25">
      <c r="A717" s="8">
        <v>716</v>
      </c>
      <c r="B717" t="s">
        <v>52</v>
      </c>
      <c r="C717" t="s">
        <v>45</v>
      </c>
      <c r="D717" s="8">
        <v>33</v>
      </c>
      <c r="E717" t="str">
        <f t="shared" si="59"/>
        <v>26-35</v>
      </c>
      <c r="F717" t="s">
        <v>46</v>
      </c>
      <c r="G717" t="s">
        <v>47</v>
      </c>
      <c r="H717" s="8" t="s">
        <v>48</v>
      </c>
      <c r="I717" s="10">
        <v>1</v>
      </c>
      <c r="J717" t="str">
        <f t="shared" si="55"/>
        <v>Near</v>
      </c>
      <c r="K717">
        <v>4</v>
      </c>
      <c r="L717" t="s">
        <v>50</v>
      </c>
      <c r="M717">
        <v>3</v>
      </c>
      <c r="N717">
        <v>4</v>
      </c>
      <c r="O717">
        <v>2</v>
      </c>
      <c r="P717" t="s">
        <v>56</v>
      </c>
      <c r="Q717">
        <v>2</v>
      </c>
      <c r="R717" s="11">
        <v>827</v>
      </c>
      <c r="S717" s="14">
        <v>84</v>
      </c>
      <c r="T717" s="13">
        <v>5488</v>
      </c>
      <c r="U717" s="13">
        <f t="shared" si="56"/>
        <v>65856</v>
      </c>
      <c r="V717" s="14">
        <v>20161</v>
      </c>
      <c r="W717">
        <v>1</v>
      </c>
      <c r="X717" s="8" t="s">
        <v>38</v>
      </c>
      <c r="Y717" s="15">
        <v>0.13</v>
      </c>
      <c r="Z717">
        <v>3</v>
      </c>
      <c r="AA717">
        <v>1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 t="str">
        <f t="shared" si="57"/>
        <v>4-7</v>
      </c>
      <c r="AI717">
        <v>1</v>
      </c>
      <c r="AJ717" t="str">
        <f t="shared" si="58"/>
        <v>0-2</v>
      </c>
      <c r="AK717">
        <v>2</v>
      </c>
    </row>
    <row r="718" spans="1:37" x14ac:dyDescent="0.25">
      <c r="A718" s="8">
        <v>717</v>
      </c>
      <c r="B718" t="s">
        <v>44</v>
      </c>
      <c r="C718" t="s">
        <v>54</v>
      </c>
      <c r="D718" s="8">
        <v>41</v>
      </c>
      <c r="E718" t="str">
        <f t="shared" si="59"/>
        <v>36-45</v>
      </c>
      <c r="F718" t="s">
        <v>46</v>
      </c>
      <c r="G718" t="s">
        <v>47</v>
      </c>
      <c r="H718" s="8" t="s">
        <v>48</v>
      </c>
      <c r="I718" s="10">
        <v>9</v>
      </c>
      <c r="J718" t="str">
        <f t="shared" si="55"/>
        <v>Moderate</v>
      </c>
      <c r="K718">
        <v>3</v>
      </c>
      <c r="L718" t="s">
        <v>53</v>
      </c>
      <c r="M718">
        <v>1</v>
      </c>
      <c r="N718">
        <v>3</v>
      </c>
      <c r="O718">
        <v>5</v>
      </c>
      <c r="P718" t="s">
        <v>61</v>
      </c>
      <c r="Q718">
        <v>3</v>
      </c>
      <c r="R718" s="11">
        <v>840</v>
      </c>
      <c r="S718" s="14">
        <v>64</v>
      </c>
      <c r="T718" s="13">
        <v>19419</v>
      </c>
      <c r="U718" s="13">
        <f t="shared" si="56"/>
        <v>233028</v>
      </c>
      <c r="V718" s="14">
        <v>3735</v>
      </c>
      <c r="W718">
        <v>2</v>
      </c>
      <c r="X718" s="8" t="s">
        <v>46</v>
      </c>
      <c r="Y718" s="15">
        <v>0.17</v>
      </c>
      <c r="Z718">
        <v>3</v>
      </c>
      <c r="AA718">
        <v>2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 t="str">
        <f t="shared" si="57"/>
        <v>16-19</v>
      </c>
      <c r="AI718">
        <v>0</v>
      </c>
      <c r="AJ718" t="str">
        <f t="shared" si="58"/>
        <v>0-2</v>
      </c>
      <c r="AK718">
        <v>11</v>
      </c>
    </row>
    <row r="719" spans="1:37" x14ac:dyDescent="0.25">
      <c r="A719" s="8">
        <v>718</v>
      </c>
      <c r="B719" t="s">
        <v>52</v>
      </c>
      <c r="C719" t="s">
        <v>45</v>
      </c>
      <c r="D719" s="8">
        <v>27</v>
      </c>
      <c r="E719" t="str">
        <f t="shared" si="59"/>
        <v>26-35</v>
      </c>
      <c r="F719" t="s">
        <v>46</v>
      </c>
      <c r="G719" t="s">
        <v>39</v>
      </c>
      <c r="H719" s="8" t="s">
        <v>48</v>
      </c>
      <c r="I719" s="10">
        <v>16</v>
      </c>
      <c r="J719" t="str">
        <f t="shared" si="55"/>
        <v>Far</v>
      </c>
      <c r="K719">
        <v>4</v>
      </c>
      <c r="L719" t="s">
        <v>63</v>
      </c>
      <c r="M719">
        <v>3</v>
      </c>
      <c r="N719">
        <v>3</v>
      </c>
      <c r="O719">
        <v>1</v>
      </c>
      <c r="P719" t="s">
        <v>51</v>
      </c>
      <c r="Q719">
        <v>2</v>
      </c>
      <c r="R719" s="11">
        <v>1134</v>
      </c>
      <c r="S719" s="14">
        <v>37</v>
      </c>
      <c r="T719" s="13">
        <v>2811</v>
      </c>
      <c r="U719" s="13">
        <f t="shared" si="56"/>
        <v>33732</v>
      </c>
      <c r="V719" s="14">
        <v>12086</v>
      </c>
      <c r="W719">
        <v>9</v>
      </c>
      <c r="X719" s="8" t="s">
        <v>46</v>
      </c>
      <c r="Y719" s="15">
        <v>0.14000000000000001</v>
      </c>
      <c r="Z719">
        <v>3</v>
      </c>
      <c r="AA719">
        <v>2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 t="str">
        <f t="shared" si="57"/>
        <v>0-3</v>
      </c>
      <c r="AI719">
        <v>2</v>
      </c>
      <c r="AJ719" t="str">
        <f t="shared" si="58"/>
        <v>0-2</v>
      </c>
      <c r="AK719">
        <v>2</v>
      </c>
    </row>
    <row r="720" spans="1:37" x14ac:dyDescent="0.25">
      <c r="A720" s="8">
        <v>719</v>
      </c>
      <c r="B720" t="s">
        <v>44</v>
      </c>
      <c r="C720" t="s">
        <v>45</v>
      </c>
      <c r="D720" s="8">
        <v>45</v>
      </c>
      <c r="E720" t="str">
        <f t="shared" si="59"/>
        <v>36-45</v>
      </c>
      <c r="F720" t="s">
        <v>46</v>
      </c>
      <c r="G720" t="s">
        <v>58</v>
      </c>
      <c r="H720" s="8" t="s">
        <v>48</v>
      </c>
      <c r="I720" s="10">
        <v>23</v>
      </c>
      <c r="J720" t="str">
        <f t="shared" si="55"/>
        <v>Far</v>
      </c>
      <c r="K720">
        <v>2</v>
      </c>
      <c r="L720" t="s">
        <v>41</v>
      </c>
      <c r="M720">
        <v>4</v>
      </c>
      <c r="N720">
        <v>3</v>
      </c>
      <c r="O720">
        <v>2</v>
      </c>
      <c r="P720" t="s">
        <v>51</v>
      </c>
      <c r="Q720">
        <v>1</v>
      </c>
      <c r="R720" s="11">
        <v>248</v>
      </c>
      <c r="S720" s="14">
        <v>42</v>
      </c>
      <c r="T720" s="13">
        <v>3633</v>
      </c>
      <c r="U720" s="13">
        <f t="shared" si="56"/>
        <v>43596</v>
      </c>
      <c r="V720" s="14">
        <v>14039</v>
      </c>
      <c r="W720">
        <v>1</v>
      </c>
      <c r="X720" s="8" t="s">
        <v>38</v>
      </c>
      <c r="Y720" s="15">
        <v>0.15</v>
      </c>
      <c r="Z720">
        <v>3</v>
      </c>
      <c r="AA720">
        <v>3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 t="str">
        <f t="shared" si="57"/>
        <v>8-11</v>
      </c>
      <c r="AI720">
        <v>0</v>
      </c>
      <c r="AJ720" t="str">
        <f t="shared" si="58"/>
        <v>0-2</v>
      </c>
      <c r="AK720">
        <v>8</v>
      </c>
    </row>
    <row r="721" spans="1:37" x14ac:dyDescent="0.25">
      <c r="A721" s="8">
        <v>720</v>
      </c>
      <c r="B721" t="s">
        <v>52</v>
      </c>
      <c r="C721" t="s">
        <v>37</v>
      </c>
      <c r="D721" s="8">
        <v>47</v>
      </c>
      <c r="E721" t="str">
        <f t="shared" si="59"/>
        <v>46-55</v>
      </c>
      <c r="F721" t="s">
        <v>46</v>
      </c>
      <c r="G721" t="s">
        <v>39</v>
      </c>
      <c r="H721" s="8" t="s">
        <v>40</v>
      </c>
      <c r="I721" s="10">
        <v>4</v>
      </c>
      <c r="J721" t="str">
        <f t="shared" si="55"/>
        <v>Near</v>
      </c>
      <c r="K721">
        <v>2</v>
      </c>
      <c r="L721" t="s">
        <v>41</v>
      </c>
      <c r="M721">
        <v>4</v>
      </c>
      <c r="N721">
        <v>3</v>
      </c>
      <c r="O721">
        <v>2</v>
      </c>
      <c r="P721" t="s">
        <v>42</v>
      </c>
      <c r="Q721">
        <v>4</v>
      </c>
      <c r="R721" s="11">
        <v>955</v>
      </c>
      <c r="S721" s="14">
        <v>83</v>
      </c>
      <c r="T721" s="13">
        <v>4163</v>
      </c>
      <c r="U721" s="13">
        <f t="shared" si="56"/>
        <v>49956</v>
      </c>
      <c r="V721" s="14">
        <v>8571</v>
      </c>
      <c r="W721">
        <v>1</v>
      </c>
      <c r="X721" s="8" t="s">
        <v>38</v>
      </c>
      <c r="Y721" s="15">
        <v>0.17</v>
      </c>
      <c r="Z721">
        <v>3</v>
      </c>
      <c r="AA721">
        <v>3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 t="str">
        <f t="shared" si="57"/>
        <v>0-3</v>
      </c>
      <c r="AI721">
        <v>0</v>
      </c>
      <c r="AJ721" t="str">
        <f t="shared" si="58"/>
        <v>0-2</v>
      </c>
      <c r="AK721">
        <v>7</v>
      </c>
    </row>
    <row r="722" spans="1:37" x14ac:dyDescent="0.25">
      <c r="A722" s="8">
        <v>721</v>
      </c>
      <c r="B722" t="s">
        <v>52</v>
      </c>
      <c r="C722" t="s">
        <v>45</v>
      </c>
      <c r="D722" s="8">
        <v>30</v>
      </c>
      <c r="E722" t="str">
        <f t="shared" si="59"/>
        <v>26-35</v>
      </c>
      <c r="F722" t="s">
        <v>38</v>
      </c>
      <c r="G722" t="s">
        <v>39</v>
      </c>
      <c r="H722" s="8" t="s">
        <v>48</v>
      </c>
      <c r="I722" s="10">
        <v>22</v>
      </c>
      <c r="J722" t="str">
        <f t="shared" si="55"/>
        <v>Far</v>
      </c>
      <c r="K722">
        <v>3</v>
      </c>
      <c r="L722" t="s">
        <v>41</v>
      </c>
      <c r="M722">
        <v>1</v>
      </c>
      <c r="N722">
        <v>3</v>
      </c>
      <c r="O722">
        <v>1</v>
      </c>
      <c r="P722" t="s">
        <v>49</v>
      </c>
      <c r="Q722">
        <v>3</v>
      </c>
      <c r="R722" s="11">
        <v>138</v>
      </c>
      <c r="S722" s="14">
        <v>48</v>
      </c>
      <c r="T722" s="13">
        <v>2132</v>
      </c>
      <c r="U722" s="13">
        <f t="shared" si="56"/>
        <v>25584</v>
      </c>
      <c r="V722" s="14">
        <v>11539</v>
      </c>
      <c r="W722">
        <v>4</v>
      </c>
      <c r="X722" s="8" t="s">
        <v>38</v>
      </c>
      <c r="Y722" s="15">
        <v>0.11</v>
      </c>
      <c r="Z722">
        <v>3</v>
      </c>
      <c r="AA722">
        <v>2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 t="str">
        <f t="shared" si="57"/>
        <v>0-3</v>
      </c>
      <c r="AI722">
        <v>0</v>
      </c>
      <c r="AJ722" t="str">
        <f t="shared" si="58"/>
        <v>0-2</v>
      </c>
      <c r="AK722">
        <v>1</v>
      </c>
    </row>
    <row r="723" spans="1:37" x14ac:dyDescent="0.25">
      <c r="A723" s="8">
        <v>722</v>
      </c>
      <c r="B723" t="s">
        <v>44</v>
      </c>
      <c r="C723" t="s">
        <v>45</v>
      </c>
      <c r="D723" s="8">
        <v>50</v>
      </c>
      <c r="E723" t="str">
        <f t="shared" si="59"/>
        <v>46-55</v>
      </c>
      <c r="F723" t="s">
        <v>46</v>
      </c>
      <c r="G723" t="s">
        <v>39</v>
      </c>
      <c r="H723" s="8" t="s">
        <v>48</v>
      </c>
      <c r="I723" s="10">
        <v>24</v>
      </c>
      <c r="J723" t="str">
        <f t="shared" si="55"/>
        <v>Far</v>
      </c>
      <c r="K723">
        <v>3</v>
      </c>
      <c r="L723" t="s">
        <v>41</v>
      </c>
      <c r="M723">
        <v>4</v>
      </c>
      <c r="N723">
        <v>3</v>
      </c>
      <c r="O723">
        <v>4</v>
      </c>
      <c r="P723" t="s">
        <v>55</v>
      </c>
      <c r="Q723">
        <v>3</v>
      </c>
      <c r="R723" s="11">
        <v>939</v>
      </c>
      <c r="S723" s="14">
        <v>95</v>
      </c>
      <c r="T723" s="13">
        <v>13973</v>
      </c>
      <c r="U723" s="13">
        <f t="shared" si="56"/>
        <v>167676</v>
      </c>
      <c r="V723" s="14">
        <v>4161</v>
      </c>
      <c r="W723">
        <v>3</v>
      </c>
      <c r="X723" s="8" t="s">
        <v>38</v>
      </c>
      <c r="Y723" s="15">
        <v>0.18</v>
      </c>
      <c r="Z723">
        <v>3</v>
      </c>
      <c r="AA723">
        <v>4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 t="str">
        <f t="shared" si="57"/>
        <v>8-11</v>
      </c>
      <c r="AI723">
        <v>1</v>
      </c>
      <c r="AJ723" t="str">
        <f t="shared" si="58"/>
        <v>0-2</v>
      </c>
      <c r="AK723">
        <v>5</v>
      </c>
    </row>
    <row r="724" spans="1:37" x14ac:dyDescent="0.25">
      <c r="A724" s="8">
        <v>723</v>
      </c>
      <c r="B724" t="s">
        <v>44</v>
      </c>
      <c r="C724" t="s">
        <v>45</v>
      </c>
      <c r="D724" s="8">
        <v>38</v>
      </c>
      <c r="E724" t="str">
        <f t="shared" si="59"/>
        <v>36-45</v>
      </c>
      <c r="F724" t="s">
        <v>46</v>
      </c>
      <c r="G724" t="s">
        <v>47</v>
      </c>
      <c r="H724" s="8" t="s">
        <v>48</v>
      </c>
      <c r="I724" s="10">
        <v>10</v>
      </c>
      <c r="J724" t="str">
        <f t="shared" si="55"/>
        <v>Moderate</v>
      </c>
      <c r="K724">
        <v>1</v>
      </c>
      <c r="L724" t="s">
        <v>53</v>
      </c>
      <c r="M724">
        <v>3</v>
      </c>
      <c r="N724">
        <v>3</v>
      </c>
      <c r="O724">
        <v>1</v>
      </c>
      <c r="P724" t="s">
        <v>49</v>
      </c>
      <c r="Q724">
        <v>3</v>
      </c>
      <c r="R724" s="11">
        <v>1391</v>
      </c>
      <c r="S724" s="14">
        <v>66</v>
      </c>
      <c r="T724" s="13">
        <v>2684</v>
      </c>
      <c r="U724" s="13">
        <f t="shared" si="56"/>
        <v>32208</v>
      </c>
      <c r="V724" s="14">
        <v>12127</v>
      </c>
      <c r="W724">
        <v>0</v>
      </c>
      <c r="X724" s="8" t="s">
        <v>46</v>
      </c>
      <c r="Y724" s="15">
        <v>0.17</v>
      </c>
      <c r="Z724">
        <v>3</v>
      </c>
      <c r="AA724">
        <v>2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 t="str">
        <f t="shared" si="57"/>
        <v>0-3</v>
      </c>
      <c r="AI724">
        <v>0</v>
      </c>
      <c r="AJ724" t="str">
        <f t="shared" si="58"/>
        <v>0-2</v>
      </c>
      <c r="AK724">
        <v>2</v>
      </c>
    </row>
    <row r="725" spans="1:37" x14ac:dyDescent="0.25">
      <c r="A725" s="8">
        <v>724</v>
      </c>
      <c r="B725" t="s">
        <v>44</v>
      </c>
      <c r="C725" t="s">
        <v>54</v>
      </c>
      <c r="D725" s="8">
        <v>46</v>
      </c>
      <c r="E725" t="str">
        <f t="shared" si="59"/>
        <v>46-55</v>
      </c>
      <c r="F725" t="s">
        <v>46</v>
      </c>
      <c r="G725" t="s">
        <v>39</v>
      </c>
      <c r="H725" s="8" t="s">
        <v>48</v>
      </c>
      <c r="I725" s="10">
        <v>7</v>
      </c>
      <c r="J725" t="str">
        <f t="shared" si="55"/>
        <v>Moderate</v>
      </c>
      <c r="K725">
        <v>2</v>
      </c>
      <c r="L725" t="s">
        <v>53</v>
      </c>
      <c r="M725">
        <v>4</v>
      </c>
      <c r="N725">
        <v>3</v>
      </c>
      <c r="O725">
        <v>3</v>
      </c>
      <c r="P725" t="s">
        <v>55</v>
      </c>
      <c r="Q725">
        <v>3</v>
      </c>
      <c r="R725" s="11">
        <v>566</v>
      </c>
      <c r="S725" s="14">
        <v>75</v>
      </c>
      <c r="T725" s="13">
        <v>10845</v>
      </c>
      <c r="U725" s="13">
        <f t="shared" si="56"/>
        <v>130140</v>
      </c>
      <c r="V725" s="14">
        <v>24208</v>
      </c>
      <c r="W725">
        <v>6</v>
      </c>
      <c r="X725" s="8" t="s">
        <v>46</v>
      </c>
      <c r="Y725" s="15">
        <v>0.13</v>
      </c>
      <c r="Z725">
        <v>3</v>
      </c>
      <c r="AA725">
        <v>2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 t="str">
        <f t="shared" si="57"/>
        <v>4-7</v>
      </c>
      <c r="AI725">
        <v>0</v>
      </c>
      <c r="AJ725" t="str">
        <f t="shared" si="58"/>
        <v>0-2</v>
      </c>
      <c r="AK725">
        <v>7</v>
      </c>
    </row>
    <row r="726" spans="1:37" x14ac:dyDescent="0.25">
      <c r="A726" s="8">
        <v>725</v>
      </c>
      <c r="B726" t="s">
        <v>52</v>
      </c>
      <c r="C726" t="s">
        <v>54</v>
      </c>
      <c r="D726" s="8">
        <v>24</v>
      </c>
      <c r="E726" t="str">
        <f t="shared" si="59"/>
        <v>18-25</v>
      </c>
      <c r="F726" t="s">
        <v>46</v>
      </c>
      <c r="G726" t="s">
        <v>39</v>
      </c>
      <c r="H726" s="8" t="s">
        <v>48</v>
      </c>
      <c r="I726" s="10">
        <v>17</v>
      </c>
      <c r="J726" t="str">
        <f t="shared" si="55"/>
        <v>Far</v>
      </c>
      <c r="K726">
        <v>1</v>
      </c>
      <c r="L726" t="s">
        <v>53</v>
      </c>
      <c r="M726">
        <v>4</v>
      </c>
      <c r="N726">
        <v>2</v>
      </c>
      <c r="O726">
        <v>2</v>
      </c>
      <c r="P726" t="s">
        <v>55</v>
      </c>
      <c r="Q726">
        <v>3</v>
      </c>
      <c r="R726" s="11">
        <v>1206</v>
      </c>
      <c r="S726" s="14">
        <v>41</v>
      </c>
      <c r="T726" s="13">
        <v>4377</v>
      </c>
      <c r="U726" s="13">
        <f t="shared" si="56"/>
        <v>52524</v>
      </c>
      <c r="V726" s="14">
        <v>24117</v>
      </c>
      <c r="W726">
        <v>1</v>
      </c>
      <c r="X726" s="8" t="s">
        <v>46</v>
      </c>
      <c r="Y726" s="15">
        <v>0.15</v>
      </c>
      <c r="Z726">
        <v>3</v>
      </c>
      <c r="AA726">
        <v>2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 t="str">
        <f t="shared" si="57"/>
        <v>0-3</v>
      </c>
      <c r="AI726">
        <v>3</v>
      </c>
      <c r="AJ726" t="str">
        <f t="shared" si="58"/>
        <v>3-5</v>
      </c>
      <c r="AK726">
        <v>2</v>
      </c>
    </row>
    <row r="727" spans="1:37" x14ac:dyDescent="0.25">
      <c r="A727" s="8">
        <v>726</v>
      </c>
      <c r="B727" t="s">
        <v>44</v>
      </c>
      <c r="C727" t="s">
        <v>54</v>
      </c>
      <c r="D727" s="8">
        <v>35</v>
      </c>
      <c r="E727" t="str">
        <f t="shared" si="59"/>
        <v>26-35</v>
      </c>
      <c r="F727" t="s">
        <v>38</v>
      </c>
      <c r="G727" t="s">
        <v>39</v>
      </c>
      <c r="H727" s="8" t="s">
        <v>48</v>
      </c>
      <c r="I727" s="10">
        <v>14</v>
      </c>
      <c r="J727" t="str">
        <f t="shared" si="55"/>
        <v>Moderate</v>
      </c>
      <c r="K727">
        <v>4</v>
      </c>
      <c r="L727" t="s">
        <v>50</v>
      </c>
      <c r="M727">
        <v>3</v>
      </c>
      <c r="N727">
        <v>2</v>
      </c>
      <c r="O727">
        <v>1</v>
      </c>
      <c r="P727" t="s">
        <v>51</v>
      </c>
      <c r="Q727">
        <v>2</v>
      </c>
      <c r="R727" s="11">
        <v>622</v>
      </c>
      <c r="S727" s="14">
        <v>39</v>
      </c>
      <c r="T727" s="13">
        <v>3743</v>
      </c>
      <c r="U727" s="13">
        <f t="shared" si="56"/>
        <v>44916</v>
      </c>
      <c r="V727" s="14">
        <v>10074</v>
      </c>
      <c r="W727">
        <v>1</v>
      </c>
      <c r="X727" s="8" t="s">
        <v>38</v>
      </c>
      <c r="Y727" s="15">
        <v>0.24</v>
      </c>
      <c r="Z727">
        <v>4</v>
      </c>
      <c r="AA727">
        <v>4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 t="str">
        <f t="shared" si="57"/>
        <v>0-3</v>
      </c>
      <c r="AI727">
        <v>0</v>
      </c>
      <c r="AJ727" t="str">
        <f t="shared" si="58"/>
        <v>0-2</v>
      </c>
      <c r="AK727">
        <v>2</v>
      </c>
    </row>
    <row r="728" spans="1:37" x14ac:dyDescent="0.25">
      <c r="A728" s="8">
        <v>727</v>
      </c>
      <c r="B728" t="s">
        <v>52</v>
      </c>
      <c r="C728" t="s">
        <v>45</v>
      </c>
      <c r="D728" s="8">
        <v>31</v>
      </c>
      <c r="E728" t="str">
        <f t="shared" si="59"/>
        <v>26-35</v>
      </c>
      <c r="F728" t="s">
        <v>46</v>
      </c>
      <c r="G728" t="s">
        <v>47</v>
      </c>
      <c r="H728" s="8" t="s">
        <v>48</v>
      </c>
      <c r="I728" s="10">
        <v>1</v>
      </c>
      <c r="J728" t="str">
        <f t="shared" si="55"/>
        <v>Near</v>
      </c>
      <c r="K728">
        <v>1</v>
      </c>
      <c r="L728" t="s">
        <v>41</v>
      </c>
      <c r="M728">
        <v>3</v>
      </c>
      <c r="N728">
        <v>3</v>
      </c>
      <c r="O728">
        <v>2</v>
      </c>
      <c r="P728" t="s">
        <v>55</v>
      </c>
      <c r="Q728">
        <v>1</v>
      </c>
      <c r="R728" s="11">
        <v>853</v>
      </c>
      <c r="S728" s="14">
        <v>96</v>
      </c>
      <c r="T728" s="13">
        <v>4148</v>
      </c>
      <c r="U728" s="13">
        <f t="shared" si="56"/>
        <v>49776</v>
      </c>
      <c r="V728" s="14">
        <v>11275</v>
      </c>
      <c r="W728">
        <v>1</v>
      </c>
      <c r="X728" s="8" t="s">
        <v>46</v>
      </c>
      <c r="Y728" s="15">
        <v>0.12</v>
      </c>
      <c r="Z728">
        <v>3</v>
      </c>
      <c r="AA728">
        <v>3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 t="str">
        <f t="shared" si="57"/>
        <v>0-3</v>
      </c>
      <c r="AI728">
        <v>0</v>
      </c>
      <c r="AJ728" t="str">
        <f t="shared" si="58"/>
        <v>0-2</v>
      </c>
      <c r="AK728">
        <v>3</v>
      </c>
    </row>
    <row r="729" spans="1:37" x14ac:dyDescent="0.25">
      <c r="A729" s="8">
        <v>728</v>
      </c>
      <c r="B729" t="s">
        <v>44</v>
      </c>
      <c r="C729" t="s">
        <v>37</v>
      </c>
      <c r="D729" s="8">
        <v>18</v>
      </c>
      <c r="E729" t="str">
        <f t="shared" si="59"/>
        <v>18-25</v>
      </c>
      <c r="F729" t="s">
        <v>46</v>
      </c>
      <c r="G729" t="s">
        <v>58</v>
      </c>
      <c r="H729" s="8" t="s">
        <v>48</v>
      </c>
      <c r="I729" s="10">
        <v>5</v>
      </c>
      <c r="J729" t="str">
        <f t="shared" si="55"/>
        <v>Near</v>
      </c>
      <c r="K729">
        <v>2</v>
      </c>
      <c r="L729" t="s">
        <v>41</v>
      </c>
      <c r="M729">
        <v>2</v>
      </c>
      <c r="N729">
        <v>3</v>
      </c>
      <c r="O729">
        <v>1</v>
      </c>
      <c r="P729" t="s">
        <v>49</v>
      </c>
      <c r="Q729">
        <v>4</v>
      </c>
      <c r="R729" s="11">
        <v>287</v>
      </c>
      <c r="S729" s="14">
        <v>73</v>
      </c>
      <c r="T729" s="13">
        <v>1051</v>
      </c>
      <c r="U729" s="13">
        <f t="shared" si="56"/>
        <v>12612</v>
      </c>
      <c r="V729" s="14">
        <v>13493</v>
      </c>
      <c r="W729">
        <v>1</v>
      </c>
      <c r="X729" s="8" t="s">
        <v>46</v>
      </c>
      <c r="Y729" s="15">
        <v>0.15</v>
      </c>
      <c r="Z729">
        <v>3</v>
      </c>
      <c r="AA729">
        <v>4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 t="str">
        <f t="shared" si="57"/>
        <v>0-3</v>
      </c>
      <c r="AI729">
        <v>0</v>
      </c>
      <c r="AJ729" t="str">
        <f t="shared" si="58"/>
        <v>0-2</v>
      </c>
      <c r="AK729">
        <v>0</v>
      </c>
    </row>
    <row r="730" spans="1:37" x14ac:dyDescent="0.25">
      <c r="A730" s="8">
        <v>729</v>
      </c>
      <c r="B730" t="s">
        <v>52</v>
      </c>
      <c r="C730" t="s">
        <v>45</v>
      </c>
      <c r="D730" s="8">
        <v>54</v>
      </c>
      <c r="E730" t="str">
        <f t="shared" si="59"/>
        <v>46-55</v>
      </c>
      <c r="F730" t="s">
        <v>46</v>
      </c>
      <c r="G730" t="s">
        <v>39</v>
      </c>
      <c r="H730" s="8" t="s">
        <v>48</v>
      </c>
      <c r="I730" s="10">
        <v>17</v>
      </c>
      <c r="J730" t="str">
        <f t="shared" si="55"/>
        <v>Far</v>
      </c>
      <c r="K730">
        <v>3</v>
      </c>
      <c r="L730" t="s">
        <v>63</v>
      </c>
      <c r="M730">
        <v>3</v>
      </c>
      <c r="N730">
        <v>3</v>
      </c>
      <c r="O730">
        <v>3</v>
      </c>
      <c r="P730" t="s">
        <v>55</v>
      </c>
      <c r="Q730">
        <v>3</v>
      </c>
      <c r="R730" s="11">
        <v>1441</v>
      </c>
      <c r="S730" s="14">
        <v>56</v>
      </c>
      <c r="T730" s="13">
        <v>10739</v>
      </c>
      <c r="U730" s="13">
        <f t="shared" si="56"/>
        <v>128868</v>
      </c>
      <c r="V730" s="14">
        <v>13943</v>
      </c>
      <c r="W730">
        <v>8</v>
      </c>
      <c r="X730" s="8" t="s">
        <v>46</v>
      </c>
      <c r="Y730" s="15">
        <v>0.11</v>
      </c>
      <c r="Z730">
        <v>3</v>
      </c>
      <c r="AA730">
        <v>3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 t="str">
        <f t="shared" si="57"/>
        <v>4-7</v>
      </c>
      <c r="AI730">
        <v>0</v>
      </c>
      <c r="AJ730" t="str">
        <f t="shared" si="58"/>
        <v>0-2</v>
      </c>
      <c r="AK730">
        <v>8</v>
      </c>
    </row>
    <row r="731" spans="1:37" x14ac:dyDescent="0.25">
      <c r="A731" s="8">
        <v>730</v>
      </c>
      <c r="B731" t="s">
        <v>52</v>
      </c>
      <c r="C731" t="s">
        <v>54</v>
      </c>
      <c r="D731" s="8">
        <v>35</v>
      </c>
      <c r="E731" t="str">
        <f t="shared" si="59"/>
        <v>26-35</v>
      </c>
      <c r="F731" t="s">
        <v>46</v>
      </c>
      <c r="G731" t="s">
        <v>39</v>
      </c>
      <c r="H731" s="8" t="s">
        <v>48</v>
      </c>
      <c r="I731" s="10">
        <v>25</v>
      </c>
      <c r="J731" t="str">
        <f t="shared" si="55"/>
        <v>Far</v>
      </c>
      <c r="K731">
        <v>4</v>
      </c>
      <c r="L731" t="s">
        <v>53</v>
      </c>
      <c r="M731">
        <v>3</v>
      </c>
      <c r="N731">
        <v>3</v>
      </c>
      <c r="O731">
        <v>3</v>
      </c>
      <c r="P731" t="s">
        <v>56</v>
      </c>
      <c r="Q731">
        <v>3</v>
      </c>
      <c r="R731" s="11">
        <v>583</v>
      </c>
      <c r="S731" s="14">
        <v>57</v>
      </c>
      <c r="T731" s="13">
        <v>10388</v>
      </c>
      <c r="U731" s="13">
        <f t="shared" si="56"/>
        <v>124656</v>
      </c>
      <c r="V731" s="14">
        <v>6975</v>
      </c>
      <c r="W731">
        <v>1</v>
      </c>
      <c r="X731" s="8" t="s">
        <v>38</v>
      </c>
      <c r="Y731" s="15">
        <v>0.11</v>
      </c>
      <c r="Z731">
        <v>3</v>
      </c>
      <c r="AA731">
        <v>3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 t="str">
        <f t="shared" si="57"/>
        <v>8-11</v>
      </c>
      <c r="AI731">
        <v>10</v>
      </c>
      <c r="AJ731" t="str">
        <f t="shared" si="58"/>
        <v>9-11</v>
      </c>
      <c r="AK731">
        <v>1</v>
      </c>
    </row>
    <row r="732" spans="1:37" x14ac:dyDescent="0.25">
      <c r="A732" s="8">
        <v>731</v>
      </c>
      <c r="B732" t="s">
        <v>52</v>
      </c>
      <c r="C732" t="s">
        <v>45</v>
      </c>
      <c r="D732" s="8">
        <v>30</v>
      </c>
      <c r="E732" t="str">
        <f t="shared" si="59"/>
        <v>26-35</v>
      </c>
      <c r="F732" t="s">
        <v>46</v>
      </c>
      <c r="G732" t="s">
        <v>39</v>
      </c>
      <c r="H732" s="8" t="s">
        <v>48</v>
      </c>
      <c r="I732" s="10">
        <v>8</v>
      </c>
      <c r="J732" t="str">
        <f t="shared" si="55"/>
        <v>Moderate</v>
      </c>
      <c r="K732">
        <v>2</v>
      </c>
      <c r="L732" t="s">
        <v>41</v>
      </c>
      <c r="M732">
        <v>2</v>
      </c>
      <c r="N732">
        <v>4</v>
      </c>
      <c r="O732">
        <v>3</v>
      </c>
      <c r="P732" t="s">
        <v>61</v>
      </c>
      <c r="Q732">
        <v>1</v>
      </c>
      <c r="R732" s="11">
        <v>153</v>
      </c>
      <c r="S732" s="14">
        <v>73</v>
      </c>
      <c r="T732" s="13">
        <v>11416</v>
      </c>
      <c r="U732" s="13">
        <f t="shared" si="56"/>
        <v>136992</v>
      </c>
      <c r="V732" s="14">
        <v>17802</v>
      </c>
      <c r="W732">
        <v>0</v>
      </c>
      <c r="X732" s="8" t="s">
        <v>38</v>
      </c>
      <c r="Y732" s="15">
        <v>0.12</v>
      </c>
      <c r="Z732">
        <v>3</v>
      </c>
      <c r="AA732">
        <v>3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 t="str">
        <f t="shared" si="57"/>
        <v>4-7</v>
      </c>
      <c r="AI732">
        <v>1</v>
      </c>
      <c r="AJ732" t="str">
        <f t="shared" si="58"/>
        <v>0-2</v>
      </c>
      <c r="AK732">
        <v>7</v>
      </c>
    </row>
    <row r="733" spans="1:37" x14ac:dyDescent="0.25">
      <c r="A733" s="8">
        <v>732</v>
      </c>
      <c r="B733" t="s">
        <v>52</v>
      </c>
      <c r="C733" t="s">
        <v>37</v>
      </c>
      <c r="D733" s="8">
        <v>20</v>
      </c>
      <c r="E733" t="str">
        <f t="shared" si="59"/>
        <v>18-25</v>
      </c>
      <c r="F733" t="s">
        <v>38</v>
      </c>
      <c r="G733" t="s">
        <v>39</v>
      </c>
      <c r="H733" s="8" t="s">
        <v>48</v>
      </c>
      <c r="I733" s="10">
        <v>11</v>
      </c>
      <c r="J733" t="str">
        <f t="shared" si="55"/>
        <v>Moderate</v>
      </c>
      <c r="K733">
        <v>3</v>
      </c>
      <c r="L733" t="s">
        <v>53</v>
      </c>
      <c r="M733">
        <v>4</v>
      </c>
      <c r="N733">
        <v>2</v>
      </c>
      <c r="O733">
        <v>1</v>
      </c>
      <c r="P733" t="s">
        <v>49</v>
      </c>
      <c r="Q733">
        <v>1</v>
      </c>
      <c r="R733" s="11">
        <v>1097</v>
      </c>
      <c r="S733" s="14">
        <v>98</v>
      </c>
      <c r="T733" s="13">
        <v>2600</v>
      </c>
      <c r="U733" s="13">
        <f t="shared" si="56"/>
        <v>31200</v>
      </c>
      <c r="V733" s="14">
        <v>18275</v>
      </c>
      <c r="W733">
        <v>1</v>
      </c>
      <c r="X733" s="8" t="s">
        <v>38</v>
      </c>
      <c r="Y733" s="15">
        <v>0.15</v>
      </c>
      <c r="Z733">
        <v>3</v>
      </c>
      <c r="AA733">
        <v>1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 t="str">
        <f t="shared" si="57"/>
        <v>0-3</v>
      </c>
      <c r="AI733">
        <v>0</v>
      </c>
      <c r="AJ733" t="str">
        <f t="shared" si="58"/>
        <v>0-2</v>
      </c>
      <c r="AK733">
        <v>0</v>
      </c>
    </row>
    <row r="734" spans="1:37" x14ac:dyDescent="0.25">
      <c r="A734" s="8">
        <v>733</v>
      </c>
      <c r="B734" t="s">
        <v>52</v>
      </c>
      <c r="C734" t="s">
        <v>37</v>
      </c>
      <c r="D734" s="8">
        <v>30</v>
      </c>
      <c r="E734" t="str">
        <f t="shared" si="59"/>
        <v>26-35</v>
      </c>
      <c r="F734" t="s">
        <v>38</v>
      </c>
      <c r="G734" t="s">
        <v>47</v>
      </c>
      <c r="H734" s="8" t="s">
        <v>48</v>
      </c>
      <c r="I734" s="10">
        <v>5</v>
      </c>
      <c r="J734" t="str">
        <f t="shared" si="55"/>
        <v>Near</v>
      </c>
      <c r="K734">
        <v>3</v>
      </c>
      <c r="L734" t="s">
        <v>53</v>
      </c>
      <c r="M734">
        <v>2</v>
      </c>
      <c r="N734">
        <v>3</v>
      </c>
      <c r="O734">
        <v>1</v>
      </c>
      <c r="P734" t="s">
        <v>51</v>
      </c>
      <c r="Q734">
        <v>2</v>
      </c>
      <c r="R734" s="11">
        <v>109</v>
      </c>
      <c r="S734" s="14">
        <v>60</v>
      </c>
      <c r="T734" s="13">
        <v>2422</v>
      </c>
      <c r="U734" s="13">
        <f t="shared" si="56"/>
        <v>29064</v>
      </c>
      <c r="V734" s="14">
        <v>25725</v>
      </c>
      <c r="W734">
        <v>0</v>
      </c>
      <c r="X734" s="8" t="s">
        <v>46</v>
      </c>
      <c r="Y734" s="15">
        <v>0.17</v>
      </c>
      <c r="Z734">
        <v>3</v>
      </c>
      <c r="AA734">
        <v>1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 t="str">
        <f t="shared" si="57"/>
        <v>0-3</v>
      </c>
      <c r="AI734">
        <v>1</v>
      </c>
      <c r="AJ734" t="str">
        <f t="shared" si="58"/>
        <v>0-2</v>
      </c>
      <c r="AK734">
        <v>2</v>
      </c>
    </row>
    <row r="735" spans="1:37" x14ac:dyDescent="0.25">
      <c r="A735" s="8">
        <v>734</v>
      </c>
      <c r="B735" t="s">
        <v>44</v>
      </c>
      <c r="C735" t="s">
        <v>45</v>
      </c>
      <c r="D735" s="8">
        <v>26</v>
      </c>
      <c r="E735" t="str">
        <f t="shared" si="59"/>
        <v>26-35</v>
      </c>
      <c r="F735" t="s">
        <v>46</v>
      </c>
      <c r="G735" t="s">
        <v>39</v>
      </c>
      <c r="H735" s="8" t="s">
        <v>48</v>
      </c>
      <c r="I735" s="10">
        <v>2</v>
      </c>
      <c r="J735" t="str">
        <f t="shared" si="55"/>
        <v>Near</v>
      </c>
      <c r="K735">
        <v>2</v>
      </c>
      <c r="L735" t="s">
        <v>53</v>
      </c>
      <c r="M735">
        <v>4</v>
      </c>
      <c r="N735">
        <v>4</v>
      </c>
      <c r="O735">
        <v>2</v>
      </c>
      <c r="P735" t="s">
        <v>55</v>
      </c>
      <c r="Q735">
        <v>4</v>
      </c>
      <c r="R735" s="11">
        <v>1066</v>
      </c>
      <c r="S735" s="14">
        <v>32</v>
      </c>
      <c r="T735" s="13">
        <v>5472</v>
      </c>
      <c r="U735" s="13">
        <f t="shared" si="56"/>
        <v>65664</v>
      </c>
      <c r="V735" s="14">
        <v>3334</v>
      </c>
      <c r="W735">
        <v>1</v>
      </c>
      <c r="X735" s="8" t="s">
        <v>46</v>
      </c>
      <c r="Y735" s="15">
        <v>0.12</v>
      </c>
      <c r="Z735">
        <v>3</v>
      </c>
      <c r="AA735">
        <v>2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 t="str">
        <f t="shared" si="57"/>
        <v>4-7</v>
      </c>
      <c r="AI735">
        <v>1</v>
      </c>
      <c r="AJ735" t="str">
        <f t="shared" si="58"/>
        <v>0-2</v>
      </c>
      <c r="AK735">
        <v>3</v>
      </c>
    </row>
    <row r="736" spans="1:37" x14ac:dyDescent="0.25">
      <c r="A736" s="8">
        <v>735</v>
      </c>
      <c r="B736" t="s">
        <v>44</v>
      </c>
      <c r="C736" t="s">
        <v>45</v>
      </c>
      <c r="D736" s="8">
        <v>22</v>
      </c>
      <c r="E736" t="str">
        <f t="shared" si="59"/>
        <v>18-25</v>
      </c>
      <c r="F736" t="s">
        <v>46</v>
      </c>
      <c r="G736" t="s">
        <v>39</v>
      </c>
      <c r="H736" s="8" t="s">
        <v>48</v>
      </c>
      <c r="I736" s="10">
        <v>8</v>
      </c>
      <c r="J736" t="str">
        <f t="shared" si="55"/>
        <v>Moderate</v>
      </c>
      <c r="K736">
        <v>1</v>
      </c>
      <c r="L736" t="s">
        <v>41</v>
      </c>
      <c r="M736">
        <v>2</v>
      </c>
      <c r="N736">
        <v>1</v>
      </c>
      <c r="O736">
        <v>1</v>
      </c>
      <c r="P736" t="s">
        <v>51</v>
      </c>
      <c r="Q736">
        <v>1</v>
      </c>
      <c r="R736" s="11">
        <v>217</v>
      </c>
      <c r="S736" s="14">
        <v>94</v>
      </c>
      <c r="T736" s="13">
        <v>2451</v>
      </c>
      <c r="U736" s="13">
        <f t="shared" si="56"/>
        <v>29412</v>
      </c>
      <c r="V736" s="14">
        <v>6881</v>
      </c>
      <c r="W736">
        <v>1</v>
      </c>
      <c r="X736" s="8" t="s">
        <v>46</v>
      </c>
      <c r="Y736" s="15">
        <v>0.15</v>
      </c>
      <c r="Z736">
        <v>3</v>
      </c>
      <c r="AA736">
        <v>1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 t="str">
        <f t="shared" si="57"/>
        <v>0-3</v>
      </c>
      <c r="AI736">
        <v>1</v>
      </c>
      <c r="AJ736" t="str">
        <f t="shared" si="58"/>
        <v>0-2</v>
      </c>
      <c r="AK736">
        <v>1</v>
      </c>
    </row>
    <row r="737" spans="1:37" x14ac:dyDescent="0.25">
      <c r="A737" s="8">
        <v>736</v>
      </c>
      <c r="B737" t="s">
        <v>44</v>
      </c>
      <c r="C737" t="s">
        <v>37</v>
      </c>
      <c r="D737" s="8">
        <v>48</v>
      </c>
      <c r="E737" t="str">
        <f t="shared" si="59"/>
        <v>46-55</v>
      </c>
      <c r="F737" t="s">
        <v>46</v>
      </c>
      <c r="G737" t="s">
        <v>39</v>
      </c>
      <c r="H737" s="8" t="s">
        <v>48</v>
      </c>
      <c r="I737" s="10">
        <v>6</v>
      </c>
      <c r="J737" t="str">
        <f t="shared" si="55"/>
        <v>Moderate</v>
      </c>
      <c r="K737">
        <v>3</v>
      </c>
      <c r="L737" t="s">
        <v>41</v>
      </c>
      <c r="M737">
        <v>1</v>
      </c>
      <c r="N737">
        <v>2</v>
      </c>
      <c r="O737">
        <v>2</v>
      </c>
      <c r="P737" t="s">
        <v>56</v>
      </c>
      <c r="Q737">
        <v>3</v>
      </c>
      <c r="R737" s="11">
        <v>277</v>
      </c>
      <c r="S737" s="14">
        <v>97</v>
      </c>
      <c r="T737" s="13">
        <v>4240</v>
      </c>
      <c r="U737" s="13">
        <f t="shared" si="56"/>
        <v>50880</v>
      </c>
      <c r="V737" s="14">
        <v>13119</v>
      </c>
      <c r="W737">
        <v>2</v>
      </c>
      <c r="X737" s="8" t="s">
        <v>46</v>
      </c>
      <c r="Y737" s="15">
        <v>0.13</v>
      </c>
      <c r="Z737">
        <v>3</v>
      </c>
      <c r="AA737">
        <v>4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 t="str">
        <f t="shared" si="57"/>
        <v>0-3</v>
      </c>
      <c r="AI737">
        <v>2</v>
      </c>
      <c r="AJ737" t="str">
        <f t="shared" si="58"/>
        <v>0-2</v>
      </c>
      <c r="AK737">
        <v>2</v>
      </c>
    </row>
    <row r="738" spans="1:37" x14ac:dyDescent="0.25">
      <c r="A738" s="8">
        <v>737</v>
      </c>
      <c r="B738" t="s">
        <v>44</v>
      </c>
      <c r="C738" t="s">
        <v>37</v>
      </c>
      <c r="D738" s="8">
        <v>48</v>
      </c>
      <c r="E738" t="str">
        <f t="shared" si="59"/>
        <v>46-55</v>
      </c>
      <c r="F738" t="s">
        <v>46</v>
      </c>
      <c r="G738" t="s">
        <v>39</v>
      </c>
      <c r="H738" s="8" t="s">
        <v>48</v>
      </c>
      <c r="I738" s="10">
        <v>4</v>
      </c>
      <c r="J738" t="str">
        <f t="shared" si="55"/>
        <v>Near</v>
      </c>
      <c r="K738">
        <v>4</v>
      </c>
      <c r="L738" t="s">
        <v>41</v>
      </c>
      <c r="M738">
        <v>3</v>
      </c>
      <c r="N738">
        <v>2</v>
      </c>
      <c r="O738">
        <v>3</v>
      </c>
      <c r="P738" t="s">
        <v>56</v>
      </c>
      <c r="Q738">
        <v>3</v>
      </c>
      <c r="R738" s="11">
        <v>1355</v>
      </c>
      <c r="S738" s="14">
        <v>78</v>
      </c>
      <c r="T738" s="13">
        <v>10999</v>
      </c>
      <c r="U738" s="13">
        <f t="shared" si="56"/>
        <v>131988</v>
      </c>
      <c r="V738" s="14">
        <v>22245</v>
      </c>
      <c r="W738">
        <v>7</v>
      </c>
      <c r="X738" s="8" t="s">
        <v>46</v>
      </c>
      <c r="Y738" s="15">
        <v>0.14000000000000001</v>
      </c>
      <c r="Z738">
        <v>3</v>
      </c>
      <c r="AA738">
        <v>2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 t="str">
        <f t="shared" si="57"/>
        <v>8-11</v>
      </c>
      <c r="AI738">
        <v>4</v>
      </c>
      <c r="AJ738" t="str">
        <f t="shared" si="58"/>
        <v>3-5</v>
      </c>
      <c r="AK738">
        <v>8</v>
      </c>
    </row>
    <row r="739" spans="1:37" x14ac:dyDescent="0.25">
      <c r="A739" s="8">
        <v>738</v>
      </c>
      <c r="B739" t="s">
        <v>52</v>
      </c>
      <c r="C739" t="s">
        <v>37</v>
      </c>
      <c r="D739" s="8">
        <v>41</v>
      </c>
      <c r="E739" t="str">
        <f t="shared" si="59"/>
        <v>36-45</v>
      </c>
      <c r="F739" t="s">
        <v>46</v>
      </c>
      <c r="G739" t="s">
        <v>39</v>
      </c>
      <c r="H739" s="8" t="s">
        <v>48</v>
      </c>
      <c r="I739" s="10">
        <v>7</v>
      </c>
      <c r="J739" t="str">
        <f t="shared" si="55"/>
        <v>Moderate</v>
      </c>
      <c r="K739">
        <v>2</v>
      </c>
      <c r="L739" t="s">
        <v>53</v>
      </c>
      <c r="M739">
        <v>4</v>
      </c>
      <c r="N739">
        <v>3</v>
      </c>
      <c r="O739">
        <v>2</v>
      </c>
      <c r="P739" t="s">
        <v>55</v>
      </c>
      <c r="Q739">
        <v>3</v>
      </c>
      <c r="R739" s="11">
        <v>549</v>
      </c>
      <c r="S739" s="14">
        <v>42</v>
      </c>
      <c r="T739" s="13">
        <v>5003</v>
      </c>
      <c r="U739" s="13">
        <f t="shared" si="56"/>
        <v>60036</v>
      </c>
      <c r="V739" s="14">
        <v>23371</v>
      </c>
      <c r="W739">
        <v>6</v>
      </c>
      <c r="X739" s="8" t="s">
        <v>46</v>
      </c>
      <c r="Y739" s="15">
        <v>0.14000000000000001</v>
      </c>
      <c r="Z739">
        <v>3</v>
      </c>
      <c r="AA739">
        <v>2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 t="str">
        <f t="shared" si="57"/>
        <v>0-3</v>
      </c>
      <c r="AI739">
        <v>2</v>
      </c>
      <c r="AJ739" t="str">
        <f t="shared" si="58"/>
        <v>0-2</v>
      </c>
      <c r="AK739">
        <v>1</v>
      </c>
    </row>
    <row r="740" spans="1:37" x14ac:dyDescent="0.25">
      <c r="A740" s="8">
        <v>739</v>
      </c>
      <c r="B740" t="s">
        <v>52</v>
      </c>
      <c r="C740" t="s">
        <v>45</v>
      </c>
      <c r="D740" s="8">
        <v>39</v>
      </c>
      <c r="E740" t="str">
        <f t="shared" si="59"/>
        <v>36-45</v>
      </c>
      <c r="F740" t="s">
        <v>46</v>
      </c>
      <c r="G740" t="s">
        <v>39</v>
      </c>
      <c r="H740" s="8" t="s">
        <v>48</v>
      </c>
      <c r="I740" s="10">
        <v>1</v>
      </c>
      <c r="J740" t="str">
        <f t="shared" si="55"/>
        <v>Near</v>
      </c>
      <c r="K740">
        <v>1</v>
      </c>
      <c r="L740" t="s">
        <v>41</v>
      </c>
      <c r="M740">
        <v>4</v>
      </c>
      <c r="N740">
        <v>2</v>
      </c>
      <c r="O740">
        <v>4</v>
      </c>
      <c r="P740" t="s">
        <v>55</v>
      </c>
      <c r="Q740">
        <v>4</v>
      </c>
      <c r="R740" s="11">
        <v>466</v>
      </c>
      <c r="S740" s="14">
        <v>65</v>
      </c>
      <c r="T740" s="13">
        <v>12742</v>
      </c>
      <c r="U740" s="13">
        <f t="shared" si="56"/>
        <v>152904</v>
      </c>
      <c r="V740" s="14">
        <v>7060</v>
      </c>
      <c r="W740">
        <v>1</v>
      </c>
      <c r="X740" s="8" t="s">
        <v>46</v>
      </c>
      <c r="Y740" s="15">
        <v>0.16</v>
      </c>
      <c r="Z740">
        <v>3</v>
      </c>
      <c r="AA740">
        <v>3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 t="str">
        <f t="shared" si="57"/>
        <v>4-7</v>
      </c>
      <c r="AI740">
        <v>11</v>
      </c>
      <c r="AJ740" t="str">
        <f t="shared" si="58"/>
        <v>9-11</v>
      </c>
      <c r="AK740">
        <v>8</v>
      </c>
    </row>
    <row r="741" spans="1:37" x14ac:dyDescent="0.25">
      <c r="A741" s="8">
        <v>740</v>
      </c>
      <c r="B741" t="s">
        <v>52</v>
      </c>
      <c r="C741" t="s">
        <v>45</v>
      </c>
      <c r="D741" s="8">
        <v>27</v>
      </c>
      <c r="E741" t="str">
        <f t="shared" si="59"/>
        <v>26-35</v>
      </c>
      <c r="F741" t="s">
        <v>46</v>
      </c>
      <c r="G741" t="s">
        <v>39</v>
      </c>
      <c r="H741" s="8" t="s">
        <v>48</v>
      </c>
      <c r="I741" s="10">
        <v>2</v>
      </c>
      <c r="J741" t="str">
        <f t="shared" si="55"/>
        <v>Near</v>
      </c>
      <c r="K741">
        <v>4</v>
      </c>
      <c r="L741" t="s">
        <v>41</v>
      </c>
      <c r="M741">
        <v>1</v>
      </c>
      <c r="N741">
        <v>3</v>
      </c>
      <c r="O741">
        <v>2</v>
      </c>
      <c r="P741" t="s">
        <v>55</v>
      </c>
      <c r="Q741">
        <v>4</v>
      </c>
      <c r="R741" s="11">
        <v>1055</v>
      </c>
      <c r="S741" s="14">
        <v>47</v>
      </c>
      <c r="T741" s="13">
        <v>4227</v>
      </c>
      <c r="U741" s="13">
        <f t="shared" si="56"/>
        <v>50724</v>
      </c>
      <c r="V741" s="14">
        <v>4658</v>
      </c>
      <c r="W741">
        <v>0</v>
      </c>
      <c r="X741" s="8" t="s">
        <v>46</v>
      </c>
      <c r="Y741" s="15">
        <v>0.18</v>
      </c>
      <c r="Z741">
        <v>3</v>
      </c>
      <c r="AA741">
        <v>2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 t="str">
        <f t="shared" si="57"/>
        <v>0-3</v>
      </c>
      <c r="AI741">
        <v>2</v>
      </c>
      <c r="AJ741" t="str">
        <f t="shared" si="58"/>
        <v>0-2</v>
      </c>
      <c r="AK741">
        <v>2</v>
      </c>
    </row>
    <row r="742" spans="1:37" x14ac:dyDescent="0.25">
      <c r="A742" s="8">
        <v>741</v>
      </c>
      <c r="B742" t="s">
        <v>44</v>
      </c>
      <c r="C742" t="s">
        <v>54</v>
      </c>
      <c r="D742" s="8">
        <v>35</v>
      </c>
      <c r="E742" t="str">
        <f t="shared" si="59"/>
        <v>26-35</v>
      </c>
      <c r="F742" t="s">
        <v>46</v>
      </c>
      <c r="G742" t="s">
        <v>39</v>
      </c>
      <c r="H742" s="8" t="s">
        <v>48</v>
      </c>
      <c r="I742" s="10">
        <v>10</v>
      </c>
      <c r="J742" t="str">
        <f t="shared" si="55"/>
        <v>Moderate</v>
      </c>
      <c r="K742">
        <v>3</v>
      </c>
      <c r="L742" t="s">
        <v>50</v>
      </c>
      <c r="M742">
        <v>2</v>
      </c>
      <c r="N742">
        <v>3</v>
      </c>
      <c r="O742">
        <v>1</v>
      </c>
      <c r="P742" t="s">
        <v>51</v>
      </c>
      <c r="Q742">
        <v>4</v>
      </c>
      <c r="R742" s="11">
        <v>802</v>
      </c>
      <c r="S742" s="14">
        <v>45</v>
      </c>
      <c r="T742" s="13">
        <v>3917</v>
      </c>
      <c r="U742" s="13">
        <f t="shared" si="56"/>
        <v>47004</v>
      </c>
      <c r="V742" s="14">
        <v>9541</v>
      </c>
      <c r="W742">
        <v>1</v>
      </c>
      <c r="X742" s="8" t="s">
        <v>46</v>
      </c>
      <c r="Y742" s="15">
        <v>0.2</v>
      </c>
      <c r="Z742">
        <v>4</v>
      </c>
      <c r="AA742">
        <v>1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 t="str">
        <f t="shared" si="57"/>
        <v>0-3</v>
      </c>
      <c r="AI742">
        <v>1</v>
      </c>
      <c r="AJ742" t="str">
        <f t="shared" si="58"/>
        <v>0-2</v>
      </c>
      <c r="AK742">
        <v>2</v>
      </c>
    </row>
    <row r="743" spans="1:37" x14ac:dyDescent="0.25">
      <c r="A743" s="8">
        <v>742</v>
      </c>
      <c r="B743" t="s">
        <v>44</v>
      </c>
      <c r="C743" t="s">
        <v>45</v>
      </c>
      <c r="D743" s="8">
        <v>42</v>
      </c>
      <c r="E743" t="str">
        <f t="shared" si="59"/>
        <v>36-45</v>
      </c>
      <c r="F743" t="s">
        <v>46</v>
      </c>
      <c r="G743" t="s">
        <v>39</v>
      </c>
      <c r="H743" s="8" t="s">
        <v>40</v>
      </c>
      <c r="I743" s="10">
        <v>5</v>
      </c>
      <c r="J743" t="str">
        <f t="shared" si="55"/>
        <v>Near</v>
      </c>
      <c r="K743">
        <v>2</v>
      </c>
      <c r="L743" t="s">
        <v>62</v>
      </c>
      <c r="M743">
        <v>4</v>
      </c>
      <c r="N743">
        <v>3</v>
      </c>
      <c r="O743">
        <v>5</v>
      </c>
      <c r="P743" t="s">
        <v>59</v>
      </c>
      <c r="Q743">
        <v>3</v>
      </c>
      <c r="R743" s="11">
        <v>265</v>
      </c>
      <c r="S743" s="14">
        <v>90</v>
      </c>
      <c r="T743" s="13">
        <v>18303</v>
      </c>
      <c r="U743" s="13">
        <f t="shared" si="56"/>
        <v>219636</v>
      </c>
      <c r="V743" s="14">
        <v>7770</v>
      </c>
      <c r="W743">
        <v>6</v>
      </c>
      <c r="X743" s="8" t="s">
        <v>46</v>
      </c>
      <c r="Y743" s="15">
        <v>0.13</v>
      </c>
      <c r="Z743">
        <v>3</v>
      </c>
      <c r="AA743">
        <v>2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 t="str">
        <f t="shared" si="57"/>
        <v>0-3</v>
      </c>
      <c r="AI743">
        <v>0</v>
      </c>
      <c r="AJ743" t="str">
        <f t="shared" si="58"/>
        <v>0-2</v>
      </c>
      <c r="AK743">
        <v>0</v>
      </c>
    </row>
    <row r="744" spans="1:37" x14ac:dyDescent="0.25">
      <c r="A744" s="8">
        <v>743</v>
      </c>
      <c r="B744" t="s">
        <v>44</v>
      </c>
      <c r="C744" t="s">
        <v>45</v>
      </c>
      <c r="D744" s="8">
        <v>50</v>
      </c>
      <c r="E744" t="str">
        <f t="shared" si="59"/>
        <v>46-55</v>
      </c>
      <c r="F744" t="s">
        <v>46</v>
      </c>
      <c r="G744" t="s">
        <v>39</v>
      </c>
      <c r="H744" s="8" t="s">
        <v>48</v>
      </c>
      <c r="I744" s="10">
        <v>9</v>
      </c>
      <c r="J744" t="str">
        <f t="shared" si="55"/>
        <v>Moderate</v>
      </c>
      <c r="K744">
        <v>3</v>
      </c>
      <c r="L744" t="s">
        <v>41</v>
      </c>
      <c r="M744">
        <v>1</v>
      </c>
      <c r="N744">
        <v>3</v>
      </c>
      <c r="O744">
        <v>1</v>
      </c>
      <c r="P744" t="s">
        <v>51</v>
      </c>
      <c r="Q744">
        <v>4</v>
      </c>
      <c r="R744" s="11">
        <v>804</v>
      </c>
      <c r="S744" s="14">
        <v>64</v>
      </c>
      <c r="T744" s="13">
        <v>2380</v>
      </c>
      <c r="U744" s="13">
        <f t="shared" si="56"/>
        <v>28560</v>
      </c>
      <c r="V744" s="14">
        <v>20165</v>
      </c>
      <c r="W744">
        <v>4</v>
      </c>
      <c r="X744" s="8" t="s">
        <v>46</v>
      </c>
      <c r="Y744" s="15">
        <v>0.18</v>
      </c>
      <c r="Z744">
        <v>3</v>
      </c>
      <c r="AA744">
        <v>2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 t="str">
        <f t="shared" si="57"/>
        <v>0-3</v>
      </c>
      <c r="AI744">
        <v>0</v>
      </c>
      <c r="AJ744" t="str">
        <f t="shared" si="58"/>
        <v>0-2</v>
      </c>
      <c r="AK744">
        <v>0</v>
      </c>
    </row>
    <row r="745" spans="1:37" x14ac:dyDescent="0.25">
      <c r="A745" s="8">
        <v>744</v>
      </c>
      <c r="B745" t="s">
        <v>52</v>
      </c>
      <c r="C745" t="s">
        <v>37</v>
      </c>
      <c r="D745" s="8">
        <v>59</v>
      </c>
      <c r="E745" t="str">
        <f t="shared" si="59"/>
        <v>55+</v>
      </c>
      <c r="F745" t="s">
        <v>46</v>
      </c>
      <c r="G745" t="s">
        <v>39</v>
      </c>
      <c r="H745" s="8" t="s">
        <v>48</v>
      </c>
      <c r="I745" s="10">
        <v>2</v>
      </c>
      <c r="J745" t="str">
        <f t="shared" si="55"/>
        <v>Near</v>
      </c>
      <c r="K745">
        <v>3</v>
      </c>
      <c r="L745" t="s">
        <v>41</v>
      </c>
      <c r="M745">
        <v>3</v>
      </c>
      <c r="N745">
        <v>2</v>
      </c>
      <c r="O745">
        <v>4</v>
      </c>
      <c r="P745" t="s">
        <v>55</v>
      </c>
      <c r="Q745">
        <v>4</v>
      </c>
      <c r="R745" s="11">
        <v>715</v>
      </c>
      <c r="S745" s="14">
        <v>69</v>
      </c>
      <c r="T745" s="13">
        <v>13726</v>
      </c>
      <c r="U745" s="13">
        <f t="shared" si="56"/>
        <v>164712</v>
      </c>
      <c r="V745" s="14">
        <v>21829</v>
      </c>
      <c r="W745">
        <v>3</v>
      </c>
      <c r="X745" s="8" t="s">
        <v>38</v>
      </c>
      <c r="Y745" s="15">
        <v>0.13</v>
      </c>
      <c r="Z745">
        <v>3</v>
      </c>
      <c r="AA745">
        <v>1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 t="str">
        <f t="shared" si="57"/>
        <v>0-3</v>
      </c>
      <c r="AI745">
        <v>4</v>
      </c>
      <c r="AJ745" t="str">
        <f t="shared" si="58"/>
        <v>3-5</v>
      </c>
      <c r="AK745">
        <v>3</v>
      </c>
    </row>
    <row r="746" spans="1:37" x14ac:dyDescent="0.25">
      <c r="A746" s="8">
        <v>745</v>
      </c>
      <c r="B746" t="s">
        <v>52</v>
      </c>
      <c r="C746" t="s">
        <v>45</v>
      </c>
      <c r="D746" s="8">
        <v>37</v>
      </c>
      <c r="E746" t="str">
        <f t="shared" si="59"/>
        <v>36-45</v>
      </c>
      <c r="F746" t="s">
        <v>38</v>
      </c>
      <c r="G746" t="s">
        <v>39</v>
      </c>
      <c r="H746" s="8" t="s">
        <v>48</v>
      </c>
      <c r="I746" s="10">
        <v>11</v>
      </c>
      <c r="J746" t="str">
        <f t="shared" si="55"/>
        <v>Moderate</v>
      </c>
      <c r="K746">
        <v>2</v>
      </c>
      <c r="L746" t="s">
        <v>53</v>
      </c>
      <c r="M746">
        <v>1</v>
      </c>
      <c r="N746">
        <v>1</v>
      </c>
      <c r="O746">
        <v>2</v>
      </c>
      <c r="P746" t="s">
        <v>56</v>
      </c>
      <c r="Q746">
        <v>2</v>
      </c>
      <c r="R746" s="11">
        <v>1141</v>
      </c>
      <c r="S746" s="14">
        <v>61</v>
      </c>
      <c r="T746" s="13">
        <v>4777</v>
      </c>
      <c r="U746" s="13">
        <f t="shared" si="56"/>
        <v>57324</v>
      </c>
      <c r="V746" s="14">
        <v>14382</v>
      </c>
      <c r="W746">
        <v>5</v>
      </c>
      <c r="X746" s="8" t="s">
        <v>46</v>
      </c>
      <c r="Y746" s="15">
        <v>0.15</v>
      </c>
      <c r="Z746">
        <v>3</v>
      </c>
      <c r="AA746">
        <v>1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 t="str">
        <f t="shared" si="57"/>
        <v>0-3</v>
      </c>
      <c r="AI746">
        <v>0</v>
      </c>
      <c r="AJ746" t="str">
        <f t="shared" si="58"/>
        <v>0-2</v>
      </c>
      <c r="AK746">
        <v>0</v>
      </c>
    </row>
    <row r="747" spans="1:37" x14ac:dyDescent="0.25">
      <c r="A747" s="8">
        <v>746</v>
      </c>
      <c r="B747" t="s">
        <v>44</v>
      </c>
      <c r="C747" t="s">
        <v>45</v>
      </c>
      <c r="D747" s="8">
        <v>55</v>
      </c>
      <c r="E747" t="str">
        <f t="shared" si="59"/>
        <v>46-55</v>
      </c>
      <c r="F747" t="s">
        <v>46</v>
      </c>
      <c r="G747" t="s">
        <v>47</v>
      </c>
      <c r="H747" s="8" t="s">
        <v>48</v>
      </c>
      <c r="I747" s="10">
        <v>18</v>
      </c>
      <c r="J747" t="str">
        <f t="shared" si="55"/>
        <v>Far</v>
      </c>
      <c r="K747">
        <v>4</v>
      </c>
      <c r="L747" t="s">
        <v>53</v>
      </c>
      <c r="M747">
        <v>3</v>
      </c>
      <c r="N747">
        <v>3</v>
      </c>
      <c r="O747">
        <v>2</v>
      </c>
      <c r="P747" t="s">
        <v>56</v>
      </c>
      <c r="Q747">
        <v>2</v>
      </c>
      <c r="R747" s="11">
        <v>135</v>
      </c>
      <c r="S747" s="14">
        <v>62</v>
      </c>
      <c r="T747" s="13">
        <v>6385</v>
      </c>
      <c r="U747" s="13">
        <f t="shared" si="56"/>
        <v>76620</v>
      </c>
      <c r="V747" s="14">
        <v>12992</v>
      </c>
      <c r="W747">
        <v>3</v>
      </c>
      <c r="X747" s="8" t="s">
        <v>38</v>
      </c>
      <c r="Y747" s="15">
        <v>0.14000000000000001</v>
      </c>
      <c r="Z747">
        <v>3</v>
      </c>
      <c r="AA747">
        <v>4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 t="str">
        <f t="shared" si="57"/>
        <v>4-7</v>
      </c>
      <c r="AI747">
        <v>6</v>
      </c>
      <c r="AJ747" t="str">
        <f t="shared" si="58"/>
        <v>6-8</v>
      </c>
      <c r="AK747">
        <v>7</v>
      </c>
    </row>
    <row r="748" spans="1:37" x14ac:dyDescent="0.25">
      <c r="A748" s="8">
        <v>747</v>
      </c>
      <c r="B748" t="s">
        <v>52</v>
      </c>
      <c r="C748" t="s">
        <v>54</v>
      </c>
      <c r="D748" s="8">
        <v>41</v>
      </c>
      <c r="E748" t="str">
        <f t="shared" si="59"/>
        <v>36-45</v>
      </c>
      <c r="F748" t="s">
        <v>46</v>
      </c>
      <c r="G748" t="s">
        <v>58</v>
      </c>
      <c r="H748" s="8" t="s">
        <v>48</v>
      </c>
      <c r="I748" s="10">
        <v>7</v>
      </c>
      <c r="J748" t="str">
        <f t="shared" si="55"/>
        <v>Moderate</v>
      </c>
      <c r="K748">
        <v>1</v>
      </c>
      <c r="L748" t="s">
        <v>41</v>
      </c>
      <c r="M748">
        <v>2</v>
      </c>
      <c r="N748">
        <v>1</v>
      </c>
      <c r="O748">
        <v>5</v>
      </c>
      <c r="P748" t="s">
        <v>61</v>
      </c>
      <c r="Q748">
        <v>3</v>
      </c>
      <c r="R748" s="11">
        <v>247</v>
      </c>
      <c r="S748" s="14">
        <v>55</v>
      </c>
      <c r="T748" s="13">
        <v>19973</v>
      </c>
      <c r="U748" s="13">
        <f t="shared" si="56"/>
        <v>239676</v>
      </c>
      <c r="V748" s="14">
        <v>20284</v>
      </c>
      <c r="W748">
        <v>1</v>
      </c>
      <c r="X748" s="8" t="s">
        <v>46</v>
      </c>
      <c r="Y748" s="15">
        <v>0.22</v>
      </c>
      <c r="Z748">
        <v>4</v>
      </c>
      <c r="AA748">
        <v>2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 t="str">
        <f t="shared" si="57"/>
        <v>16-19</v>
      </c>
      <c r="AI748">
        <v>5</v>
      </c>
      <c r="AJ748" t="str">
        <f t="shared" si="58"/>
        <v>3-5</v>
      </c>
      <c r="AK748">
        <v>10</v>
      </c>
    </row>
    <row r="749" spans="1:37" x14ac:dyDescent="0.25">
      <c r="A749" s="8">
        <v>748</v>
      </c>
      <c r="B749" t="s">
        <v>44</v>
      </c>
      <c r="C749" t="s">
        <v>37</v>
      </c>
      <c r="D749" s="8">
        <v>38</v>
      </c>
      <c r="E749" t="str">
        <f t="shared" si="59"/>
        <v>36-45</v>
      </c>
      <c r="F749" t="s">
        <v>46</v>
      </c>
      <c r="G749" t="s">
        <v>39</v>
      </c>
      <c r="H749" s="8" t="s">
        <v>40</v>
      </c>
      <c r="I749" s="10">
        <v>3</v>
      </c>
      <c r="J749" t="str">
        <f t="shared" si="55"/>
        <v>Near</v>
      </c>
      <c r="K749">
        <v>4</v>
      </c>
      <c r="L749" t="s">
        <v>41</v>
      </c>
      <c r="M749">
        <v>2</v>
      </c>
      <c r="N749">
        <v>3</v>
      </c>
      <c r="O749">
        <v>2</v>
      </c>
      <c r="P749" t="s">
        <v>42</v>
      </c>
      <c r="Q749">
        <v>4</v>
      </c>
      <c r="R749" s="11">
        <v>1035</v>
      </c>
      <c r="S749" s="14">
        <v>42</v>
      </c>
      <c r="T749" s="13">
        <v>6861</v>
      </c>
      <c r="U749" s="13">
        <f t="shared" si="56"/>
        <v>82332</v>
      </c>
      <c r="V749" s="14">
        <v>4981</v>
      </c>
      <c r="W749">
        <v>8</v>
      </c>
      <c r="X749" s="8" t="s">
        <v>38</v>
      </c>
      <c r="Y749" s="15">
        <v>0.12</v>
      </c>
      <c r="Z749">
        <v>3</v>
      </c>
      <c r="AA749">
        <v>3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 t="str">
        <f t="shared" si="57"/>
        <v>0-3</v>
      </c>
      <c r="AI749">
        <v>0</v>
      </c>
      <c r="AJ749" t="str">
        <f t="shared" si="58"/>
        <v>0-2</v>
      </c>
      <c r="AK749">
        <v>0</v>
      </c>
    </row>
    <row r="750" spans="1:37" x14ac:dyDescent="0.25">
      <c r="A750" s="8">
        <v>749</v>
      </c>
      <c r="B750" t="s">
        <v>44</v>
      </c>
      <c r="C750" t="s">
        <v>37</v>
      </c>
      <c r="D750" s="8">
        <v>26</v>
      </c>
      <c r="E750" t="str">
        <f t="shared" si="59"/>
        <v>26-35</v>
      </c>
      <c r="F750" t="s">
        <v>38</v>
      </c>
      <c r="G750" t="s">
        <v>58</v>
      </c>
      <c r="H750" s="8" t="s">
        <v>40</v>
      </c>
      <c r="I750" s="10">
        <v>29</v>
      </c>
      <c r="J750" t="str">
        <f t="shared" si="55"/>
        <v>Far</v>
      </c>
      <c r="K750">
        <v>2</v>
      </c>
      <c r="L750" t="s">
        <v>53</v>
      </c>
      <c r="M750">
        <v>2</v>
      </c>
      <c r="N750">
        <v>1</v>
      </c>
      <c r="O750">
        <v>2</v>
      </c>
      <c r="P750" t="s">
        <v>42</v>
      </c>
      <c r="Q750">
        <v>1</v>
      </c>
      <c r="R750" s="11">
        <v>265</v>
      </c>
      <c r="S750" s="14">
        <v>79</v>
      </c>
      <c r="T750" s="13">
        <v>4969</v>
      </c>
      <c r="U750" s="13">
        <f t="shared" si="56"/>
        <v>59628</v>
      </c>
      <c r="V750" s="14">
        <v>21813</v>
      </c>
      <c r="W750">
        <v>8</v>
      </c>
      <c r="X750" s="8" t="s">
        <v>46</v>
      </c>
      <c r="Y750" s="15">
        <v>0.18</v>
      </c>
      <c r="Z750">
        <v>3</v>
      </c>
      <c r="AA750">
        <v>4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 t="str">
        <f t="shared" si="57"/>
        <v>0-3</v>
      </c>
      <c r="AI750">
        <v>2</v>
      </c>
      <c r="AJ750" t="str">
        <f t="shared" si="58"/>
        <v>0-2</v>
      </c>
      <c r="AK750">
        <v>2</v>
      </c>
    </row>
    <row r="751" spans="1:37" x14ac:dyDescent="0.25">
      <c r="A751" s="8">
        <v>750</v>
      </c>
      <c r="B751" t="s">
        <v>52</v>
      </c>
      <c r="C751" t="s">
        <v>45</v>
      </c>
      <c r="D751" s="8">
        <v>52</v>
      </c>
      <c r="E751" t="str">
        <f t="shared" si="59"/>
        <v>46-55</v>
      </c>
      <c r="F751" t="s">
        <v>38</v>
      </c>
      <c r="G751" t="s">
        <v>39</v>
      </c>
      <c r="H751" s="8" t="s">
        <v>40</v>
      </c>
      <c r="I751" s="10">
        <v>2</v>
      </c>
      <c r="J751" t="str">
        <f t="shared" si="55"/>
        <v>Near</v>
      </c>
      <c r="K751">
        <v>1</v>
      </c>
      <c r="L751" t="s">
        <v>62</v>
      </c>
      <c r="M751">
        <v>1</v>
      </c>
      <c r="N751">
        <v>1</v>
      </c>
      <c r="O751">
        <v>5</v>
      </c>
      <c r="P751" t="s">
        <v>59</v>
      </c>
      <c r="Q751">
        <v>4</v>
      </c>
      <c r="R751" s="11">
        <v>266</v>
      </c>
      <c r="S751" s="14">
        <v>57</v>
      </c>
      <c r="T751" s="13">
        <v>19845</v>
      </c>
      <c r="U751" s="13">
        <f t="shared" si="56"/>
        <v>238140</v>
      </c>
      <c r="V751" s="14">
        <v>25846</v>
      </c>
      <c r="W751">
        <v>1</v>
      </c>
      <c r="X751" s="8" t="s">
        <v>46</v>
      </c>
      <c r="Y751" s="15">
        <v>0.15</v>
      </c>
      <c r="Z751">
        <v>3</v>
      </c>
      <c r="AA751">
        <v>4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 t="str">
        <f t="shared" si="57"/>
        <v>12-15</v>
      </c>
      <c r="AI751">
        <v>6</v>
      </c>
      <c r="AJ751" t="str">
        <f t="shared" si="58"/>
        <v>6-8</v>
      </c>
      <c r="AK751">
        <v>9</v>
      </c>
    </row>
    <row r="752" spans="1:37" x14ac:dyDescent="0.25">
      <c r="A752" s="8">
        <v>751</v>
      </c>
      <c r="B752" t="s">
        <v>52</v>
      </c>
      <c r="C752" t="s">
        <v>45</v>
      </c>
      <c r="D752" s="8">
        <v>44</v>
      </c>
      <c r="E752" t="str">
        <f t="shared" si="59"/>
        <v>36-45</v>
      </c>
      <c r="F752" t="s">
        <v>46</v>
      </c>
      <c r="G752" t="s">
        <v>39</v>
      </c>
      <c r="H752" s="8" t="s">
        <v>40</v>
      </c>
      <c r="I752" s="10">
        <v>28</v>
      </c>
      <c r="J752" t="str">
        <f t="shared" si="55"/>
        <v>Far</v>
      </c>
      <c r="K752">
        <v>3</v>
      </c>
      <c r="L752" t="s">
        <v>53</v>
      </c>
      <c r="M752">
        <v>4</v>
      </c>
      <c r="N752">
        <v>4</v>
      </c>
      <c r="O752">
        <v>4</v>
      </c>
      <c r="P752" t="s">
        <v>42</v>
      </c>
      <c r="Q752">
        <v>4</v>
      </c>
      <c r="R752" s="11">
        <v>1448</v>
      </c>
      <c r="S752" s="14">
        <v>53</v>
      </c>
      <c r="T752" s="13">
        <v>13320</v>
      </c>
      <c r="U752" s="13">
        <f t="shared" si="56"/>
        <v>159840</v>
      </c>
      <c r="V752" s="14">
        <v>11737</v>
      </c>
      <c r="W752">
        <v>3</v>
      </c>
      <c r="X752" s="8" t="s">
        <v>38</v>
      </c>
      <c r="Y752" s="15">
        <v>0.18</v>
      </c>
      <c r="Z752">
        <v>3</v>
      </c>
      <c r="AA752">
        <v>3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 t="str">
        <f t="shared" si="57"/>
        <v>8-11</v>
      </c>
      <c r="AI752">
        <v>11</v>
      </c>
      <c r="AJ752" t="str">
        <f t="shared" si="58"/>
        <v>9-11</v>
      </c>
      <c r="AK752">
        <v>11</v>
      </c>
    </row>
    <row r="753" spans="1:37" x14ac:dyDescent="0.25">
      <c r="A753" s="8">
        <v>752</v>
      </c>
      <c r="B753" t="s">
        <v>52</v>
      </c>
      <c r="C753" t="s">
        <v>45</v>
      </c>
      <c r="D753" s="8">
        <v>50</v>
      </c>
      <c r="E753" t="str">
        <f t="shared" si="59"/>
        <v>46-55</v>
      </c>
      <c r="F753" t="s">
        <v>46</v>
      </c>
      <c r="G753" t="s">
        <v>58</v>
      </c>
      <c r="H753" s="8" t="s">
        <v>40</v>
      </c>
      <c r="I753" s="10">
        <v>1</v>
      </c>
      <c r="J753" t="str">
        <f t="shared" si="55"/>
        <v>Near</v>
      </c>
      <c r="K753">
        <v>3</v>
      </c>
      <c r="L753" t="s">
        <v>41</v>
      </c>
      <c r="M753">
        <v>4</v>
      </c>
      <c r="N753">
        <v>3</v>
      </c>
      <c r="O753">
        <v>2</v>
      </c>
      <c r="P753" t="s">
        <v>42</v>
      </c>
      <c r="Q753">
        <v>3</v>
      </c>
      <c r="R753" s="11">
        <v>145</v>
      </c>
      <c r="S753" s="14">
        <v>95</v>
      </c>
      <c r="T753" s="13">
        <v>6347</v>
      </c>
      <c r="U753" s="13">
        <f t="shared" si="56"/>
        <v>76164</v>
      </c>
      <c r="V753" s="14">
        <v>24920</v>
      </c>
      <c r="W753">
        <v>0</v>
      </c>
      <c r="X753" s="8" t="s">
        <v>46</v>
      </c>
      <c r="Y753" s="15">
        <v>0.12</v>
      </c>
      <c r="Z753">
        <v>3</v>
      </c>
      <c r="AA753">
        <v>1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 t="str">
        <f t="shared" si="57"/>
        <v>4-7</v>
      </c>
      <c r="AI753">
        <v>0</v>
      </c>
      <c r="AJ753" t="str">
        <f t="shared" si="58"/>
        <v>0-2</v>
      </c>
      <c r="AK753">
        <v>13</v>
      </c>
    </row>
    <row r="754" spans="1:37" x14ac:dyDescent="0.25">
      <c r="A754" s="8">
        <v>753</v>
      </c>
      <c r="B754" t="s">
        <v>52</v>
      </c>
      <c r="C754" t="s">
        <v>37</v>
      </c>
      <c r="D754" s="8">
        <v>36</v>
      </c>
      <c r="E754" t="str">
        <f t="shared" si="59"/>
        <v>36-45</v>
      </c>
      <c r="F754" t="s">
        <v>38</v>
      </c>
      <c r="G754" t="s">
        <v>39</v>
      </c>
      <c r="H754" s="8" t="s">
        <v>48</v>
      </c>
      <c r="I754" s="10">
        <v>16</v>
      </c>
      <c r="J754" t="str">
        <f t="shared" si="55"/>
        <v>Far</v>
      </c>
      <c r="K754">
        <v>4</v>
      </c>
      <c r="L754" t="s">
        <v>41</v>
      </c>
      <c r="M754">
        <v>3</v>
      </c>
      <c r="N754">
        <v>4</v>
      </c>
      <c r="O754">
        <v>1</v>
      </c>
      <c r="P754" t="s">
        <v>51</v>
      </c>
      <c r="Q754">
        <v>1</v>
      </c>
      <c r="R754" s="11">
        <v>885</v>
      </c>
      <c r="S754" s="14">
        <v>43</v>
      </c>
      <c r="T754" s="13">
        <v>2743</v>
      </c>
      <c r="U754" s="13">
        <f t="shared" si="56"/>
        <v>32916</v>
      </c>
      <c r="V754" s="14">
        <v>8269</v>
      </c>
      <c r="W754">
        <v>1</v>
      </c>
      <c r="X754" s="8" t="s">
        <v>46</v>
      </c>
      <c r="Y754" s="15">
        <v>0.16</v>
      </c>
      <c r="Z754">
        <v>3</v>
      </c>
      <c r="AA754">
        <v>3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 t="str">
        <f t="shared" si="57"/>
        <v>12-15</v>
      </c>
      <c r="AI754">
        <v>15</v>
      </c>
      <c r="AJ754" t="str">
        <f t="shared" si="58"/>
        <v>12-15</v>
      </c>
      <c r="AK754">
        <v>14</v>
      </c>
    </row>
    <row r="755" spans="1:37" x14ac:dyDescent="0.25">
      <c r="A755" s="8">
        <v>754</v>
      </c>
      <c r="B755" t="s">
        <v>52</v>
      </c>
      <c r="C755" t="s">
        <v>37</v>
      </c>
      <c r="D755" s="8">
        <v>39</v>
      </c>
      <c r="E755" t="str">
        <f t="shared" si="59"/>
        <v>36-45</v>
      </c>
      <c r="F755" t="s">
        <v>46</v>
      </c>
      <c r="G755" t="s">
        <v>47</v>
      </c>
      <c r="H755" s="8" t="s">
        <v>48</v>
      </c>
      <c r="I755" s="10">
        <v>22</v>
      </c>
      <c r="J755" t="str">
        <f t="shared" si="55"/>
        <v>Far</v>
      </c>
      <c r="K755">
        <v>3</v>
      </c>
      <c r="L755" t="s">
        <v>53</v>
      </c>
      <c r="M755">
        <v>4</v>
      </c>
      <c r="N755">
        <v>3</v>
      </c>
      <c r="O755">
        <v>3</v>
      </c>
      <c r="P755" t="s">
        <v>55</v>
      </c>
      <c r="Q755">
        <v>1</v>
      </c>
      <c r="R755" s="11">
        <v>945</v>
      </c>
      <c r="S755" s="14">
        <v>82</v>
      </c>
      <c r="T755" s="13">
        <v>10880</v>
      </c>
      <c r="U755" s="13">
        <f t="shared" si="56"/>
        <v>130560</v>
      </c>
      <c r="V755" s="14">
        <v>5083</v>
      </c>
      <c r="W755">
        <v>1</v>
      </c>
      <c r="X755" s="8" t="s">
        <v>38</v>
      </c>
      <c r="Y755" s="15">
        <v>0.13</v>
      </c>
      <c r="Z755">
        <v>3</v>
      </c>
      <c r="AA755">
        <v>3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 t="str">
        <f t="shared" si="57"/>
        <v>4-7</v>
      </c>
      <c r="AI755">
        <v>2</v>
      </c>
      <c r="AJ755" t="str">
        <f t="shared" si="58"/>
        <v>0-2</v>
      </c>
      <c r="AK755">
        <v>8</v>
      </c>
    </row>
    <row r="756" spans="1:37" x14ac:dyDescent="0.25">
      <c r="A756" s="8">
        <v>755</v>
      </c>
      <c r="B756" t="s">
        <v>52</v>
      </c>
      <c r="C756" t="s">
        <v>37</v>
      </c>
      <c r="D756" s="8">
        <v>33</v>
      </c>
      <c r="E756" t="str">
        <f t="shared" si="59"/>
        <v>26-35</v>
      </c>
      <c r="F756" t="s">
        <v>46</v>
      </c>
      <c r="G756" t="s">
        <v>58</v>
      </c>
      <c r="H756" s="8" t="s">
        <v>40</v>
      </c>
      <c r="I756" s="10">
        <v>8</v>
      </c>
      <c r="J756" t="str">
        <f t="shared" si="55"/>
        <v>Moderate</v>
      </c>
      <c r="K756">
        <v>1</v>
      </c>
      <c r="L756" t="s">
        <v>41</v>
      </c>
      <c r="M756">
        <v>2</v>
      </c>
      <c r="N756">
        <v>2</v>
      </c>
      <c r="O756">
        <v>1</v>
      </c>
      <c r="P756" t="s">
        <v>60</v>
      </c>
      <c r="Q756">
        <v>4</v>
      </c>
      <c r="R756" s="11">
        <v>1038</v>
      </c>
      <c r="S756" s="14">
        <v>88</v>
      </c>
      <c r="T756" s="13">
        <v>2342</v>
      </c>
      <c r="U756" s="13">
        <f t="shared" si="56"/>
        <v>28104</v>
      </c>
      <c r="V756" s="14">
        <v>21437</v>
      </c>
      <c r="W756">
        <v>0</v>
      </c>
      <c r="X756" s="8" t="s">
        <v>46</v>
      </c>
      <c r="Y756" s="15">
        <v>0.19</v>
      </c>
      <c r="Z756">
        <v>3</v>
      </c>
      <c r="AA756">
        <v>4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 t="str">
        <f t="shared" si="57"/>
        <v>0-3</v>
      </c>
      <c r="AI756">
        <v>2</v>
      </c>
      <c r="AJ756" t="str">
        <f t="shared" si="58"/>
        <v>0-2</v>
      </c>
      <c r="AK756">
        <v>2</v>
      </c>
    </row>
    <row r="757" spans="1:37" x14ac:dyDescent="0.25">
      <c r="A757" s="8">
        <v>756</v>
      </c>
      <c r="B757" t="s">
        <v>52</v>
      </c>
      <c r="C757" t="s">
        <v>45</v>
      </c>
      <c r="D757" s="8">
        <v>45</v>
      </c>
      <c r="E757" t="str">
        <f t="shared" si="59"/>
        <v>36-45</v>
      </c>
      <c r="F757" t="s">
        <v>46</v>
      </c>
      <c r="G757" t="s">
        <v>39</v>
      </c>
      <c r="H757" s="8" t="s">
        <v>40</v>
      </c>
      <c r="I757" s="10">
        <v>11</v>
      </c>
      <c r="J757" t="str">
        <f t="shared" si="55"/>
        <v>Moderate</v>
      </c>
      <c r="K757">
        <v>2</v>
      </c>
      <c r="L757" t="s">
        <v>41</v>
      </c>
      <c r="M757">
        <v>4</v>
      </c>
      <c r="N757">
        <v>3</v>
      </c>
      <c r="O757">
        <v>4</v>
      </c>
      <c r="P757" t="s">
        <v>59</v>
      </c>
      <c r="Q757">
        <v>4</v>
      </c>
      <c r="R757" s="11">
        <v>1234</v>
      </c>
      <c r="S757" s="14">
        <v>90</v>
      </c>
      <c r="T757" s="13">
        <v>17650</v>
      </c>
      <c r="U757" s="13">
        <f t="shared" si="56"/>
        <v>211800</v>
      </c>
      <c r="V757" s="14">
        <v>5404</v>
      </c>
      <c r="W757">
        <v>3</v>
      </c>
      <c r="X757" s="8" t="s">
        <v>46</v>
      </c>
      <c r="Y757" s="15">
        <v>0.13</v>
      </c>
      <c r="Z757">
        <v>3</v>
      </c>
      <c r="AA757">
        <v>2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 t="str">
        <f t="shared" si="57"/>
        <v>0-3</v>
      </c>
      <c r="AI757">
        <v>1</v>
      </c>
      <c r="AJ757" t="str">
        <f t="shared" si="58"/>
        <v>0-2</v>
      </c>
      <c r="AK757">
        <v>1</v>
      </c>
    </row>
    <row r="758" spans="1:37" x14ac:dyDescent="0.25">
      <c r="A758" s="8">
        <v>757</v>
      </c>
      <c r="B758" t="s">
        <v>52</v>
      </c>
      <c r="C758" t="s">
        <v>37</v>
      </c>
      <c r="D758" s="8">
        <v>32</v>
      </c>
      <c r="E758" t="str">
        <f t="shared" si="59"/>
        <v>26-35</v>
      </c>
      <c r="F758" t="s">
        <v>46</v>
      </c>
      <c r="G758" t="s">
        <v>58</v>
      </c>
      <c r="H758" s="8" t="s">
        <v>48</v>
      </c>
      <c r="I758" s="10">
        <v>29</v>
      </c>
      <c r="J758" t="str">
        <f t="shared" si="55"/>
        <v>Far</v>
      </c>
      <c r="K758">
        <v>4</v>
      </c>
      <c r="L758" t="s">
        <v>53</v>
      </c>
      <c r="M758">
        <v>4</v>
      </c>
      <c r="N758">
        <v>3</v>
      </c>
      <c r="O758">
        <v>1</v>
      </c>
      <c r="P758" t="s">
        <v>51</v>
      </c>
      <c r="Q758">
        <v>3</v>
      </c>
      <c r="R758" s="11">
        <v>1109</v>
      </c>
      <c r="S758" s="14">
        <v>69</v>
      </c>
      <c r="T758" s="13">
        <v>4025</v>
      </c>
      <c r="U758" s="13">
        <f t="shared" si="56"/>
        <v>48300</v>
      </c>
      <c r="V758" s="14">
        <v>11135</v>
      </c>
      <c r="W758">
        <v>9</v>
      </c>
      <c r="X758" s="8" t="s">
        <v>46</v>
      </c>
      <c r="Y758" s="15">
        <v>0.12</v>
      </c>
      <c r="Z758">
        <v>3</v>
      </c>
      <c r="AA758">
        <v>2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 t="str">
        <f t="shared" si="57"/>
        <v>4-7</v>
      </c>
      <c r="AI758">
        <v>7</v>
      </c>
      <c r="AJ758" t="str">
        <f t="shared" si="58"/>
        <v>6-8</v>
      </c>
      <c r="AK758">
        <v>7</v>
      </c>
    </row>
    <row r="759" spans="1:37" x14ac:dyDescent="0.25">
      <c r="A759" s="8">
        <v>758</v>
      </c>
      <c r="B759" t="s">
        <v>44</v>
      </c>
      <c r="C759" t="s">
        <v>54</v>
      </c>
      <c r="D759" s="8">
        <v>34</v>
      </c>
      <c r="E759" t="str">
        <f t="shared" si="59"/>
        <v>26-35</v>
      </c>
      <c r="F759" t="s">
        <v>46</v>
      </c>
      <c r="G759" t="s">
        <v>39</v>
      </c>
      <c r="H759" s="8" t="s">
        <v>40</v>
      </c>
      <c r="I759" s="10">
        <v>1</v>
      </c>
      <c r="J759" t="str">
        <f t="shared" si="55"/>
        <v>Near</v>
      </c>
      <c r="K759">
        <v>4</v>
      </c>
      <c r="L759" t="s">
        <v>62</v>
      </c>
      <c r="M759">
        <v>2</v>
      </c>
      <c r="N759">
        <v>4</v>
      </c>
      <c r="O759">
        <v>2</v>
      </c>
      <c r="P759" t="s">
        <v>42</v>
      </c>
      <c r="Q759">
        <v>4</v>
      </c>
      <c r="R759" s="11">
        <v>216</v>
      </c>
      <c r="S759" s="14">
        <v>75</v>
      </c>
      <c r="T759" s="13">
        <v>9725</v>
      </c>
      <c r="U759" s="13">
        <f t="shared" si="56"/>
        <v>116700</v>
      </c>
      <c r="V759" s="14">
        <v>12278</v>
      </c>
      <c r="W759">
        <v>0</v>
      </c>
      <c r="X759" s="8" t="s">
        <v>46</v>
      </c>
      <c r="Y759" s="15">
        <v>0.11</v>
      </c>
      <c r="Z759">
        <v>3</v>
      </c>
      <c r="AA759">
        <v>4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 t="str">
        <f t="shared" si="57"/>
        <v>0-3</v>
      </c>
      <c r="AI759">
        <v>0</v>
      </c>
      <c r="AJ759" t="str">
        <f t="shared" si="58"/>
        <v>0-2</v>
      </c>
      <c r="AK759">
        <v>9</v>
      </c>
    </row>
    <row r="760" spans="1:37" x14ac:dyDescent="0.25">
      <c r="A760" s="8">
        <v>759</v>
      </c>
      <c r="B760" t="s">
        <v>44</v>
      </c>
      <c r="C760" t="s">
        <v>45</v>
      </c>
      <c r="D760" s="8">
        <v>59</v>
      </c>
      <c r="E760" t="str">
        <f t="shared" si="59"/>
        <v>55+</v>
      </c>
      <c r="F760" t="s">
        <v>46</v>
      </c>
      <c r="G760" t="s">
        <v>39</v>
      </c>
      <c r="H760" s="8" t="s">
        <v>40</v>
      </c>
      <c r="I760" s="10">
        <v>1</v>
      </c>
      <c r="J760" t="str">
        <f t="shared" si="55"/>
        <v>Near</v>
      </c>
      <c r="K760">
        <v>2</v>
      </c>
      <c r="L760" t="s">
        <v>63</v>
      </c>
      <c r="M760">
        <v>2</v>
      </c>
      <c r="N760">
        <v>3</v>
      </c>
      <c r="O760">
        <v>3</v>
      </c>
      <c r="P760" t="s">
        <v>59</v>
      </c>
      <c r="Q760">
        <v>4</v>
      </c>
      <c r="R760" s="11">
        <v>1089</v>
      </c>
      <c r="S760" s="14">
        <v>66</v>
      </c>
      <c r="T760" s="13">
        <v>11904</v>
      </c>
      <c r="U760" s="13">
        <f t="shared" si="56"/>
        <v>142848</v>
      </c>
      <c r="V760" s="14">
        <v>11038</v>
      </c>
      <c r="W760">
        <v>3</v>
      </c>
      <c r="X760" s="8" t="s">
        <v>38</v>
      </c>
      <c r="Y760" s="15">
        <v>0.14000000000000001</v>
      </c>
      <c r="Z760">
        <v>3</v>
      </c>
      <c r="AA760">
        <v>3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 t="str">
        <f t="shared" si="57"/>
        <v>4-7</v>
      </c>
      <c r="AI760">
        <v>0</v>
      </c>
      <c r="AJ760" t="str">
        <f t="shared" si="58"/>
        <v>0-2</v>
      </c>
      <c r="AK760">
        <v>4</v>
      </c>
    </row>
    <row r="761" spans="1:37" x14ac:dyDescent="0.25">
      <c r="A761" s="8">
        <v>760</v>
      </c>
      <c r="B761" t="s">
        <v>44</v>
      </c>
      <c r="C761" t="s">
        <v>37</v>
      </c>
      <c r="D761" s="8">
        <v>45</v>
      </c>
      <c r="E761" t="str">
        <f t="shared" si="59"/>
        <v>36-45</v>
      </c>
      <c r="F761" t="s">
        <v>46</v>
      </c>
      <c r="G761" t="s">
        <v>39</v>
      </c>
      <c r="H761" s="8" t="s">
        <v>64</v>
      </c>
      <c r="I761" s="10">
        <v>24</v>
      </c>
      <c r="J761" t="str">
        <f t="shared" si="55"/>
        <v>Far</v>
      </c>
      <c r="K761">
        <v>4</v>
      </c>
      <c r="L761" t="s">
        <v>53</v>
      </c>
      <c r="M761">
        <v>2</v>
      </c>
      <c r="N761">
        <v>3</v>
      </c>
      <c r="O761">
        <v>1</v>
      </c>
      <c r="P761" t="s">
        <v>64</v>
      </c>
      <c r="Q761">
        <v>2</v>
      </c>
      <c r="R761" s="11">
        <v>788</v>
      </c>
      <c r="S761" s="14">
        <v>36</v>
      </c>
      <c r="T761" s="13">
        <v>2177</v>
      </c>
      <c r="U761" s="13">
        <f t="shared" si="56"/>
        <v>26124</v>
      </c>
      <c r="V761" s="14">
        <v>8318</v>
      </c>
      <c r="W761">
        <v>1</v>
      </c>
      <c r="X761" s="8" t="s">
        <v>46</v>
      </c>
      <c r="Y761" s="15">
        <v>0.16</v>
      </c>
      <c r="Z761">
        <v>3</v>
      </c>
      <c r="AA761">
        <v>1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 t="str">
        <f t="shared" si="57"/>
        <v>0-3</v>
      </c>
      <c r="AI761">
        <v>0</v>
      </c>
      <c r="AJ761" t="str">
        <f t="shared" si="58"/>
        <v>0-2</v>
      </c>
      <c r="AK761">
        <v>4</v>
      </c>
    </row>
    <row r="762" spans="1:37" x14ac:dyDescent="0.25">
      <c r="A762" s="8">
        <v>761</v>
      </c>
      <c r="B762" t="s">
        <v>52</v>
      </c>
      <c r="C762" t="s">
        <v>45</v>
      </c>
      <c r="D762" s="8">
        <v>53</v>
      </c>
      <c r="E762" t="str">
        <f t="shared" si="59"/>
        <v>46-55</v>
      </c>
      <c r="F762" t="s">
        <v>46</v>
      </c>
      <c r="G762" t="s">
        <v>47</v>
      </c>
      <c r="H762" s="8" t="s">
        <v>40</v>
      </c>
      <c r="I762" s="10">
        <v>2</v>
      </c>
      <c r="J762" t="str">
        <f t="shared" si="55"/>
        <v>Near</v>
      </c>
      <c r="K762">
        <v>3</v>
      </c>
      <c r="L762" t="s">
        <v>62</v>
      </c>
      <c r="M762">
        <v>3</v>
      </c>
      <c r="N762">
        <v>2</v>
      </c>
      <c r="O762">
        <v>3</v>
      </c>
      <c r="P762" t="s">
        <v>42</v>
      </c>
      <c r="Q762">
        <v>2</v>
      </c>
      <c r="R762" s="11">
        <v>124</v>
      </c>
      <c r="S762" s="14">
        <v>38</v>
      </c>
      <c r="T762" s="13">
        <v>7525</v>
      </c>
      <c r="U762" s="13">
        <f t="shared" si="56"/>
        <v>90300</v>
      </c>
      <c r="V762" s="14">
        <v>23537</v>
      </c>
      <c r="W762">
        <v>2</v>
      </c>
      <c r="X762" s="8" t="s">
        <v>46</v>
      </c>
      <c r="Y762" s="15">
        <v>0.12</v>
      </c>
      <c r="Z762">
        <v>3</v>
      </c>
      <c r="AA762">
        <v>1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 t="str">
        <f t="shared" si="57"/>
        <v>4-7</v>
      </c>
      <c r="AI762">
        <v>6</v>
      </c>
      <c r="AJ762" t="str">
        <f t="shared" si="58"/>
        <v>6-8</v>
      </c>
      <c r="AK762">
        <v>12</v>
      </c>
    </row>
    <row r="763" spans="1:37" x14ac:dyDescent="0.25">
      <c r="A763" s="8">
        <v>762</v>
      </c>
      <c r="B763" t="s">
        <v>44</v>
      </c>
      <c r="C763" t="s">
        <v>54</v>
      </c>
      <c r="D763" s="8">
        <v>36</v>
      </c>
      <c r="E763" t="str">
        <f t="shared" si="59"/>
        <v>36-45</v>
      </c>
      <c r="F763" t="s">
        <v>38</v>
      </c>
      <c r="G763" t="s">
        <v>39</v>
      </c>
      <c r="H763" s="8" t="s">
        <v>48</v>
      </c>
      <c r="I763" s="10">
        <v>15</v>
      </c>
      <c r="J763" t="str">
        <f t="shared" si="55"/>
        <v>Moderate</v>
      </c>
      <c r="K763">
        <v>3</v>
      </c>
      <c r="L763" t="s">
        <v>50</v>
      </c>
      <c r="M763">
        <v>1</v>
      </c>
      <c r="N763">
        <v>3</v>
      </c>
      <c r="O763">
        <v>2</v>
      </c>
      <c r="P763" t="s">
        <v>51</v>
      </c>
      <c r="Q763">
        <v>3</v>
      </c>
      <c r="R763" s="11">
        <v>660</v>
      </c>
      <c r="S763" s="14">
        <v>81</v>
      </c>
      <c r="T763" s="13">
        <v>4834</v>
      </c>
      <c r="U763" s="13">
        <f t="shared" si="56"/>
        <v>58008</v>
      </c>
      <c r="V763" s="14">
        <v>7858</v>
      </c>
      <c r="W763">
        <v>7</v>
      </c>
      <c r="X763" s="8" t="s">
        <v>46</v>
      </c>
      <c r="Y763" s="15">
        <v>0.14000000000000001</v>
      </c>
      <c r="Z763">
        <v>3</v>
      </c>
      <c r="AA763">
        <v>2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 t="str">
        <f t="shared" si="57"/>
        <v>0-3</v>
      </c>
      <c r="AI763">
        <v>0</v>
      </c>
      <c r="AJ763" t="str">
        <f t="shared" si="58"/>
        <v>0-2</v>
      </c>
      <c r="AK763">
        <v>0</v>
      </c>
    </row>
    <row r="764" spans="1:37" x14ac:dyDescent="0.25">
      <c r="A764" s="8">
        <v>763</v>
      </c>
      <c r="B764" t="s">
        <v>44</v>
      </c>
      <c r="C764" t="s">
        <v>45</v>
      </c>
      <c r="D764" s="8">
        <v>26</v>
      </c>
      <c r="E764" t="str">
        <f t="shared" si="59"/>
        <v>26-35</v>
      </c>
      <c r="F764" t="s">
        <v>38</v>
      </c>
      <c r="G764" t="s">
        <v>47</v>
      </c>
      <c r="H764" s="8" t="s">
        <v>48</v>
      </c>
      <c r="I764" s="10">
        <v>2</v>
      </c>
      <c r="J764" t="str">
        <f t="shared" si="55"/>
        <v>Near</v>
      </c>
      <c r="K764">
        <v>3</v>
      </c>
      <c r="L764" t="s">
        <v>41</v>
      </c>
      <c r="M764">
        <v>1</v>
      </c>
      <c r="N764">
        <v>3</v>
      </c>
      <c r="O764">
        <v>1</v>
      </c>
      <c r="P764" t="s">
        <v>49</v>
      </c>
      <c r="Q764">
        <v>1</v>
      </c>
      <c r="R764" s="11">
        <v>342</v>
      </c>
      <c r="S764" s="14">
        <v>57</v>
      </c>
      <c r="T764" s="13">
        <v>2042</v>
      </c>
      <c r="U764" s="13">
        <f t="shared" si="56"/>
        <v>24504</v>
      </c>
      <c r="V764" s="14">
        <v>15346</v>
      </c>
      <c r="W764">
        <v>6</v>
      </c>
      <c r="X764" s="8" t="s">
        <v>38</v>
      </c>
      <c r="Y764" s="15">
        <v>0.14000000000000001</v>
      </c>
      <c r="Z764">
        <v>3</v>
      </c>
      <c r="AA764">
        <v>2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 t="str">
        <f t="shared" si="57"/>
        <v>0-3</v>
      </c>
      <c r="AI764">
        <v>1</v>
      </c>
      <c r="AJ764" t="str">
        <f t="shared" si="58"/>
        <v>0-2</v>
      </c>
      <c r="AK764">
        <v>2</v>
      </c>
    </row>
    <row r="765" spans="1:37" x14ac:dyDescent="0.25">
      <c r="A765" s="8">
        <v>764</v>
      </c>
      <c r="B765" t="s">
        <v>52</v>
      </c>
      <c r="C765" t="s">
        <v>45</v>
      </c>
      <c r="D765" s="8">
        <v>34</v>
      </c>
      <c r="E765" t="str">
        <f t="shared" si="59"/>
        <v>26-35</v>
      </c>
      <c r="F765" t="s">
        <v>46</v>
      </c>
      <c r="G765" t="s">
        <v>39</v>
      </c>
      <c r="H765" s="8" t="s">
        <v>40</v>
      </c>
      <c r="I765" s="10">
        <v>10</v>
      </c>
      <c r="J765" t="str">
        <f t="shared" si="55"/>
        <v>Moderate</v>
      </c>
      <c r="K765">
        <v>4</v>
      </c>
      <c r="L765" t="s">
        <v>41</v>
      </c>
      <c r="M765">
        <v>3</v>
      </c>
      <c r="N765">
        <v>3</v>
      </c>
      <c r="O765">
        <v>1</v>
      </c>
      <c r="P765" t="s">
        <v>60</v>
      </c>
      <c r="Q765">
        <v>3</v>
      </c>
      <c r="R765" s="11">
        <v>1333</v>
      </c>
      <c r="S765" s="14">
        <v>87</v>
      </c>
      <c r="T765" s="13">
        <v>2220</v>
      </c>
      <c r="U765" s="13">
        <f t="shared" si="56"/>
        <v>26640</v>
      </c>
      <c r="V765" s="14">
        <v>18410</v>
      </c>
      <c r="W765">
        <v>1</v>
      </c>
      <c r="X765" s="8" t="s">
        <v>38</v>
      </c>
      <c r="Y765" s="15">
        <v>0.19</v>
      </c>
      <c r="Z765">
        <v>3</v>
      </c>
      <c r="AA765">
        <v>4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 t="str">
        <f t="shared" si="57"/>
        <v>0-3</v>
      </c>
      <c r="AI765">
        <v>0</v>
      </c>
      <c r="AJ765" t="str">
        <f t="shared" si="58"/>
        <v>0-2</v>
      </c>
      <c r="AK765">
        <v>0</v>
      </c>
    </row>
    <row r="766" spans="1:37" x14ac:dyDescent="0.25">
      <c r="A766" s="8">
        <v>765</v>
      </c>
      <c r="B766" t="s">
        <v>44</v>
      </c>
      <c r="C766" t="s">
        <v>45</v>
      </c>
      <c r="D766" s="8">
        <v>28</v>
      </c>
      <c r="E766" t="str">
        <f t="shared" si="59"/>
        <v>26-35</v>
      </c>
      <c r="F766" t="s">
        <v>46</v>
      </c>
      <c r="G766" t="s">
        <v>39</v>
      </c>
      <c r="H766" s="8" t="s">
        <v>40</v>
      </c>
      <c r="I766" s="10">
        <v>10</v>
      </c>
      <c r="J766" t="str">
        <f t="shared" si="55"/>
        <v>Moderate</v>
      </c>
      <c r="K766">
        <v>1</v>
      </c>
      <c r="L766" t="s">
        <v>53</v>
      </c>
      <c r="M766">
        <v>4</v>
      </c>
      <c r="N766">
        <v>3</v>
      </c>
      <c r="O766">
        <v>1</v>
      </c>
      <c r="P766" t="s">
        <v>60</v>
      </c>
      <c r="Q766">
        <v>2</v>
      </c>
      <c r="R766" s="11">
        <v>1144</v>
      </c>
      <c r="S766" s="14">
        <v>74</v>
      </c>
      <c r="T766" s="13">
        <v>1052</v>
      </c>
      <c r="U766" s="13">
        <f t="shared" si="56"/>
        <v>12624</v>
      </c>
      <c r="V766" s="14">
        <v>23384</v>
      </c>
      <c r="W766">
        <v>1</v>
      </c>
      <c r="X766" s="8" t="s">
        <v>46</v>
      </c>
      <c r="Y766" s="15">
        <v>0.22</v>
      </c>
      <c r="Z766">
        <v>4</v>
      </c>
      <c r="AA766">
        <v>2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 t="str">
        <f t="shared" si="57"/>
        <v>0-3</v>
      </c>
      <c r="AI766">
        <v>0</v>
      </c>
      <c r="AJ766" t="str">
        <f t="shared" si="58"/>
        <v>0-2</v>
      </c>
      <c r="AK766">
        <v>0</v>
      </c>
    </row>
    <row r="767" spans="1:37" x14ac:dyDescent="0.25">
      <c r="A767" s="8">
        <v>766</v>
      </c>
      <c r="B767" t="s">
        <v>44</v>
      </c>
      <c r="C767" t="s">
        <v>45</v>
      </c>
      <c r="D767" s="8">
        <v>38</v>
      </c>
      <c r="E767" t="str">
        <f t="shared" si="59"/>
        <v>36-45</v>
      </c>
      <c r="F767" t="s">
        <v>46</v>
      </c>
      <c r="G767" t="s">
        <v>47</v>
      </c>
      <c r="H767" s="8" t="s">
        <v>48</v>
      </c>
      <c r="I767" s="10">
        <v>3</v>
      </c>
      <c r="J767" t="str">
        <f t="shared" si="55"/>
        <v>Near</v>
      </c>
      <c r="K767">
        <v>4</v>
      </c>
      <c r="L767" t="s">
        <v>50</v>
      </c>
      <c r="M767">
        <v>3</v>
      </c>
      <c r="N767">
        <v>3</v>
      </c>
      <c r="O767">
        <v>1</v>
      </c>
      <c r="P767" t="s">
        <v>49</v>
      </c>
      <c r="Q767">
        <v>3</v>
      </c>
      <c r="R767" s="11">
        <v>1186</v>
      </c>
      <c r="S767" s="14">
        <v>44</v>
      </c>
      <c r="T767" s="13">
        <v>2821</v>
      </c>
      <c r="U767" s="13">
        <f t="shared" si="56"/>
        <v>33852</v>
      </c>
      <c r="V767" s="14">
        <v>2997</v>
      </c>
      <c r="W767">
        <v>3</v>
      </c>
      <c r="X767" s="8" t="s">
        <v>46</v>
      </c>
      <c r="Y767" s="15">
        <v>0.16</v>
      </c>
      <c r="Z767">
        <v>3</v>
      </c>
      <c r="AA767">
        <v>1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 t="str">
        <f t="shared" si="57"/>
        <v>0-3</v>
      </c>
      <c r="AI767">
        <v>2</v>
      </c>
      <c r="AJ767" t="str">
        <f t="shared" si="58"/>
        <v>0-2</v>
      </c>
      <c r="AK767">
        <v>2</v>
      </c>
    </row>
    <row r="768" spans="1:37" x14ac:dyDescent="0.25">
      <c r="A768" s="8">
        <v>767</v>
      </c>
      <c r="B768" t="s">
        <v>44</v>
      </c>
      <c r="C768" t="s">
        <v>45</v>
      </c>
      <c r="D768" s="8">
        <v>50</v>
      </c>
      <c r="E768" t="str">
        <f t="shared" si="59"/>
        <v>46-55</v>
      </c>
      <c r="F768" t="s">
        <v>46</v>
      </c>
      <c r="G768" t="s">
        <v>39</v>
      </c>
      <c r="H768" s="8" t="s">
        <v>48</v>
      </c>
      <c r="I768" s="10">
        <v>2</v>
      </c>
      <c r="J768" t="str">
        <f t="shared" si="55"/>
        <v>Near</v>
      </c>
      <c r="K768">
        <v>4</v>
      </c>
      <c r="L768" t="s">
        <v>53</v>
      </c>
      <c r="M768">
        <v>2</v>
      </c>
      <c r="N768">
        <v>3</v>
      </c>
      <c r="O768">
        <v>5</v>
      </c>
      <c r="P768" t="s">
        <v>61</v>
      </c>
      <c r="Q768">
        <v>3</v>
      </c>
      <c r="R768" s="11">
        <v>1464</v>
      </c>
      <c r="S768" s="14">
        <v>62</v>
      </c>
      <c r="T768" s="13">
        <v>19237</v>
      </c>
      <c r="U768" s="13">
        <f t="shared" si="56"/>
        <v>230844</v>
      </c>
      <c r="V768" s="14">
        <v>12853</v>
      </c>
      <c r="W768">
        <v>2</v>
      </c>
      <c r="X768" s="8" t="s">
        <v>38</v>
      </c>
      <c r="Y768" s="15">
        <v>0.11</v>
      </c>
      <c r="Z768">
        <v>3</v>
      </c>
      <c r="AA768">
        <v>4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 t="str">
        <f t="shared" si="57"/>
        <v>0-3</v>
      </c>
      <c r="AI768">
        <v>7</v>
      </c>
      <c r="AJ768" t="str">
        <f t="shared" si="58"/>
        <v>6-8</v>
      </c>
      <c r="AK768">
        <v>7</v>
      </c>
    </row>
    <row r="769" spans="1:37" x14ac:dyDescent="0.25">
      <c r="A769" s="8">
        <v>768</v>
      </c>
      <c r="B769" t="s">
        <v>52</v>
      </c>
      <c r="C769" t="s">
        <v>37</v>
      </c>
      <c r="D769" s="8">
        <v>37</v>
      </c>
      <c r="E769" t="str">
        <f t="shared" si="59"/>
        <v>36-45</v>
      </c>
      <c r="F769" t="s">
        <v>46</v>
      </c>
      <c r="G769" t="s">
        <v>39</v>
      </c>
      <c r="H769" s="8" t="s">
        <v>48</v>
      </c>
      <c r="I769" s="10">
        <v>3</v>
      </c>
      <c r="J769" t="str">
        <f t="shared" si="55"/>
        <v>Near</v>
      </c>
      <c r="K769">
        <v>3</v>
      </c>
      <c r="L769" t="s">
        <v>50</v>
      </c>
      <c r="M769">
        <v>4</v>
      </c>
      <c r="N769">
        <v>3</v>
      </c>
      <c r="O769">
        <v>2</v>
      </c>
      <c r="P769" t="s">
        <v>56</v>
      </c>
      <c r="Q769">
        <v>2</v>
      </c>
      <c r="R769" s="11">
        <v>124</v>
      </c>
      <c r="S769" s="14">
        <v>35</v>
      </c>
      <c r="T769" s="13">
        <v>4107</v>
      </c>
      <c r="U769" s="13">
        <f t="shared" si="56"/>
        <v>49284</v>
      </c>
      <c r="V769" s="14">
        <v>13848</v>
      </c>
      <c r="W769">
        <v>3</v>
      </c>
      <c r="X769" s="8" t="s">
        <v>46</v>
      </c>
      <c r="Y769" s="15">
        <v>0.15</v>
      </c>
      <c r="Z769">
        <v>3</v>
      </c>
      <c r="AA769">
        <v>1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 t="str">
        <f t="shared" si="57"/>
        <v>0-3</v>
      </c>
      <c r="AI769">
        <v>0</v>
      </c>
      <c r="AJ769" t="str">
        <f t="shared" si="58"/>
        <v>0-2</v>
      </c>
      <c r="AK769">
        <v>1</v>
      </c>
    </row>
    <row r="770" spans="1:37" x14ac:dyDescent="0.25">
      <c r="A770" s="8">
        <v>769</v>
      </c>
      <c r="B770" t="s">
        <v>44</v>
      </c>
      <c r="C770" t="s">
        <v>45</v>
      </c>
      <c r="D770" s="8">
        <v>40</v>
      </c>
      <c r="E770" t="str">
        <f t="shared" si="59"/>
        <v>36-45</v>
      </c>
      <c r="F770" t="s">
        <v>46</v>
      </c>
      <c r="G770" t="s">
        <v>39</v>
      </c>
      <c r="H770" s="8" t="s">
        <v>40</v>
      </c>
      <c r="I770" s="10">
        <v>26</v>
      </c>
      <c r="J770" t="str">
        <f t="shared" si="55"/>
        <v>Far</v>
      </c>
      <c r="K770">
        <v>3</v>
      </c>
      <c r="L770" t="s">
        <v>62</v>
      </c>
      <c r="M770">
        <v>3</v>
      </c>
      <c r="N770">
        <v>3</v>
      </c>
      <c r="O770">
        <v>2</v>
      </c>
      <c r="P770" t="s">
        <v>42</v>
      </c>
      <c r="Q770">
        <v>1</v>
      </c>
      <c r="R770" s="11">
        <v>300</v>
      </c>
      <c r="S770" s="14">
        <v>74</v>
      </c>
      <c r="T770" s="13">
        <v>8396</v>
      </c>
      <c r="U770" s="13">
        <f t="shared" si="56"/>
        <v>100752</v>
      </c>
      <c r="V770" s="14">
        <v>22217</v>
      </c>
      <c r="W770">
        <v>1</v>
      </c>
      <c r="X770" s="8" t="s">
        <v>46</v>
      </c>
      <c r="Y770" s="15">
        <v>0.14000000000000001</v>
      </c>
      <c r="Z770">
        <v>3</v>
      </c>
      <c r="AA770">
        <v>2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 t="str">
        <f t="shared" si="57"/>
        <v>4-7</v>
      </c>
      <c r="AI770">
        <v>7</v>
      </c>
      <c r="AJ770" t="str">
        <f t="shared" si="58"/>
        <v>6-8</v>
      </c>
      <c r="AK770">
        <v>5</v>
      </c>
    </row>
    <row r="771" spans="1:37" x14ac:dyDescent="0.25">
      <c r="A771" s="8">
        <v>770</v>
      </c>
      <c r="B771" t="s">
        <v>52</v>
      </c>
      <c r="C771" t="s">
        <v>54</v>
      </c>
      <c r="D771" s="8">
        <v>26</v>
      </c>
      <c r="E771" t="str">
        <f t="shared" si="59"/>
        <v>26-35</v>
      </c>
      <c r="F771" t="s">
        <v>46</v>
      </c>
      <c r="G771" t="s">
        <v>47</v>
      </c>
      <c r="H771" s="8" t="s">
        <v>48</v>
      </c>
      <c r="I771" s="10">
        <v>1</v>
      </c>
      <c r="J771" t="str">
        <f t="shared" ref="J771:J834" si="60">IF(I771&lt;=5,"Near",IF(I771&lt;=15,"Moderate",IF(I771&gt;15,"Far")))</f>
        <v>Near</v>
      </c>
      <c r="K771">
        <v>1</v>
      </c>
      <c r="L771" t="s">
        <v>53</v>
      </c>
      <c r="M771">
        <v>1</v>
      </c>
      <c r="N771">
        <v>2</v>
      </c>
      <c r="O771">
        <v>1</v>
      </c>
      <c r="P771" t="s">
        <v>49</v>
      </c>
      <c r="Q771">
        <v>3</v>
      </c>
      <c r="R771" s="11">
        <v>921</v>
      </c>
      <c r="S771" s="14">
        <v>66</v>
      </c>
      <c r="T771" s="13">
        <v>2007</v>
      </c>
      <c r="U771" s="13">
        <f t="shared" ref="U771:U834" si="61">T771*12</f>
        <v>24084</v>
      </c>
      <c r="V771" s="14">
        <v>25265</v>
      </c>
      <c r="W771">
        <v>1</v>
      </c>
      <c r="X771" s="8" t="s">
        <v>46</v>
      </c>
      <c r="Y771" s="15">
        <v>0.13</v>
      </c>
      <c r="Z771">
        <v>3</v>
      </c>
      <c r="AA771">
        <v>3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 t="str">
        <f t="shared" ref="AH771:AH834" si="62">IF(AG:AG&lt;=3,"0-3", IF(AG:AG&lt;=7,"4-7", IF(AG:AG&lt;=11,"8-11", IF(AG:AG&lt;=15,"12-15","16-19"))))</f>
        <v>0-3</v>
      </c>
      <c r="AI771">
        <v>1</v>
      </c>
      <c r="AJ771" t="str">
        <f t="shared" ref="AJ771:AJ834" si="63">IF(AI:AI&lt;=2,"0-2",IF(AI:AI&lt;=5,"3-5", IF(AI:AI&lt;=8,"6-8", IF(AI:AI&lt;=11,"9-11","12-15"))))</f>
        <v>0-2</v>
      </c>
      <c r="AK771">
        <v>3</v>
      </c>
    </row>
    <row r="772" spans="1:37" x14ac:dyDescent="0.25">
      <c r="A772" s="8">
        <v>771</v>
      </c>
      <c r="B772" t="s">
        <v>44</v>
      </c>
      <c r="C772" t="s">
        <v>54</v>
      </c>
      <c r="D772" s="8">
        <v>46</v>
      </c>
      <c r="E772" t="str">
        <f t="shared" ref="E772:E835" si="64">IF(D772&lt;25,"18-25",IF(D772&lt;=35,"26-35",IF(D772&lt;=45,"36-45",IF(D772&lt;=55,"46-55",IF(D772&gt;55,"55+")))))</f>
        <v>46-55</v>
      </c>
      <c r="F772" t="s">
        <v>46</v>
      </c>
      <c r="G772" t="s">
        <v>39</v>
      </c>
      <c r="H772" s="8" t="s">
        <v>48</v>
      </c>
      <c r="I772" s="10">
        <v>1</v>
      </c>
      <c r="J772" t="str">
        <f t="shared" si="60"/>
        <v>Near</v>
      </c>
      <c r="K772">
        <v>4</v>
      </c>
      <c r="L772" t="s">
        <v>53</v>
      </c>
      <c r="M772">
        <v>4</v>
      </c>
      <c r="N772">
        <v>3</v>
      </c>
      <c r="O772">
        <v>5</v>
      </c>
      <c r="P772" t="s">
        <v>61</v>
      </c>
      <c r="Q772">
        <v>4</v>
      </c>
      <c r="R772" s="11">
        <v>430</v>
      </c>
      <c r="S772" s="14">
        <v>40</v>
      </c>
      <c r="T772" s="13">
        <v>19627</v>
      </c>
      <c r="U772" s="13">
        <f t="shared" si="61"/>
        <v>235524</v>
      </c>
      <c r="V772" s="14">
        <v>21445</v>
      </c>
      <c r="W772">
        <v>9</v>
      </c>
      <c r="X772" s="8" t="s">
        <v>46</v>
      </c>
      <c r="Y772" s="15">
        <v>0.17</v>
      </c>
      <c r="Z772">
        <v>3</v>
      </c>
      <c r="AA772">
        <v>4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 t="str">
        <f t="shared" si="62"/>
        <v>0-3</v>
      </c>
      <c r="AI772">
        <v>2</v>
      </c>
      <c r="AJ772" t="str">
        <f t="shared" si="63"/>
        <v>0-2</v>
      </c>
      <c r="AK772">
        <v>2</v>
      </c>
    </row>
    <row r="773" spans="1:37" x14ac:dyDescent="0.25">
      <c r="A773" s="8">
        <v>772</v>
      </c>
      <c r="B773" t="s">
        <v>52</v>
      </c>
      <c r="C773" t="s">
        <v>45</v>
      </c>
      <c r="D773" s="8">
        <v>54</v>
      </c>
      <c r="E773" t="str">
        <f t="shared" si="64"/>
        <v>46-55</v>
      </c>
      <c r="F773" t="s">
        <v>46</v>
      </c>
      <c r="G773" t="s">
        <v>39</v>
      </c>
      <c r="H773" s="8" t="s">
        <v>40</v>
      </c>
      <c r="I773" s="10">
        <v>2</v>
      </c>
      <c r="J773" t="str">
        <f t="shared" si="60"/>
        <v>Near</v>
      </c>
      <c r="K773">
        <v>4</v>
      </c>
      <c r="L773" t="s">
        <v>41</v>
      </c>
      <c r="M773">
        <v>3</v>
      </c>
      <c r="N773">
        <v>2</v>
      </c>
      <c r="O773">
        <v>3</v>
      </c>
      <c r="P773" t="s">
        <v>42</v>
      </c>
      <c r="Q773">
        <v>3</v>
      </c>
      <c r="R773" s="11">
        <v>1082</v>
      </c>
      <c r="S773" s="14">
        <v>41</v>
      </c>
      <c r="T773" s="13">
        <v>10686</v>
      </c>
      <c r="U773" s="13">
        <f t="shared" si="61"/>
        <v>128232</v>
      </c>
      <c r="V773" s="14">
        <v>8392</v>
      </c>
      <c r="W773">
        <v>6</v>
      </c>
      <c r="X773" s="8" t="s">
        <v>46</v>
      </c>
      <c r="Y773" s="15">
        <v>0.11</v>
      </c>
      <c r="Z773">
        <v>3</v>
      </c>
      <c r="AA773">
        <v>2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 t="str">
        <f t="shared" si="62"/>
        <v>4-7</v>
      </c>
      <c r="AI773">
        <v>7</v>
      </c>
      <c r="AJ773" t="str">
        <f t="shared" si="63"/>
        <v>6-8</v>
      </c>
      <c r="AK773">
        <v>0</v>
      </c>
    </row>
    <row r="774" spans="1:37" x14ac:dyDescent="0.25">
      <c r="A774" s="8">
        <v>773</v>
      </c>
      <c r="B774" t="s">
        <v>52</v>
      </c>
      <c r="C774" t="s">
        <v>45</v>
      </c>
      <c r="D774" s="8">
        <v>56</v>
      </c>
      <c r="E774" t="str">
        <f t="shared" si="64"/>
        <v>55+</v>
      </c>
      <c r="F774" t="s">
        <v>46</v>
      </c>
      <c r="G774" t="s">
        <v>47</v>
      </c>
      <c r="H774" s="8" t="s">
        <v>48</v>
      </c>
      <c r="I774" s="10">
        <v>9</v>
      </c>
      <c r="J774" t="str">
        <f t="shared" si="60"/>
        <v>Moderate</v>
      </c>
      <c r="K774">
        <v>3</v>
      </c>
      <c r="L774" t="s">
        <v>53</v>
      </c>
      <c r="M774">
        <v>1</v>
      </c>
      <c r="N774">
        <v>3</v>
      </c>
      <c r="O774">
        <v>1</v>
      </c>
      <c r="P774" t="s">
        <v>49</v>
      </c>
      <c r="Q774">
        <v>3</v>
      </c>
      <c r="R774" s="11">
        <v>1240</v>
      </c>
      <c r="S774" s="14">
        <v>63</v>
      </c>
      <c r="T774" s="13">
        <v>2942</v>
      </c>
      <c r="U774" s="13">
        <f t="shared" si="61"/>
        <v>35304</v>
      </c>
      <c r="V774" s="14">
        <v>12154</v>
      </c>
      <c r="W774">
        <v>2</v>
      </c>
      <c r="X774" s="8" t="s">
        <v>46</v>
      </c>
      <c r="Y774" s="15">
        <v>0.19</v>
      </c>
      <c r="Z774">
        <v>3</v>
      </c>
      <c r="AA774">
        <v>2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 t="str">
        <f t="shared" si="62"/>
        <v>4-7</v>
      </c>
      <c r="AI774">
        <v>0</v>
      </c>
      <c r="AJ774" t="str">
        <f t="shared" si="63"/>
        <v>0-2</v>
      </c>
      <c r="AK774">
        <v>3</v>
      </c>
    </row>
    <row r="775" spans="1:37" x14ac:dyDescent="0.25">
      <c r="A775" s="8">
        <v>774</v>
      </c>
      <c r="B775" t="s">
        <v>52</v>
      </c>
      <c r="C775" t="s">
        <v>37</v>
      </c>
      <c r="D775" s="8">
        <v>36</v>
      </c>
      <c r="E775" t="str">
        <f t="shared" si="64"/>
        <v>36-45</v>
      </c>
      <c r="F775" t="s">
        <v>46</v>
      </c>
      <c r="G775" t="s">
        <v>39</v>
      </c>
      <c r="H775" s="8" t="s">
        <v>48</v>
      </c>
      <c r="I775" s="10">
        <v>12</v>
      </c>
      <c r="J775" t="str">
        <f t="shared" si="60"/>
        <v>Moderate</v>
      </c>
      <c r="K775">
        <v>5</v>
      </c>
      <c r="L775" t="s">
        <v>53</v>
      </c>
      <c r="M775">
        <v>4</v>
      </c>
      <c r="N775">
        <v>2</v>
      </c>
      <c r="O775">
        <v>3</v>
      </c>
      <c r="P775" t="s">
        <v>55</v>
      </c>
      <c r="Q775">
        <v>4</v>
      </c>
      <c r="R775" s="11">
        <v>796</v>
      </c>
      <c r="S775" s="14">
        <v>51</v>
      </c>
      <c r="T775" s="13">
        <v>8858</v>
      </c>
      <c r="U775" s="13">
        <f t="shared" si="61"/>
        <v>106296</v>
      </c>
      <c r="V775" s="14">
        <v>15669</v>
      </c>
      <c r="W775">
        <v>0</v>
      </c>
      <c r="X775" s="8" t="s">
        <v>46</v>
      </c>
      <c r="Y775" s="15">
        <v>0.11</v>
      </c>
      <c r="Z775">
        <v>3</v>
      </c>
      <c r="AA775">
        <v>2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 t="str">
        <f t="shared" si="62"/>
        <v>8-11</v>
      </c>
      <c r="AI775">
        <v>7</v>
      </c>
      <c r="AJ775" t="str">
        <f t="shared" si="63"/>
        <v>6-8</v>
      </c>
      <c r="AK775">
        <v>8</v>
      </c>
    </row>
    <row r="776" spans="1:37" x14ac:dyDescent="0.25">
      <c r="A776" s="8">
        <v>775</v>
      </c>
      <c r="B776" t="s">
        <v>44</v>
      </c>
      <c r="C776" t="s">
        <v>37</v>
      </c>
      <c r="D776" s="8">
        <v>55</v>
      </c>
      <c r="E776" t="str">
        <f t="shared" si="64"/>
        <v>46-55</v>
      </c>
      <c r="F776" t="s">
        <v>46</v>
      </c>
      <c r="G776" t="s">
        <v>58</v>
      </c>
      <c r="H776" s="8" t="s">
        <v>48</v>
      </c>
      <c r="I776" s="10">
        <v>2</v>
      </c>
      <c r="J776" t="str">
        <f t="shared" si="60"/>
        <v>Near</v>
      </c>
      <c r="K776">
        <v>1</v>
      </c>
      <c r="L776" t="s">
        <v>53</v>
      </c>
      <c r="M776">
        <v>3</v>
      </c>
      <c r="N776">
        <v>2</v>
      </c>
      <c r="O776">
        <v>4</v>
      </c>
      <c r="P776" t="s">
        <v>59</v>
      </c>
      <c r="Q776">
        <v>1</v>
      </c>
      <c r="R776" s="11">
        <v>444</v>
      </c>
      <c r="S776" s="14">
        <v>40</v>
      </c>
      <c r="T776" s="13">
        <v>16756</v>
      </c>
      <c r="U776" s="13">
        <f t="shared" si="61"/>
        <v>201072</v>
      </c>
      <c r="V776" s="14">
        <v>17323</v>
      </c>
      <c r="W776">
        <v>7</v>
      </c>
      <c r="X776" s="8" t="s">
        <v>46</v>
      </c>
      <c r="Y776" s="15">
        <v>0.15</v>
      </c>
      <c r="Z776">
        <v>3</v>
      </c>
      <c r="AA776">
        <v>2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 t="str">
        <f t="shared" si="62"/>
        <v>4-7</v>
      </c>
      <c r="AI776">
        <v>6</v>
      </c>
      <c r="AJ776" t="str">
        <f t="shared" si="63"/>
        <v>6-8</v>
      </c>
      <c r="AK776">
        <v>2</v>
      </c>
    </row>
    <row r="777" spans="1:37" x14ac:dyDescent="0.25">
      <c r="A777" s="8">
        <v>776</v>
      </c>
      <c r="B777" t="s">
        <v>44</v>
      </c>
      <c r="C777" t="s">
        <v>54</v>
      </c>
      <c r="D777" s="8">
        <v>43</v>
      </c>
      <c r="E777" t="str">
        <f t="shared" si="64"/>
        <v>36-45</v>
      </c>
      <c r="F777" t="s">
        <v>46</v>
      </c>
      <c r="G777" t="s">
        <v>39</v>
      </c>
      <c r="H777" s="8" t="s">
        <v>40</v>
      </c>
      <c r="I777" s="10">
        <v>25</v>
      </c>
      <c r="J777" t="str">
        <f t="shared" si="60"/>
        <v>Far</v>
      </c>
      <c r="K777">
        <v>3</v>
      </c>
      <c r="L777" t="s">
        <v>53</v>
      </c>
      <c r="M777">
        <v>3</v>
      </c>
      <c r="N777">
        <v>2</v>
      </c>
      <c r="O777">
        <v>3</v>
      </c>
      <c r="P777" t="s">
        <v>42</v>
      </c>
      <c r="Q777">
        <v>4</v>
      </c>
      <c r="R777" s="11">
        <v>415</v>
      </c>
      <c r="S777" s="14">
        <v>79</v>
      </c>
      <c r="T777" s="13">
        <v>10798</v>
      </c>
      <c r="U777" s="13">
        <f t="shared" si="61"/>
        <v>129576</v>
      </c>
      <c r="V777" s="14">
        <v>5268</v>
      </c>
      <c r="W777">
        <v>5</v>
      </c>
      <c r="X777" s="8" t="s">
        <v>46</v>
      </c>
      <c r="Y777" s="15">
        <v>0.13</v>
      </c>
      <c r="Z777">
        <v>3</v>
      </c>
      <c r="AA777">
        <v>3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 t="str">
        <f t="shared" si="62"/>
        <v>0-3</v>
      </c>
      <c r="AI777">
        <v>0</v>
      </c>
      <c r="AJ777" t="str">
        <f t="shared" si="63"/>
        <v>0-2</v>
      </c>
      <c r="AK777">
        <v>0</v>
      </c>
    </row>
    <row r="778" spans="1:37" x14ac:dyDescent="0.25">
      <c r="A778" s="8">
        <v>777</v>
      </c>
      <c r="B778" t="s">
        <v>52</v>
      </c>
      <c r="C778" t="s">
        <v>37</v>
      </c>
      <c r="D778" s="8">
        <v>20</v>
      </c>
      <c r="E778" t="str">
        <f t="shared" si="64"/>
        <v>18-25</v>
      </c>
      <c r="F778" t="s">
        <v>38</v>
      </c>
      <c r="G778" t="s">
        <v>47</v>
      </c>
      <c r="H778" s="8" t="s">
        <v>40</v>
      </c>
      <c r="I778" s="10">
        <v>9</v>
      </c>
      <c r="J778" t="str">
        <f t="shared" si="60"/>
        <v>Moderate</v>
      </c>
      <c r="K778">
        <v>3</v>
      </c>
      <c r="L778" t="s">
        <v>62</v>
      </c>
      <c r="M778">
        <v>4</v>
      </c>
      <c r="N778">
        <v>3</v>
      </c>
      <c r="O778">
        <v>1</v>
      </c>
      <c r="P778" t="s">
        <v>60</v>
      </c>
      <c r="Q778">
        <v>4</v>
      </c>
      <c r="R778" s="11">
        <v>769</v>
      </c>
      <c r="S778" s="14">
        <v>54</v>
      </c>
      <c r="T778" s="13">
        <v>2323</v>
      </c>
      <c r="U778" s="13">
        <f t="shared" si="61"/>
        <v>27876</v>
      </c>
      <c r="V778" s="14">
        <v>17205</v>
      </c>
      <c r="W778">
        <v>1</v>
      </c>
      <c r="X778" s="8" t="s">
        <v>38</v>
      </c>
      <c r="Y778" s="15">
        <v>0.14000000000000001</v>
      </c>
      <c r="Z778">
        <v>3</v>
      </c>
      <c r="AA778">
        <v>2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 t="str">
        <f t="shared" si="62"/>
        <v>0-3</v>
      </c>
      <c r="AI778">
        <v>0</v>
      </c>
      <c r="AJ778" t="str">
        <f t="shared" si="63"/>
        <v>0-2</v>
      </c>
      <c r="AK778">
        <v>2</v>
      </c>
    </row>
    <row r="779" spans="1:37" x14ac:dyDescent="0.25">
      <c r="A779" s="8">
        <v>778</v>
      </c>
      <c r="B779" t="s">
        <v>52</v>
      </c>
      <c r="C779" t="s">
        <v>37</v>
      </c>
      <c r="D779" s="8">
        <v>21</v>
      </c>
      <c r="E779" t="str">
        <f t="shared" si="64"/>
        <v>18-25</v>
      </c>
      <c r="F779" t="s">
        <v>38</v>
      </c>
      <c r="G779" t="s">
        <v>39</v>
      </c>
      <c r="H779" s="8" t="s">
        <v>48</v>
      </c>
      <c r="I779" s="10">
        <v>10</v>
      </c>
      <c r="J779" t="str">
        <f t="shared" si="60"/>
        <v>Moderate</v>
      </c>
      <c r="K779">
        <v>3</v>
      </c>
      <c r="L779" t="s">
        <v>41</v>
      </c>
      <c r="M779">
        <v>3</v>
      </c>
      <c r="N779">
        <v>2</v>
      </c>
      <c r="O779">
        <v>1</v>
      </c>
      <c r="P779" t="s">
        <v>51</v>
      </c>
      <c r="Q779">
        <v>1</v>
      </c>
      <c r="R779" s="11">
        <v>1334</v>
      </c>
      <c r="S779" s="14">
        <v>36</v>
      </c>
      <c r="T779" s="13">
        <v>1416</v>
      </c>
      <c r="U779" s="13">
        <f t="shared" si="61"/>
        <v>16992</v>
      </c>
      <c r="V779" s="14">
        <v>17258</v>
      </c>
      <c r="W779">
        <v>1</v>
      </c>
      <c r="X779" s="8" t="s">
        <v>46</v>
      </c>
      <c r="Y779" s="15">
        <v>0.13</v>
      </c>
      <c r="Z779">
        <v>3</v>
      </c>
      <c r="AA779">
        <v>1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 t="str">
        <f t="shared" si="62"/>
        <v>0-3</v>
      </c>
      <c r="AI779">
        <v>1</v>
      </c>
      <c r="AJ779" t="str">
        <f t="shared" si="63"/>
        <v>0-2</v>
      </c>
      <c r="AK779">
        <v>0</v>
      </c>
    </row>
    <row r="780" spans="1:37" x14ac:dyDescent="0.25">
      <c r="A780" s="8">
        <v>779</v>
      </c>
      <c r="B780" t="s">
        <v>52</v>
      </c>
      <c r="C780" t="s">
        <v>54</v>
      </c>
      <c r="D780" s="8">
        <v>46</v>
      </c>
      <c r="E780" t="str">
        <f t="shared" si="64"/>
        <v>46-55</v>
      </c>
      <c r="F780" t="s">
        <v>46</v>
      </c>
      <c r="G780" t="s">
        <v>39</v>
      </c>
      <c r="H780" s="8" t="s">
        <v>48</v>
      </c>
      <c r="I780" s="10">
        <v>8</v>
      </c>
      <c r="J780" t="str">
        <f t="shared" si="60"/>
        <v>Moderate</v>
      </c>
      <c r="K780">
        <v>4</v>
      </c>
      <c r="L780" t="s">
        <v>41</v>
      </c>
      <c r="M780">
        <v>4</v>
      </c>
      <c r="N780">
        <v>2</v>
      </c>
      <c r="O780">
        <v>2</v>
      </c>
      <c r="P780" t="s">
        <v>49</v>
      </c>
      <c r="Q780">
        <v>1</v>
      </c>
      <c r="R780" s="11">
        <v>1003</v>
      </c>
      <c r="S780" s="14">
        <v>74</v>
      </c>
      <c r="T780" s="13">
        <v>4615</v>
      </c>
      <c r="U780" s="13">
        <f t="shared" si="61"/>
        <v>55380</v>
      </c>
      <c r="V780" s="14">
        <v>21029</v>
      </c>
      <c r="W780">
        <v>8</v>
      </c>
      <c r="X780" s="8" t="s">
        <v>38</v>
      </c>
      <c r="Y780" s="15">
        <v>0.23</v>
      </c>
      <c r="Z780">
        <v>4</v>
      </c>
      <c r="AA780">
        <v>1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 t="str">
        <f t="shared" si="62"/>
        <v>12-15</v>
      </c>
      <c r="AI780">
        <v>1</v>
      </c>
      <c r="AJ780" t="str">
        <f t="shared" si="63"/>
        <v>0-2</v>
      </c>
      <c r="AK780">
        <v>7</v>
      </c>
    </row>
    <row r="781" spans="1:37" x14ac:dyDescent="0.25">
      <c r="A781" s="8">
        <v>780</v>
      </c>
      <c r="B781" t="s">
        <v>44</v>
      </c>
      <c r="C781" t="s">
        <v>45</v>
      </c>
      <c r="D781" s="8">
        <v>51</v>
      </c>
      <c r="E781" t="str">
        <f t="shared" si="64"/>
        <v>46-55</v>
      </c>
      <c r="F781" t="s">
        <v>38</v>
      </c>
      <c r="G781" t="s">
        <v>39</v>
      </c>
      <c r="H781" s="8" t="s">
        <v>48</v>
      </c>
      <c r="I781" s="10">
        <v>4</v>
      </c>
      <c r="J781" t="str">
        <f t="shared" si="60"/>
        <v>Near</v>
      </c>
      <c r="K781">
        <v>4</v>
      </c>
      <c r="L781" t="s">
        <v>41</v>
      </c>
      <c r="M781">
        <v>1</v>
      </c>
      <c r="N781">
        <v>3</v>
      </c>
      <c r="O781">
        <v>1</v>
      </c>
      <c r="P781" t="s">
        <v>49</v>
      </c>
      <c r="Q781">
        <v>3</v>
      </c>
      <c r="R781" s="11">
        <v>1323</v>
      </c>
      <c r="S781" s="14">
        <v>34</v>
      </c>
      <c r="T781" s="13">
        <v>2461</v>
      </c>
      <c r="U781" s="13">
        <f t="shared" si="61"/>
        <v>29532</v>
      </c>
      <c r="V781" s="14">
        <v>10332</v>
      </c>
      <c r="W781">
        <v>9</v>
      </c>
      <c r="X781" s="8" t="s">
        <v>38</v>
      </c>
      <c r="Y781" s="15">
        <v>0.12</v>
      </c>
      <c r="Z781">
        <v>3</v>
      </c>
      <c r="AA781">
        <v>3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 t="str">
        <f t="shared" si="62"/>
        <v>0-3</v>
      </c>
      <c r="AI781">
        <v>2</v>
      </c>
      <c r="AJ781" t="str">
        <f t="shared" si="63"/>
        <v>0-2</v>
      </c>
      <c r="AK781">
        <v>7</v>
      </c>
    </row>
    <row r="782" spans="1:37" x14ac:dyDescent="0.25">
      <c r="A782" s="8">
        <v>781</v>
      </c>
      <c r="B782" t="s">
        <v>44</v>
      </c>
      <c r="C782" t="s">
        <v>37</v>
      </c>
      <c r="D782" s="8">
        <v>28</v>
      </c>
      <c r="E782" t="str">
        <f t="shared" si="64"/>
        <v>26-35</v>
      </c>
      <c r="F782" t="s">
        <v>38</v>
      </c>
      <c r="G782" t="s">
        <v>58</v>
      </c>
      <c r="H782" s="8" t="s">
        <v>48</v>
      </c>
      <c r="I782" s="10">
        <v>24</v>
      </c>
      <c r="J782" t="str">
        <f t="shared" si="60"/>
        <v>Far</v>
      </c>
      <c r="K782">
        <v>2</v>
      </c>
      <c r="L782" t="s">
        <v>63</v>
      </c>
      <c r="M782">
        <v>2</v>
      </c>
      <c r="N782">
        <v>2</v>
      </c>
      <c r="O782">
        <v>3</v>
      </c>
      <c r="P782" t="s">
        <v>56</v>
      </c>
      <c r="Q782">
        <v>1</v>
      </c>
      <c r="R782" s="11">
        <v>1366</v>
      </c>
      <c r="S782" s="14">
        <v>72</v>
      </c>
      <c r="T782" s="13">
        <v>8722</v>
      </c>
      <c r="U782" s="13">
        <f t="shared" si="61"/>
        <v>104664</v>
      </c>
      <c r="V782" s="14">
        <v>12355</v>
      </c>
      <c r="W782">
        <v>1</v>
      </c>
      <c r="X782" s="8" t="s">
        <v>46</v>
      </c>
      <c r="Y782" s="15">
        <v>0.12</v>
      </c>
      <c r="Z782">
        <v>3</v>
      </c>
      <c r="AA782">
        <v>1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 t="str">
        <f t="shared" si="62"/>
        <v>4-7</v>
      </c>
      <c r="AI782">
        <v>1</v>
      </c>
      <c r="AJ782" t="str">
        <f t="shared" si="63"/>
        <v>0-2</v>
      </c>
      <c r="AK782">
        <v>9</v>
      </c>
    </row>
    <row r="783" spans="1:37" x14ac:dyDescent="0.25">
      <c r="A783" s="8">
        <v>782</v>
      </c>
      <c r="B783" t="s">
        <v>44</v>
      </c>
      <c r="C783" t="s">
        <v>45</v>
      </c>
      <c r="D783" s="8">
        <v>26</v>
      </c>
      <c r="E783" t="str">
        <f t="shared" si="64"/>
        <v>26-35</v>
      </c>
      <c r="F783" t="s">
        <v>46</v>
      </c>
      <c r="G783" t="s">
        <v>39</v>
      </c>
      <c r="H783" s="8" t="s">
        <v>48</v>
      </c>
      <c r="I783" s="10">
        <v>1</v>
      </c>
      <c r="J783" t="str">
        <f t="shared" si="60"/>
        <v>Near</v>
      </c>
      <c r="K783">
        <v>2</v>
      </c>
      <c r="L783" t="s">
        <v>53</v>
      </c>
      <c r="M783">
        <v>1</v>
      </c>
      <c r="N783">
        <v>2</v>
      </c>
      <c r="O783">
        <v>1</v>
      </c>
      <c r="P783" t="s">
        <v>51</v>
      </c>
      <c r="Q783">
        <v>1</v>
      </c>
      <c r="R783" s="11">
        <v>192</v>
      </c>
      <c r="S783" s="14">
        <v>59</v>
      </c>
      <c r="T783" s="13">
        <v>3955</v>
      </c>
      <c r="U783" s="13">
        <f t="shared" si="61"/>
        <v>47460</v>
      </c>
      <c r="V783" s="14">
        <v>11141</v>
      </c>
      <c r="W783">
        <v>1</v>
      </c>
      <c r="X783" s="8" t="s">
        <v>46</v>
      </c>
      <c r="Y783" s="15">
        <v>0.16</v>
      </c>
      <c r="Z783">
        <v>3</v>
      </c>
      <c r="AA783">
        <v>1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 t="str">
        <f t="shared" si="62"/>
        <v>0-3</v>
      </c>
      <c r="AI783">
        <v>1</v>
      </c>
      <c r="AJ783" t="str">
        <f t="shared" si="63"/>
        <v>0-2</v>
      </c>
      <c r="AK783">
        <v>3</v>
      </c>
    </row>
    <row r="784" spans="1:37" x14ac:dyDescent="0.25">
      <c r="A784" s="8">
        <v>783</v>
      </c>
      <c r="B784" t="s">
        <v>44</v>
      </c>
      <c r="C784" t="s">
        <v>45</v>
      </c>
      <c r="D784" s="8">
        <v>30</v>
      </c>
      <c r="E784" t="str">
        <f t="shared" si="64"/>
        <v>26-35</v>
      </c>
      <c r="F784" t="s">
        <v>46</v>
      </c>
      <c r="G784" t="s">
        <v>39</v>
      </c>
      <c r="H784" s="8" t="s">
        <v>48</v>
      </c>
      <c r="I784" s="10">
        <v>20</v>
      </c>
      <c r="J784" t="str">
        <f t="shared" si="60"/>
        <v>Far</v>
      </c>
      <c r="K784">
        <v>3</v>
      </c>
      <c r="L784" t="s">
        <v>50</v>
      </c>
      <c r="M784">
        <v>3</v>
      </c>
      <c r="N784">
        <v>3</v>
      </c>
      <c r="O784">
        <v>2</v>
      </c>
      <c r="P784" t="s">
        <v>55</v>
      </c>
      <c r="Q784">
        <v>1</v>
      </c>
      <c r="R784" s="11">
        <v>1176</v>
      </c>
      <c r="S784" s="14">
        <v>85</v>
      </c>
      <c r="T784" s="13">
        <v>9957</v>
      </c>
      <c r="U784" s="13">
        <f t="shared" si="61"/>
        <v>119484</v>
      </c>
      <c r="V784" s="14">
        <v>9096</v>
      </c>
      <c r="W784">
        <v>0</v>
      </c>
      <c r="X784" s="8" t="s">
        <v>46</v>
      </c>
      <c r="Y784" s="15">
        <v>0.15</v>
      </c>
      <c r="Z784">
        <v>3</v>
      </c>
      <c r="AA784">
        <v>3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 t="str">
        <f t="shared" si="62"/>
        <v>0-3</v>
      </c>
      <c r="AI784">
        <v>0</v>
      </c>
      <c r="AJ784" t="str">
        <f t="shared" si="63"/>
        <v>0-2</v>
      </c>
      <c r="AK784">
        <v>2</v>
      </c>
    </row>
    <row r="785" spans="1:37" x14ac:dyDescent="0.25">
      <c r="A785" s="8">
        <v>784</v>
      </c>
      <c r="B785" t="s">
        <v>52</v>
      </c>
      <c r="C785" t="s">
        <v>45</v>
      </c>
      <c r="D785" s="8">
        <v>41</v>
      </c>
      <c r="E785" t="str">
        <f t="shared" si="64"/>
        <v>36-45</v>
      </c>
      <c r="F785" t="s">
        <v>46</v>
      </c>
      <c r="G785" t="s">
        <v>39</v>
      </c>
      <c r="H785" s="8" t="s">
        <v>48</v>
      </c>
      <c r="I785" s="10">
        <v>7</v>
      </c>
      <c r="J785" t="str">
        <f t="shared" si="60"/>
        <v>Moderate</v>
      </c>
      <c r="K785">
        <v>2</v>
      </c>
      <c r="L785" t="s">
        <v>63</v>
      </c>
      <c r="M785">
        <v>2</v>
      </c>
      <c r="N785">
        <v>4</v>
      </c>
      <c r="O785">
        <v>1</v>
      </c>
      <c r="P785" t="s">
        <v>49</v>
      </c>
      <c r="Q785">
        <v>3</v>
      </c>
      <c r="R785" s="11">
        <v>509</v>
      </c>
      <c r="S785" s="14">
        <v>43</v>
      </c>
      <c r="T785" s="13">
        <v>3376</v>
      </c>
      <c r="U785" s="13">
        <f t="shared" si="61"/>
        <v>40512</v>
      </c>
      <c r="V785" s="14">
        <v>18863</v>
      </c>
      <c r="W785">
        <v>1</v>
      </c>
      <c r="X785" s="8" t="s">
        <v>46</v>
      </c>
      <c r="Y785" s="15">
        <v>0.13</v>
      </c>
      <c r="Z785">
        <v>3</v>
      </c>
      <c r="AA785">
        <v>3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 t="str">
        <f t="shared" si="62"/>
        <v>4-7</v>
      </c>
      <c r="AI785">
        <v>0</v>
      </c>
      <c r="AJ785" t="str">
        <f t="shared" si="63"/>
        <v>0-2</v>
      </c>
      <c r="AK785">
        <v>8</v>
      </c>
    </row>
    <row r="786" spans="1:37" x14ac:dyDescent="0.25">
      <c r="A786" s="8">
        <v>785</v>
      </c>
      <c r="B786" t="s">
        <v>52</v>
      </c>
      <c r="C786" t="s">
        <v>45</v>
      </c>
      <c r="D786" s="8">
        <v>38</v>
      </c>
      <c r="E786" t="str">
        <f t="shared" si="64"/>
        <v>36-45</v>
      </c>
      <c r="F786" t="s">
        <v>46</v>
      </c>
      <c r="G786" t="s">
        <v>39</v>
      </c>
      <c r="H786" s="8" t="s">
        <v>48</v>
      </c>
      <c r="I786" s="10">
        <v>17</v>
      </c>
      <c r="J786" t="str">
        <f t="shared" si="60"/>
        <v>Far</v>
      </c>
      <c r="K786">
        <v>1</v>
      </c>
      <c r="L786" t="s">
        <v>41</v>
      </c>
      <c r="M786">
        <v>3</v>
      </c>
      <c r="N786">
        <v>2</v>
      </c>
      <c r="O786">
        <v>3</v>
      </c>
      <c r="P786" t="s">
        <v>56</v>
      </c>
      <c r="Q786">
        <v>3</v>
      </c>
      <c r="R786" s="11">
        <v>330</v>
      </c>
      <c r="S786" s="14">
        <v>65</v>
      </c>
      <c r="T786" s="13">
        <v>8823</v>
      </c>
      <c r="U786" s="13">
        <f t="shared" si="61"/>
        <v>105876</v>
      </c>
      <c r="V786" s="14">
        <v>24608</v>
      </c>
      <c r="W786">
        <v>0</v>
      </c>
      <c r="X786" s="8" t="s">
        <v>46</v>
      </c>
      <c r="Y786" s="15">
        <v>0.18</v>
      </c>
      <c r="Z786">
        <v>3</v>
      </c>
      <c r="AA786">
        <v>1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 t="str">
        <f t="shared" si="62"/>
        <v>8-11</v>
      </c>
      <c r="AI786">
        <v>1</v>
      </c>
      <c r="AJ786" t="str">
        <f t="shared" si="63"/>
        <v>0-2</v>
      </c>
      <c r="AK786">
        <v>9</v>
      </c>
    </row>
    <row r="787" spans="1:37" x14ac:dyDescent="0.25">
      <c r="A787" s="8">
        <v>786</v>
      </c>
      <c r="B787" t="s">
        <v>44</v>
      </c>
      <c r="C787" t="s">
        <v>45</v>
      </c>
      <c r="D787" s="8">
        <v>40</v>
      </c>
      <c r="E787" t="str">
        <f t="shared" si="64"/>
        <v>36-45</v>
      </c>
      <c r="F787" t="s">
        <v>46</v>
      </c>
      <c r="G787" t="s">
        <v>39</v>
      </c>
      <c r="H787" s="8" t="s">
        <v>48</v>
      </c>
      <c r="I787" s="10">
        <v>20</v>
      </c>
      <c r="J787" t="str">
        <f t="shared" si="60"/>
        <v>Far</v>
      </c>
      <c r="K787">
        <v>4</v>
      </c>
      <c r="L787" t="s">
        <v>63</v>
      </c>
      <c r="M787">
        <v>1</v>
      </c>
      <c r="N787">
        <v>3</v>
      </c>
      <c r="O787">
        <v>3</v>
      </c>
      <c r="P787" t="s">
        <v>56</v>
      </c>
      <c r="Q787">
        <v>4</v>
      </c>
      <c r="R787" s="11">
        <v>1492</v>
      </c>
      <c r="S787" s="14">
        <v>61</v>
      </c>
      <c r="T787" s="13">
        <v>10322</v>
      </c>
      <c r="U787" s="13">
        <f t="shared" si="61"/>
        <v>123864</v>
      </c>
      <c r="V787" s="14">
        <v>26542</v>
      </c>
      <c r="W787">
        <v>4</v>
      </c>
      <c r="X787" s="8" t="s">
        <v>46</v>
      </c>
      <c r="Y787" s="15">
        <v>0.2</v>
      </c>
      <c r="Z787">
        <v>4</v>
      </c>
      <c r="AA787">
        <v>4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 t="str">
        <f t="shared" si="62"/>
        <v>8-11</v>
      </c>
      <c r="AI787">
        <v>11</v>
      </c>
      <c r="AJ787" t="str">
        <f t="shared" si="63"/>
        <v>9-11</v>
      </c>
      <c r="AK787">
        <v>1</v>
      </c>
    </row>
    <row r="788" spans="1:37" x14ac:dyDescent="0.25">
      <c r="A788" s="8">
        <v>787</v>
      </c>
      <c r="B788" t="s">
        <v>44</v>
      </c>
      <c r="C788" t="s">
        <v>45</v>
      </c>
      <c r="D788" s="8">
        <v>27</v>
      </c>
      <c r="E788" t="str">
        <f t="shared" si="64"/>
        <v>26-35</v>
      </c>
      <c r="F788" t="s">
        <v>46</v>
      </c>
      <c r="G788" t="s">
        <v>58</v>
      </c>
      <c r="H788" s="8" t="s">
        <v>48</v>
      </c>
      <c r="I788" s="10">
        <v>8</v>
      </c>
      <c r="J788" t="str">
        <f t="shared" si="60"/>
        <v>Moderate</v>
      </c>
      <c r="K788">
        <v>5</v>
      </c>
      <c r="L788" t="s">
        <v>41</v>
      </c>
      <c r="M788">
        <v>1</v>
      </c>
      <c r="N788">
        <v>1</v>
      </c>
      <c r="O788">
        <v>1</v>
      </c>
      <c r="P788" t="s">
        <v>51</v>
      </c>
      <c r="Q788">
        <v>3</v>
      </c>
      <c r="R788" s="11">
        <v>1277</v>
      </c>
      <c r="S788" s="14">
        <v>87</v>
      </c>
      <c r="T788" s="13">
        <v>4621</v>
      </c>
      <c r="U788" s="13">
        <f t="shared" si="61"/>
        <v>55452</v>
      </c>
      <c r="V788" s="14">
        <v>5869</v>
      </c>
      <c r="W788">
        <v>1</v>
      </c>
      <c r="X788" s="8" t="s">
        <v>46</v>
      </c>
      <c r="Y788" s="15">
        <v>0.19</v>
      </c>
      <c r="Z788">
        <v>3</v>
      </c>
      <c r="AA788">
        <v>4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 t="str">
        <f t="shared" si="62"/>
        <v>0-3</v>
      </c>
      <c r="AI788">
        <v>1</v>
      </c>
      <c r="AJ788" t="str">
        <f t="shared" si="63"/>
        <v>0-2</v>
      </c>
      <c r="AK788">
        <v>2</v>
      </c>
    </row>
    <row r="789" spans="1:37" x14ac:dyDescent="0.25">
      <c r="A789" s="8">
        <v>788</v>
      </c>
      <c r="B789" t="s">
        <v>44</v>
      </c>
      <c r="C789" t="s">
        <v>45</v>
      </c>
      <c r="D789" s="8">
        <v>55</v>
      </c>
      <c r="E789" t="str">
        <f t="shared" si="64"/>
        <v>46-55</v>
      </c>
      <c r="F789" t="s">
        <v>46</v>
      </c>
      <c r="G789" t="s">
        <v>47</v>
      </c>
      <c r="H789" s="8" t="s">
        <v>48</v>
      </c>
      <c r="I789" s="10">
        <v>2</v>
      </c>
      <c r="J789" t="str">
        <f t="shared" si="60"/>
        <v>Near</v>
      </c>
      <c r="K789">
        <v>1</v>
      </c>
      <c r="L789" t="s">
        <v>41</v>
      </c>
      <c r="M789">
        <v>4</v>
      </c>
      <c r="N789">
        <v>3</v>
      </c>
      <c r="O789">
        <v>3</v>
      </c>
      <c r="P789" t="s">
        <v>55</v>
      </c>
      <c r="Q789">
        <v>2</v>
      </c>
      <c r="R789" s="11">
        <v>1091</v>
      </c>
      <c r="S789" s="14">
        <v>65</v>
      </c>
      <c r="T789" s="13">
        <v>10976</v>
      </c>
      <c r="U789" s="13">
        <f t="shared" si="61"/>
        <v>131712</v>
      </c>
      <c r="V789" s="14">
        <v>15813</v>
      </c>
      <c r="W789">
        <v>3</v>
      </c>
      <c r="X789" s="8" t="s">
        <v>46</v>
      </c>
      <c r="Y789" s="15">
        <v>0.18</v>
      </c>
      <c r="Z789">
        <v>3</v>
      </c>
      <c r="AA789">
        <v>2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 t="str">
        <f t="shared" si="62"/>
        <v>0-3</v>
      </c>
      <c r="AI789">
        <v>1</v>
      </c>
      <c r="AJ789" t="str">
        <f t="shared" si="63"/>
        <v>0-2</v>
      </c>
      <c r="AK789">
        <v>2</v>
      </c>
    </row>
    <row r="790" spans="1:37" x14ac:dyDescent="0.25">
      <c r="A790" s="8">
        <v>789</v>
      </c>
      <c r="B790" t="s">
        <v>52</v>
      </c>
      <c r="C790" t="s">
        <v>37</v>
      </c>
      <c r="D790" s="8">
        <v>28</v>
      </c>
      <c r="E790" t="str">
        <f t="shared" si="64"/>
        <v>26-35</v>
      </c>
      <c r="F790" t="s">
        <v>46</v>
      </c>
      <c r="G790" t="s">
        <v>39</v>
      </c>
      <c r="H790" s="8" t="s">
        <v>48</v>
      </c>
      <c r="I790" s="10">
        <v>10</v>
      </c>
      <c r="J790" t="str">
        <f t="shared" si="60"/>
        <v>Moderate</v>
      </c>
      <c r="K790">
        <v>3</v>
      </c>
      <c r="L790" t="s">
        <v>50</v>
      </c>
      <c r="M790">
        <v>3</v>
      </c>
      <c r="N790">
        <v>3</v>
      </c>
      <c r="O790">
        <v>2</v>
      </c>
      <c r="P790" t="s">
        <v>49</v>
      </c>
      <c r="Q790">
        <v>3</v>
      </c>
      <c r="R790" s="11">
        <v>857</v>
      </c>
      <c r="S790" s="14">
        <v>59</v>
      </c>
      <c r="T790" s="13">
        <v>3660</v>
      </c>
      <c r="U790" s="13">
        <f t="shared" si="61"/>
        <v>43920</v>
      </c>
      <c r="V790" s="14">
        <v>7909</v>
      </c>
      <c r="W790">
        <v>3</v>
      </c>
      <c r="X790" s="8" t="s">
        <v>46</v>
      </c>
      <c r="Y790" s="15">
        <v>0.13</v>
      </c>
      <c r="Z790">
        <v>3</v>
      </c>
      <c r="AA790">
        <v>4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 t="str">
        <f t="shared" si="62"/>
        <v>4-7</v>
      </c>
      <c r="AI790">
        <v>1</v>
      </c>
      <c r="AJ790" t="str">
        <f t="shared" si="63"/>
        <v>0-2</v>
      </c>
      <c r="AK790">
        <v>7</v>
      </c>
    </row>
    <row r="791" spans="1:37" x14ac:dyDescent="0.25">
      <c r="A791" s="8">
        <v>790</v>
      </c>
      <c r="B791" t="s">
        <v>44</v>
      </c>
      <c r="C791" t="s">
        <v>45</v>
      </c>
      <c r="D791" s="8">
        <v>44</v>
      </c>
      <c r="E791" t="str">
        <f t="shared" si="64"/>
        <v>36-45</v>
      </c>
      <c r="F791" t="s">
        <v>38</v>
      </c>
      <c r="G791" t="s">
        <v>39</v>
      </c>
      <c r="H791" s="8" t="s">
        <v>64</v>
      </c>
      <c r="I791" s="10">
        <v>1</v>
      </c>
      <c r="J791" t="str">
        <f t="shared" si="60"/>
        <v>Near</v>
      </c>
      <c r="K791">
        <v>2</v>
      </c>
      <c r="L791" t="s">
        <v>53</v>
      </c>
      <c r="M791">
        <v>2</v>
      </c>
      <c r="N791">
        <v>2</v>
      </c>
      <c r="O791">
        <v>3</v>
      </c>
      <c r="P791" t="s">
        <v>64</v>
      </c>
      <c r="Q791">
        <v>1</v>
      </c>
      <c r="R791" s="11">
        <v>1376</v>
      </c>
      <c r="S791" s="14">
        <v>91</v>
      </c>
      <c r="T791" s="13">
        <v>10482</v>
      </c>
      <c r="U791" s="13">
        <f t="shared" si="61"/>
        <v>125784</v>
      </c>
      <c r="V791" s="14">
        <v>2326</v>
      </c>
      <c r="W791">
        <v>9</v>
      </c>
      <c r="X791" s="8" t="s">
        <v>46</v>
      </c>
      <c r="Y791" s="15">
        <v>0.14000000000000001</v>
      </c>
      <c r="Z791">
        <v>3</v>
      </c>
      <c r="AA791">
        <v>4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 t="str">
        <f t="shared" si="62"/>
        <v>4-7</v>
      </c>
      <c r="AI791">
        <v>3</v>
      </c>
      <c r="AJ791" t="str">
        <f t="shared" si="63"/>
        <v>3-5</v>
      </c>
      <c r="AK791">
        <v>6</v>
      </c>
    </row>
    <row r="792" spans="1:37" x14ac:dyDescent="0.25">
      <c r="A792" s="8">
        <v>791</v>
      </c>
      <c r="B792" t="s">
        <v>44</v>
      </c>
      <c r="C792" t="s">
        <v>54</v>
      </c>
      <c r="D792" s="8">
        <v>33</v>
      </c>
      <c r="E792" t="str">
        <f t="shared" si="64"/>
        <v>26-35</v>
      </c>
      <c r="F792" t="s">
        <v>46</v>
      </c>
      <c r="G792" t="s">
        <v>39</v>
      </c>
      <c r="H792" s="8" t="s">
        <v>48</v>
      </c>
      <c r="I792" s="10">
        <v>5</v>
      </c>
      <c r="J792" t="str">
        <f t="shared" si="60"/>
        <v>Near</v>
      </c>
      <c r="K792">
        <v>3</v>
      </c>
      <c r="L792" t="s">
        <v>41</v>
      </c>
      <c r="M792">
        <v>4</v>
      </c>
      <c r="N792">
        <v>2</v>
      </c>
      <c r="O792">
        <v>3</v>
      </c>
      <c r="P792" t="s">
        <v>56</v>
      </c>
      <c r="Q792">
        <v>4</v>
      </c>
      <c r="R792" s="11">
        <v>654</v>
      </c>
      <c r="S792" s="14">
        <v>34</v>
      </c>
      <c r="T792" s="13">
        <v>7119</v>
      </c>
      <c r="U792" s="13">
        <f t="shared" si="61"/>
        <v>85428</v>
      </c>
      <c r="V792" s="14">
        <v>21214</v>
      </c>
      <c r="W792">
        <v>4</v>
      </c>
      <c r="X792" s="8" t="s">
        <v>46</v>
      </c>
      <c r="Y792" s="15">
        <v>0.15</v>
      </c>
      <c r="Z792">
        <v>3</v>
      </c>
      <c r="AA792">
        <v>3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 t="str">
        <f t="shared" si="62"/>
        <v>0-3</v>
      </c>
      <c r="AI792">
        <v>1</v>
      </c>
      <c r="AJ792" t="str">
        <f t="shared" si="63"/>
        <v>0-2</v>
      </c>
      <c r="AK792">
        <v>2</v>
      </c>
    </row>
    <row r="793" spans="1:37" x14ac:dyDescent="0.25">
      <c r="A793" s="8">
        <v>792</v>
      </c>
      <c r="B793" t="s">
        <v>44</v>
      </c>
      <c r="C793" t="s">
        <v>37</v>
      </c>
      <c r="D793" s="8">
        <v>35</v>
      </c>
      <c r="E793" t="str">
        <f t="shared" si="64"/>
        <v>26-35</v>
      </c>
      <c r="F793" t="s">
        <v>38</v>
      </c>
      <c r="G793" t="s">
        <v>39</v>
      </c>
      <c r="H793" s="8" t="s">
        <v>40</v>
      </c>
      <c r="I793" s="10">
        <v>4</v>
      </c>
      <c r="J793" t="str">
        <f t="shared" si="60"/>
        <v>Near</v>
      </c>
      <c r="K793">
        <v>3</v>
      </c>
      <c r="L793" t="s">
        <v>63</v>
      </c>
      <c r="M793">
        <v>4</v>
      </c>
      <c r="N793">
        <v>3</v>
      </c>
      <c r="O793">
        <v>3</v>
      </c>
      <c r="P793" t="s">
        <v>42</v>
      </c>
      <c r="Q793">
        <v>1</v>
      </c>
      <c r="R793" s="11">
        <v>1204</v>
      </c>
      <c r="S793" s="14">
        <v>86</v>
      </c>
      <c r="T793" s="13">
        <v>9582</v>
      </c>
      <c r="U793" s="13">
        <f t="shared" si="61"/>
        <v>114984</v>
      </c>
      <c r="V793" s="14">
        <v>10333</v>
      </c>
      <c r="W793">
        <v>0</v>
      </c>
      <c r="X793" s="8" t="s">
        <v>38</v>
      </c>
      <c r="Y793" s="15">
        <v>0.22</v>
      </c>
      <c r="Z793">
        <v>4</v>
      </c>
      <c r="AA793">
        <v>1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 t="str">
        <f t="shared" si="62"/>
        <v>4-7</v>
      </c>
      <c r="AI793">
        <v>4</v>
      </c>
      <c r="AJ793" t="str">
        <f t="shared" si="63"/>
        <v>3-5</v>
      </c>
      <c r="AK793">
        <v>7</v>
      </c>
    </row>
    <row r="794" spans="1:37" x14ac:dyDescent="0.25">
      <c r="A794" s="8">
        <v>793</v>
      </c>
      <c r="B794" t="s">
        <v>52</v>
      </c>
      <c r="C794" t="s">
        <v>37</v>
      </c>
      <c r="D794" s="8">
        <v>33</v>
      </c>
      <c r="E794" t="str">
        <f t="shared" si="64"/>
        <v>26-35</v>
      </c>
      <c r="F794" t="s">
        <v>38</v>
      </c>
      <c r="G794" t="s">
        <v>47</v>
      </c>
      <c r="H794" s="8" t="s">
        <v>48</v>
      </c>
      <c r="I794" s="10">
        <v>29</v>
      </c>
      <c r="J794" t="str">
        <f t="shared" si="60"/>
        <v>Far</v>
      </c>
      <c r="K794">
        <v>4</v>
      </c>
      <c r="L794" t="s">
        <v>53</v>
      </c>
      <c r="M794">
        <v>1</v>
      </c>
      <c r="N794">
        <v>2</v>
      </c>
      <c r="O794">
        <v>2</v>
      </c>
      <c r="P794" t="s">
        <v>49</v>
      </c>
      <c r="Q794">
        <v>3</v>
      </c>
      <c r="R794" s="11">
        <v>827</v>
      </c>
      <c r="S794" s="14">
        <v>54</v>
      </c>
      <c r="T794" s="13">
        <v>4508</v>
      </c>
      <c r="U794" s="13">
        <f t="shared" si="61"/>
        <v>54096</v>
      </c>
      <c r="V794" s="14">
        <v>3129</v>
      </c>
      <c r="W794">
        <v>1</v>
      </c>
      <c r="X794" s="8" t="s">
        <v>46</v>
      </c>
      <c r="Y794" s="15">
        <v>0.22</v>
      </c>
      <c r="Z794">
        <v>4</v>
      </c>
      <c r="AA794">
        <v>2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 t="str">
        <f t="shared" si="62"/>
        <v>4-7</v>
      </c>
      <c r="AI794">
        <v>3</v>
      </c>
      <c r="AJ794" t="str">
        <f t="shared" si="63"/>
        <v>3-5</v>
      </c>
      <c r="AK794">
        <v>8</v>
      </c>
    </row>
    <row r="795" spans="1:37" x14ac:dyDescent="0.25">
      <c r="A795" s="8">
        <v>794</v>
      </c>
      <c r="B795" t="s">
        <v>44</v>
      </c>
      <c r="C795" t="s">
        <v>54</v>
      </c>
      <c r="D795" s="8">
        <v>28</v>
      </c>
      <c r="E795" t="str">
        <f t="shared" si="64"/>
        <v>26-35</v>
      </c>
      <c r="F795" t="s">
        <v>46</v>
      </c>
      <c r="G795" t="s">
        <v>39</v>
      </c>
      <c r="H795" s="8" t="s">
        <v>48</v>
      </c>
      <c r="I795" s="10">
        <v>15</v>
      </c>
      <c r="J795" t="str">
        <f t="shared" si="60"/>
        <v>Moderate</v>
      </c>
      <c r="K795">
        <v>2</v>
      </c>
      <c r="L795" t="s">
        <v>41</v>
      </c>
      <c r="M795">
        <v>1</v>
      </c>
      <c r="N795">
        <v>3</v>
      </c>
      <c r="O795">
        <v>1</v>
      </c>
      <c r="P795" t="s">
        <v>51</v>
      </c>
      <c r="Q795">
        <v>3</v>
      </c>
      <c r="R795" s="11">
        <v>895</v>
      </c>
      <c r="S795" s="14">
        <v>50</v>
      </c>
      <c r="T795" s="13">
        <v>2207</v>
      </c>
      <c r="U795" s="13">
        <f t="shared" si="61"/>
        <v>26484</v>
      </c>
      <c r="V795" s="14">
        <v>22482</v>
      </c>
      <c r="W795">
        <v>1</v>
      </c>
      <c r="X795" s="8" t="s">
        <v>46</v>
      </c>
      <c r="Y795" s="15">
        <v>0.16</v>
      </c>
      <c r="Z795">
        <v>3</v>
      </c>
      <c r="AA795">
        <v>4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 t="str">
        <f t="shared" si="62"/>
        <v>0-3</v>
      </c>
      <c r="AI795">
        <v>2</v>
      </c>
      <c r="AJ795" t="str">
        <f t="shared" si="63"/>
        <v>0-2</v>
      </c>
      <c r="AK795">
        <v>2</v>
      </c>
    </row>
    <row r="796" spans="1:37" x14ac:dyDescent="0.25">
      <c r="A796" s="8">
        <v>795</v>
      </c>
      <c r="B796" t="s">
        <v>44</v>
      </c>
      <c r="C796" t="s">
        <v>37</v>
      </c>
      <c r="D796" s="8">
        <v>34</v>
      </c>
      <c r="E796" t="str">
        <f t="shared" si="64"/>
        <v>26-35</v>
      </c>
      <c r="F796" t="s">
        <v>46</v>
      </c>
      <c r="G796" t="s">
        <v>47</v>
      </c>
      <c r="H796" s="8" t="s">
        <v>48</v>
      </c>
      <c r="I796" s="10">
        <v>3</v>
      </c>
      <c r="J796" t="str">
        <f t="shared" si="60"/>
        <v>Near</v>
      </c>
      <c r="K796">
        <v>1</v>
      </c>
      <c r="L796" t="s">
        <v>41</v>
      </c>
      <c r="M796">
        <v>1</v>
      </c>
      <c r="N796">
        <v>3</v>
      </c>
      <c r="O796">
        <v>2</v>
      </c>
      <c r="P796" t="s">
        <v>56</v>
      </c>
      <c r="Q796">
        <v>4</v>
      </c>
      <c r="R796" s="11">
        <v>618</v>
      </c>
      <c r="S796" s="14">
        <v>45</v>
      </c>
      <c r="T796" s="13">
        <v>7756</v>
      </c>
      <c r="U796" s="13">
        <f t="shared" si="61"/>
        <v>93072</v>
      </c>
      <c r="V796" s="14">
        <v>22266</v>
      </c>
      <c r="W796">
        <v>0</v>
      </c>
      <c r="X796" s="8" t="s">
        <v>46</v>
      </c>
      <c r="Y796" s="15">
        <v>0.17</v>
      </c>
      <c r="Z796">
        <v>3</v>
      </c>
      <c r="AA796">
        <v>3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 t="str">
        <f t="shared" si="62"/>
        <v>0-3</v>
      </c>
      <c r="AI796">
        <v>0</v>
      </c>
      <c r="AJ796" t="str">
        <f t="shared" si="63"/>
        <v>0-2</v>
      </c>
      <c r="AK796">
        <v>4</v>
      </c>
    </row>
    <row r="797" spans="1:37" x14ac:dyDescent="0.25">
      <c r="A797" s="8">
        <v>796</v>
      </c>
      <c r="B797" t="s">
        <v>52</v>
      </c>
      <c r="C797" t="s">
        <v>54</v>
      </c>
      <c r="D797" s="8">
        <v>37</v>
      </c>
      <c r="E797" t="str">
        <f t="shared" si="64"/>
        <v>36-45</v>
      </c>
      <c r="F797" t="s">
        <v>46</v>
      </c>
      <c r="G797" t="s">
        <v>39</v>
      </c>
      <c r="H797" s="8" t="s">
        <v>40</v>
      </c>
      <c r="I797" s="10">
        <v>10</v>
      </c>
      <c r="J797" t="str">
        <f t="shared" si="60"/>
        <v>Moderate</v>
      </c>
      <c r="K797">
        <v>4</v>
      </c>
      <c r="L797" t="s">
        <v>41</v>
      </c>
      <c r="M797">
        <v>4</v>
      </c>
      <c r="N797">
        <v>2</v>
      </c>
      <c r="O797">
        <v>2</v>
      </c>
      <c r="P797" t="s">
        <v>42</v>
      </c>
      <c r="Q797">
        <v>4</v>
      </c>
      <c r="R797" s="11">
        <v>309</v>
      </c>
      <c r="S797" s="14">
        <v>88</v>
      </c>
      <c r="T797" s="13">
        <v>6694</v>
      </c>
      <c r="U797" s="13">
        <f t="shared" si="61"/>
        <v>80328</v>
      </c>
      <c r="V797" s="14">
        <v>24223</v>
      </c>
      <c r="W797">
        <v>2</v>
      </c>
      <c r="X797" s="8" t="s">
        <v>38</v>
      </c>
      <c r="Y797" s="15">
        <v>0.14000000000000001</v>
      </c>
      <c r="Z797">
        <v>3</v>
      </c>
      <c r="AA797">
        <v>3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 t="str">
        <f t="shared" si="62"/>
        <v>0-3</v>
      </c>
      <c r="AI797">
        <v>0</v>
      </c>
      <c r="AJ797" t="str">
        <f t="shared" si="63"/>
        <v>0-2</v>
      </c>
      <c r="AK797">
        <v>0</v>
      </c>
    </row>
    <row r="798" spans="1:37" x14ac:dyDescent="0.25">
      <c r="A798" s="8">
        <v>797</v>
      </c>
      <c r="B798" t="s">
        <v>44</v>
      </c>
      <c r="C798" t="s">
        <v>45</v>
      </c>
      <c r="D798" s="8">
        <v>25</v>
      </c>
      <c r="E798" t="str">
        <f t="shared" si="64"/>
        <v>26-35</v>
      </c>
      <c r="F798" t="s">
        <v>38</v>
      </c>
      <c r="G798" t="s">
        <v>39</v>
      </c>
      <c r="H798" s="8" t="s">
        <v>48</v>
      </c>
      <c r="I798" s="10">
        <v>4</v>
      </c>
      <c r="J798" t="str">
        <f t="shared" si="60"/>
        <v>Near</v>
      </c>
      <c r="K798">
        <v>1</v>
      </c>
      <c r="L798" t="s">
        <v>63</v>
      </c>
      <c r="M798">
        <v>4</v>
      </c>
      <c r="N798">
        <v>3</v>
      </c>
      <c r="O798">
        <v>1</v>
      </c>
      <c r="P798" t="s">
        <v>51</v>
      </c>
      <c r="Q798">
        <v>4</v>
      </c>
      <c r="R798" s="11">
        <v>1219</v>
      </c>
      <c r="S798" s="14">
        <v>32</v>
      </c>
      <c r="T798" s="13">
        <v>3691</v>
      </c>
      <c r="U798" s="13">
        <f t="shared" si="61"/>
        <v>44292</v>
      </c>
      <c r="V798" s="14">
        <v>4605</v>
      </c>
      <c r="W798">
        <v>1</v>
      </c>
      <c r="X798" s="8" t="s">
        <v>38</v>
      </c>
      <c r="Y798" s="15">
        <v>0.15</v>
      </c>
      <c r="Z798">
        <v>3</v>
      </c>
      <c r="AA798">
        <v>2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 t="str">
        <f t="shared" si="62"/>
        <v>4-7</v>
      </c>
      <c r="AI798">
        <v>5</v>
      </c>
      <c r="AJ798" t="str">
        <f t="shared" si="63"/>
        <v>3-5</v>
      </c>
      <c r="AK798">
        <v>6</v>
      </c>
    </row>
    <row r="799" spans="1:37" x14ac:dyDescent="0.25">
      <c r="A799" s="8">
        <v>798</v>
      </c>
      <c r="B799" t="s">
        <v>44</v>
      </c>
      <c r="C799" t="s">
        <v>54</v>
      </c>
      <c r="D799" s="8">
        <v>26</v>
      </c>
      <c r="E799" t="str">
        <f t="shared" si="64"/>
        <v>26-35</v>
      </c>
      <c r="F799" t="s">
        <v>38</v>
      </c>
      <c r="G799" t="s">
        <v>39</v>
      </c>
      <c r="H799" s="8" t="s">
        <v>48</v>
      </c>
      <c r="I799" s="10">
        <v>21</v>
      </c>
      <c r="J799" t="str">
        <f t="shared" si="60"/>
        <v>Far</v>
      </c>
      <c r="K799">
        <v>3</v>
      </c>
      <c r="L799" t="s">
        <v>53</v>
      </c>
      <c r="M799">
        <v>1</v>
      </c>
      <c r="N799">
        <v>3</v>
      </c>
      <c r="O799">
        <v>1</v>
      </c>
      <c r="P799" t="s">
        <v>51</v>
      </c>
      <c r="Q799">
        <v>3</v>
      </c>
      <c r="R799" s="11">
        <v>1330</v>
      </c>
      <c r="S799" s="14">
        <v>37</v>
      </c>
      <c r="T799" s="13">
        <v>2377</v>
      </c>
      <c r="U799" s="13">
        <f t="shared" si="61"/>
        <v>28524</v>
      </c>
      <c r="V799" s="14">
        <v>19373</v>
      </c>
      <c r="W799">
        <v>1</v>
      </c>
      <c r="X799" s="8" t="s">
        <v>46</v>
      </c>
      <c r="Y799" s="15">
        <v>0.2</v>
      </c>
      <c r="Z799">
        <v>4</v>
      </c>
      <c r="AA799">
        <v>3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 t="str">
        <f t="shared" si="62"/>
        <v>0-3</v>
      </c>
      <c r="AI799">
        <v>0</v>
      </c>
      <c r="AJ799" t="str">
        <f t="shared" si="63"/>
        <v>0-2</v>
      </c>
      <c r="AK799">
        <v>0</v>
      </c>
    </row>
    <row r="800" spans="1:37" x14ac:dyDescent="0.25">
      <c r="A800" s="8">
        <v>799</v>
      </c>
      <c r="B800" t="s">
        <v>44</v>
      </c>
      <c r="C800" t="s">
        <v>37</v>
      </c>
      <c r="D800" s="8">
        <v>33</v>
      </c>
      <c r="E800" t="str">
        <f t="shared" si="64"/>
        <v>26-35</v>
      </c>
      <c r="F800" t="s">
        <v>38</v>
      </c>
      <c r="G800" t="s">
        <v>39</v>
      </c>
      <c r="H800" s="8" t="s">
        <v>48</v>
      </c>
      <c r="I800" s="10">
        <v>25</v>
      </c>
      <c r="J800" t="str">
        <f t="shared" si="60"/>
        <v>Far</v>
      </c>
      <c r="K800">
        <v>3</v>
      </c>
      <c r="L800" t="s">
        <v>53</v>
      </c>
      <c r="M800">
        <v>1</v>
      </c>
      <c r="N800">
        <v>2</v>
      </c>
      <c r="O800">
        <v>1</v>
      </c>
      <c r="P800" t="s">
        <v>49</v>
      </c>
      <c r="Q800">
        <v>2</v>
      </c>
      <c r="R800" s="11">
        <v>1017</v>
      </c>
      <c r="S800" s="14">
        <v>55</v>
      </c>
      <c r="T800" s="13">
        <v>2313</v>
      </c>
      <c r="U800" s="13">
        <f t="shared" si="61"/>
        <v>27756</v>
      </c>
      <c r="V800" s="14">
        <v>2993</v>
      </c>
      <c r="W800">
        <v>4</v>
      </c>
      <c r="X800" s="8" t="s">
        <v>38</v>
      </c>
      <c r="Y800" s="15">
        <v>0.2</v>
      </c>
      <c r="Z800">
        <v>4</v>
      </c>
      <c r="AA800">
        <v>2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 t="str">
        <f t="shared" si="62"/>
        <v>0-3</v>
      </c>
      <c r="AI800">
        <v>2</v>
      </c>
      <c r="AJ800" t="str">
        <f t="shared" si="63"/>
        <v>0-2</v>
      </c>
      <c r="AK800">
        <v>2</v>
      </c>
    </row>
    <row r="801" spans="1:37" x14ac:dyDescent="0.25">
      <c r="A801" s="8">
        <v>800</v>
      </c>
      <c r="B801" t="s">
        <v>44</v>
      </c>
      <c r="C801" t="s">
        <v>45</v>
      </c>
      <c r="D801" s="8">
        <v>42</v>
      </c>
      <c r="E801" t="str">
        <f t="shared" si="64"/>
        <v>36-45</v>
      </c>
      <c r="F801" t="s">
        <v>46</v>
      </c>
      <c r="G801" t="s">
        <v>39</v>
      </c>
      <c r="H801" s="8" t="s">
        <v>48</v>
      </c>
      <c r="I801" s="10">
        <v>2</v>
      </c>
      <c r="J801" t="str">
        <f t="shared" si="60"/>
        <v>Near</v>
      </c>
      <c r="K801">
        <v>2</v>
      </c>
      <c r="L801" t="s">
        <v>53</v>
      </c>
      <c r="M801">
        <v>4</v>
      </c>
      <c r="N801">
        <v>3</v>
      </c>
      <c r="O801">
        <v>4</v>
      </c>
      <c r="P801" t="s">
        <v>59</v>
      </c>
      <c r="Q801">
        <v>1</v>
      </c>
      <c r="R801" s="11">
        <v>469</v>
      </c>
      <c r="S801" s="14">
        <v>35</v>
      </c>
      <c r="T801" s="13">
        <v>17665</v>
      </c>
      <c r="U801" s="13">
        <f t="shared" si="61"/>
        <v>211980</v>
      </c>
      <c r="V801" s="14">
        <v>14399</v>
      </c>
      <c r="W801">
        <v>0</v>
      </c>
      <c r="X801" s="8" t="s">
        <v>46</v>
      </c>
      <c r="Y801" s="15">
        <v>0.17</v>
      </c>
      <c r="Z801">
        <v>3</v>
      </c>
      <c r="AA801">
        <v>4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 t="str">
        <f t="shared" si="62"/>
        <v>4-7</v>
      </c>
      <c r="AI801">
        <v>13</v>
      </c>
      <c r="AJ801" t="str">
        <f t="shared" si="63"/>
        <v>12-15</v>
      </c>
      <c r="AK801">
        <v>7</v>
      </c>
    </row>
    <row r="802" spans="1:37" x14ac:dyDescent="0.25">
      <c r="A802" s="8">
        <v>801</v>
      </c>
      <c r="B802" t="s">
        <v>44</v>
      </c>
      <c r="C802" t="s">
        <v>54</v>
      </c>
      <c r="D802" s="8">
        <v>28</v>
      </c>
      <c r="E802" t="str">
        <f t="shared" si="64"/>
        <v>26-35</v>
      </c>
      <c r="F802" t="s">
        <v>38</v>
      </c>
      <c r="G802" t="s">
        <v>47</v>
      </c>
      <c r="H802" s="8" t="s">
        <v>48</v>
      </c>
      <c r="I802" s="10">
        <v>1</v>
      </c>
      <c r="J802" t="str">
        <f t="shared" si="60"/>
        <v>Near</v>
      </c>
      <c r="K802">
        <v>3</v>
      </c>
      <c r="L802" t="s">
        <v>53</v>
      </c>
      <c r="M802">
        <v>1</v>
      </c>
      <c r="N802">
        <v>2</v>
      </c>
      <c r="O802">
        <v>1</v>
      </c>
      <c r="P802" t="s">
        <v>51</v>
      </c>
      <c r="Q802">
        <v>2</v>
      </c>
      <c r="R802" s="11">
        <v>1009</v>
      </c>
      <c r="S802" s="14">
        <v>45</v>
      </c>
      <c r="T802" s="13">
        <v>2596</v>
      </c>
      <c r="U802" s="13">
        <f t="shared" si="61"/>
        <v>31152</v>
      </c>
      <c r="V802" s="14">
        <v>7160</v>
      </c>
      <c r="W802">
        <v>1</v>
      </c>
      <c r="X802" s="8" t="s">
        <v>46</v>
      </c>
      <c r="Y802" s="15">
        <v>0.15</v>
      </c>
      <c r="Z802">
        <v>3</v>
      </c>
      <c r="AA802">
        <v>1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 t="str">
        <f t="shared" si="62"/>
        <v>0-3</v>
      </c>
      <c r="AI802">
        <v>0</v>
      </c>
      <c r="AJ802" t="str">
        <f t="shared" si="63"/>
        <v>0-2</v>
      </c>
      <c r="AK802">
        <v>0</v>
      </c>
    </row>
    <row r="803" spans="1:37" x14ac:dyDescent="0.25">
      <c r="A803" s="8">
        <v>802</v>
      </c>
      <c r="B803" t="s">
        <v>44</v>
      </c>
      <c r="C803" t="s">
        <v>37</v>
      </c>
      <c r="D803" s="8">
        <v>50</v>
      </c>
      <c r="E803" t="str">
        <f t="shared" si="64"/>
        <v>46-55</v>
      </c>
      <c r="F803" t="s">
        <v>38</v>
      </c>
      <c r="G803" t="s">
        <v>47</v>
      </c>
      <c r="H803" s="8" t="s">
        <v>40</v>
      </c>
      <c r="I803" s="10">
        <v>1</v>
      </c>
      <c r="J803" t="str">
        <f t="shared" si="60"/>
        <v>Near</v>
      </c>
      <c r="K803">
        <v>4</v>
      </c>
      <c r="L803" t="s">
        <v>50</v>
      </c>
      <c r="M803">
        <v>4</v>
      </c>
      <c r="N803">
        <v>3</v>
      </c>
      <c r="O803">
        <v>2</v>
      </c>
      <c r="P803" t="s">
        <v>42</v>
      </c>
      <c r="Q803">
        <v>3</v>
      </c>
      <c r="R803" s="11">
        <v>959</v>
      </c>
      <c r="S803" s="14">
        <v>81</v>
      </c>
      <c r="T803" s="13">
        <v>4728</v>
      </c>
      <c r="U803" s="13">
        <f t="shared" si="61"/>
        <v>56736</v>
      </c>
      <c r="V803" s="14">
        <v>17251</v>
      </c>
      <c r="W803">
        <v>3</v>
      </c>
      <c r="X803" s="8" t="s">
        <v>38</v>
      </c>
      <c r="Y803" s="15">
        <v>0.14000000000000001</v>
      </c>
      <c r="Z803">
        <v>3</v>
      </c>
      <c r="AA803">
        <v>4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 t="str">
        <f t="shared" si="62"/>
        <v>0-3</v>
      </c>
      <c r="AI803">
        <v>0</v>
      </c>
      <c r="AJ803" t="str">
        <f t="shared" si="63"/>
        <v>0-2</v>
      </c>
      <c r="AK803">
        <v>0</v>
      </c>
    </row>
    <row r="804" spans="1:37" x14ac:dyDescent="0.25">
      <c r="A804" s="8">
        <v>803</v>
      </c>
      <c r="B804" t="s">
        <v>52</v>
      </c>
      <c r="C804" t="s">
        <v>45</v>
      </c>
      <c r="D804" s="8">
        <v>33</v>
      </c>
      <c r="E804" t="str">
        <f t="shared" si="64"/>
        <v>26-35</v>
      </c>
      <c r="F804" t="s">
        <v>46</v>
      </c>
      <c r="G804" t="s">
        <v>47</v>
      </c>
      <c r="H804" s="8" t="s">
        <v>40</v>
      </c>
      <c r="I804" s="10">
        <v>7</v>
      </c>
      <c r="J804" t="str">
        <f t="shared" si="60"/>
        <v>Moderate</v>
      </c>
      <c r="K804">
        <v>3</v>
      </c>
      <c r="L804" t="s">
        <v>41</v>
      </c>
      <c r="M804">
        <v>4</v>
      </c>
      <c r="N804">
        <v>3</v>
      </c>
      <c r="O804">
        <v>2</v>
      </c>
      <c r="P804" t="s">
        <v>42</v>
      </c>
      <c r="Q804">
        <v>2</v>
      </c>
      <c r="R804" s="11">
        <v>970</v>
      </c>
      <c r="S804" s="14">
        <v>30</v>
      </c>
      <c r="T804" s="13">
        <v>4302</v>
      </c>
      <c r="U804" s="13">
        <f t="shared" si="61"/>
        <v>51624</v>
      </c>
      <c r="V804" s="14">
        <v>13401</v>
      </c>
      <c r="W804">
        <v>0</v>
      </c>
      <c r="X804" s="8" t="s">
        <v>46</v>
      </c>
      <c r="Y804" s="15">
        <v>0.17</v>
      </c>
      <c r="Z804">
        <v>3</v>
      </c>
      <c r="AA804">
        <v>3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 t="str">
        <f t="shared" si="62"/>
        <v>0-3</v>
      </c>
      <c r="AI804">
        <v>0</v>
      </c>
      <c r="AJ804" t="str">
        <f t="shared" si="63"/>
        <v>0-2</v>
      </c>
      <c r="AK804">
        <v>2</v>
      </c>
    </row>
    <row r="805" spans="1:37" x14ac:dyDescent="0.25">
      <c r="A805" s="8">
        <v>804</v>
      </c>
      <c r="B805" t="s">
        <v>44</v>
      </c>
      <c r="C805" t="s">
        <v>45</v>
      </c>
      <c r="D805" s="8">
        <v>34</v>
      </c>
      <c r="E805" t="str">
        <f t="shared" si="64"/>
        <v>26-35</v>
      </c>
      <c r="F805" t="s">
        <v>46</v>
      </c>
      <c r="G805" t="s">
        <v>58</v>
      </c>
      <c r="H805" s="8" t="s">
        <v>48</v>
      </c>
      <c r="I805" s="10">
        <v>3</v>
      </c>
      <c r="J805" t="str">
        <f t="shared" si="60"/>
        <v>Near</v>
      </c>
      <c r="K805">
        <v>4</v>
      </c>
      <c r="L805" t="s">
        <v>41</v>
      </c>
      <c r="M805">
        <v>3</v>
      </c>
      <c r="N805">
        <v>2</v>
      </c>
      <c r="O805">
        <v>1</v>
      </c>
      <c r="P805" t="s">
        <v>49</v>
      </c>
      <c r="Q805">
        <v>4</v>
      </c>
      <c r="R805" s="11">
        <v>697</v>
      </c>
      <c r="S805" s="14">
        <v>40</v>
      </c>
      <c r="T805" s="13">
        <v>2979</v>
      </c>
      <c r="U805" s="13">
        <f t="shared" si="61"/>
        <v>35748</v>
      </c>
      <c r="V805" s="14">
        <v>22478</v>
      </c>
      <c r="W805">
        <v>3</v>
      </c>
      <c r="X805" s="8" t="s">
        <v>46</v>
      </c>
      <c r="Y805" s="15">
        <v>0.17</v>
      </c>
      <c r="Z805">
        <v>3</v>
      </c>
      <c r="AA805">
        <v>4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 t="str">
        <f t="shared" si="62"/>
        <v>0-3</v>
      </c>
      <c r="AI805">
        <v>0</v>
      </c>
      <c r="AJ805" t="str">
        <f t="shared" si="63"/>
        <v>0-2</v>
      </c>
      <c r="AK805">
        <v>0</v>
      </c>
    </row>
    <row r="806" spans="1:37" x14ac:dyDescent="0.25">
      <c r="A806" s="8">
        <v>805</v>
      </c>
      <c r="B806" t="s">
        <v>44</v>
      </c>
      <c r="C806" t="s">
        <v>37</v>
      </c>
      <c r="D806" s="8">
        <v>48</v>
      </c>
      <c r="E806" t="str">
        <f t="shared" si="64"/>
        <v>46-55</v>
      </c>
      <c r="F806" t="s">
        <v>46</v>
      </c>
      <c r="G806" t="s">
        <v>58</v>
      </c>
      <c r="H806" s="8" t="s">
        <v>48</v>
      </c>
      <c r="I806" s="10">
        <v>1</v>
      </c>
      <c r="J806" t="str">
        <f t="shared" si="60"/>
        <v>Near</v>
      </c>
      <c r="K806">
        <v>4</v>
      </c>
      <c r="L806" t="s">
        <v>53</v>
      </c>
      <c r="M806">
        <v>1</v>
      </c>
      <c r="N806">
        <v>4</v>
      </c>
      <c r="O806">
        <v>4</v>
      </c>
      <c r="P806" t="s">
        <v>59</v>
      </c>
      <c r="Q806">
        <v>4</v>
      </c>
      <c r="R806" s="11">
        <v>1262</v>
      </c>
      <c r="S806" s="14">
        <v>35</v>
      </c>
      <c r="T806" s="13">
        <v>16885</v>
      </c>
      <c r="U806" s="13">
        <f t="shared" si="61"/>
        <v>202620</v>
      </c>
      <c r="V806" s="14">
        <v>16154</v>
      </c>
      <c r="W806">
        <v>2</v>
      </c>
      <c r="X806" s="8" t="s">
        <v>46</v>
      </c>
      <c r="Y806" s="15">
        <v>0.22</v>
      </c>
      <c r="Z806">
        <v>4</v>
      </c>
      <c r="AA806">
        <v>3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 t="str">
        <f t="shared" si="62"/>
        <v>4-7</v>
      </c>
      <c r="AI806">
        <v>2</v>
      </c>
      <c r="AJ806" t="str">
        <f t="shared" si="63"/>
        <v>0-2</v>
      </c>
      <c r="AK806">
        <v>1</v>
      </c>
    </row>
    <row r="807" spans="1:37" x14ac:dyDescent="0.25">
      <c r="A807" s="8">
        <v>806</v>
      </c>
      <c r="B807" t="s">
        <v>52</v>
      </c>
      <c r="C807" t="s">
        <v>45</v>
      </c>
      <c r="D807" s="8">
        <v>45</v>
      </c>
      <c r="E807" t="str">
        <f t="shared" si="64"/>
        <v>36-45</v>
      </c>
      <c r="F807" t="s">
        <v>46</v>
      </c>
      <c r="G807" t="s">
        <v>58</v>
      </c>
      <c r="H807" s="8" t="s">
        <v>40</v>
      </c>
      <c r="I807" s="10">
        <v>9</v>
      </c>
      <c r="J807" t="str">
        <f t="shared" si="60"/>
        <v>Moderate</v>
      </c>
      <c r="K807">
        <v>4</v>
      </c>
      <c r="L807" t="s">
        <v>41</v>
      </c>
      <c r="M807">
        <v>2</v>
      </c>
      <c r="N807">
        <v>2</v>
      </c>
      <c r="O807">
        <v>2</v>
      </c>
      <c r="P807" t="s">
        <v>42</v>
      </c>
      <c r="Q807">
        <v>3</v>
      </c>
      <c r="R807" s="11">
        <v>1050</v>
      </c>
      <c r="S807" s="14">
        <v>65</v>
      </c>
      <c r="T807" s="13">
        <v>5593</v>
      </c>
      <c r="U807" s="13">
        <f t="shared" si="61"/>
        <v>67116</v>
      </c>
      <c r="V807" s="14">
        <v>17970</v>
      </c>
      <c r="W807">
        <v>1</v>
      </c>
      <c r="X807" s="8" t="s">
        <v>46</v>
      </c>
      <c r="Y807" s="15">
        <v>0.13</v>
      </c>
      <c r="Z807">
        <v>3</v>
      </c>
      <c r="AA807">
        <v>4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 t="str">
        <f t="shared" si="62"/>
        <v>8-11</v>
      </c>
      <c r="AI807">
        <v>4</v>
      </c>
      <c r="AJ807" t="str">
        <f t="shared" si="63"/>
        <v>3-5</v>
      </c>
      <c r="AK807">
        <v>12</v>
      </c>
    </row>
    <row r="808" spans="1:37" x14ac:dyDescent="0.25">
      <c r="A808" s="8">
        <v>807</v>
      </c>
      <c r="B808" t="s">
        <v>44</v>
      </c>
      <c r="C808" t="s">
        <v>37</v>
      </c>
      <c r="D808" s="8">
        <v>52</v>
      </c>
      <c r="E808" t="str">
        <f t="shared" si="64"/>
        <v>46-55</v>
      </c>
      <c r="F808" t="s">
        <v>46</v>
      </c>
      <c r="G808" t="s">
        <v>39</v>
      </c>
      <c r="H808" s="8" t="s">
        <v>48</v>
      </c>
      <c r="I808" s="10">
        <v>7</v>
      </c>
      <c r="J808" t="str">
        <f t="shared" si="60"/>
        <v>Moderate</v>
      </c>
      <c r="K808">
        <v>4</v>
      </c>
      <c r="L808" t="s">
        <v>41</v>
      </c>
      <c r="M808">
        <v>2</v>
      </c>
      <c r="N808">
        <v>3</v>
      </c>
      <c r="O808">
        <v>3</v>
      </c>
      <c r="P808" t="s">
        <v>56</v>
      </c>
      <c r="Q808">
        <v>2</v>
      </c>
      <c r="R808" s="11">
        <v>994</v>
      </c>
      <c r="S808" s="14">
        <v>87</v>
      </c>
      <c r="T808" s="13">
        <v>10445</v>
      </c>
      <c r="U808" s="13">
        <f t="shared" si="61"/>
        <v>125340</v>
      </c>
      <c r="V808" s="14">
        <v>15322</v>
      </c>
      <c r="W808">
        <v>7</v>
      </c>
      <c r="X808" s="8" t="s">
        <v>46</v>
      </c>
      <c r="Y808" s="15">
        <v>0.19</v>
      </c>
      <c r="Z808">
        <v>3</v>
      </c>
      <c r="AA808">
        <v>4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 t="str">
        <f t="shared" si="62"/>
        <v>4-7</v>
      </c>
      <c r="AI808">
        <v>4</v>
      </c>
      <c r="AJ808" t="str">
        <f t="shared" si="63"/>
        <v>3-5</v>
      </c>
      <c r="AK808">
        <v>0</v>
      </c>
    </row>
    <row r="809" spans="1:37" x14ac:dyDescent="0.25">
      <c r="A809" s="8">
        <v>808</v>
      </c>
      <c r="B809" t="s">
        <v>44</v>
      </c>
      <c r="C809" t="s">
        <v>54</v>
      </c>
      <c r="D809" s="8">
        <v>38</v>
      </c>
      <c r="E809" t="str">
        <f t="shared" si="64"/>
        <v>36-45</v>
      </c>
      <c r="F809" t="s">
        <v>46</v>
      </c>
      <c r="G809" t="s">
        <v>39</v>
      </c>
      <c r="H809" s="8" t="s">
        <v>40</v>
      </c>
      <c r="I809" s="10">
        <v>10</v>
      </c>
      <c r="J809" t="str">
        <f t="shared" si="60"/>
        <v>Moderate</v>
      </c>
      <c r="K809">
        <v>4</v>
      </c>
      <c r="L809" t="s">
        <v>62</v>
      </c>
      <c r="M809">
        <v>3</v>
      </c>
      <c r="N809">
        <v>2</v>
      </c>
      <c r="O809">
        <v>3</v>
      </c>
      <c r="P809" t="s">
        <v>42</v>
      </c>
      <c r="Q809">
        <v>3</v>
      </c>
      <c r="R809" s="11">
        <v>770</v>
      </c>
      <c r="S809" s="14">
        <v>73</v>
      </c>
      <c r="T809" s="13">
        <v>8740</v>
      </c>
      <c r="U809" s="13">
        <f t="shared" si="61"/>
        <v>104880</v>
      </c>
      <c r="V809" s="14">
        <v>5569</v>
      </c>
      <c r="W809">
        <v>0</v>
      </c>
      <c r="X809" s="8" t="s">
        <v>38</v>
      </c>
      <c r="Y809" s="15">
        <v>0.14000000000000001</v>
      </c>
      <c r="Z809">
        <v>3</v>
      </c>
      <c r="AA809">
        <v>2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 t="str">
        <f t="shared" si="62"/>
        <v>4-7</v>
      </c>
      <c r="AI809">
        <v>2</v>
      </c>
      <c r="AJ809" t="str">
        <f t="shared" si="63"/>
        <v>0-2</v>
      </c>
      <c r="AK809">
        <v>7</v>
      </c>
    </row>
    <row r="810" spans="1:37" x14ac:dyDescent="0.25">
      <c r="A810" s="8">
        <v>809</v>
      </c>
      <c r="B810" t="s">
        <v>52</v>
      </c>
      <c r="C810" t="s">
        <v>54</v>
      </c>
      <c r="D810" s="8">
        <v>29</v>
      </c>
      <c r="E810" t="str">
        <f t="shared" si="64"/>
        <v>26-35</v>
      </c>
      <c r="F810" t="s">
        <v>46</v>
      </c>
      <c r="G810" t="s">
        <v>39</v>
      </c>
      <c r="H810" s="8" t="s">
        <v>48</v>
      </c>
      <c r="I810" s="10">
        <v>28</v>
      </c>
      <c r="J810" t="str">
        <f t="shared" si="60"/>
        <v>Far</v>
      </c>
      <c r="K810">
        <v>4</v>
      </c>
      <c r="L810" t="s">
        <v>41</v>
      </c>
      <c r="M810">
        <v>3</v>
      </c>
      <c r="N810">
        <v>3</v>
      </c>
      <c r="O810">
        <v>1</v>
      </c>
      <c r="P810" t="s">
        <v>49</v>
      </c>
      <c r="Q810">
        <v>4</v>
      </c>
      <c r="R810" s="11">
        <v>1107</v>
      </c>
      <c r="S810" s="14">
        <v>93</v>
      </c>
      <c r="T810" s="13">
        <v>2514</v>
      </c>
      <c r="U810" s="13">
        <f t="shared" si="61"/>
        <v>30168</v>
      </c>
      <c r="V810" s="14">
        <v>26968</v>
      </c>
      <c r="W810">
        <v>4</v>
      </c>
      <c r="X810" s="8" t="s">
        <v>46</v>
      </c>
      <c r="Y810" s="15">
        <v>0.22</v>
      </c>
      <c r="Z810">
        <v>4</v>
      </c>
      <c r="AA810">
        <v>1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 t="str">
        <f t="shared" si="62"/>
        <v>4-7</v>
      </c>
      <c r="AI810">
        <v>1</v>
      </c>
      <c r="AJ810" t="str">
        <f t="shared" si="63"/>
        <v>0-2</v>
      </c>
      <c r="AK810">
        <v>7</v>
      </c>
    </row>
    <row r="811" spans="1:37" x14ac:dyDescent="0.25">
      <c r="A811" s="8">
        <v>810</v>
      </c>
      <c r="B811" t="s">
        <v>52</v>
      </c>
      <c r="C811" t="s">
        <v>54</v>
      </c>
      <c r="D811" s="8">
        <v>28</v>
      </c>
      <c r="E811" t="str">
        <f t="shared" si="64"/>
        <v>26-35</v>
      </c>
      <c r="F811" t="s">
        <v>46</v>
      </c>
      <c r="G811" t="s">
        <v>39</v>
      </c>
      <c r="H811" s="8" t="s">
        <v>48</v>
      </c>
      <c r="I811" s="10">
        <v>3</v>
      </c>
      <c r="J811" t="str">
        <f t="shared" si="60"/>
        <v>Near</v>
      </c>
      <c r="K811">
        <v>3</v>
      </c>
      <c r="L811" t="s">
        <v>53</v>
      </c>
      <c r="M811">
        <v>4</v>
      </c>
      <c r="N811">
        <v>3</v>
      </c>
      <c r="O811">
        <v>3</v>
      </c>
      <c r="P811" t="s">
        <v>55</v>
      </c>
      <c r="Q811">
        <v>2</v>
      </c>
      <c r="R811" s="11">
        <v>950</v>
      </c>
      <c r="S811" s="14">
        <v>93</v>
      </c>
      <c r="T811" s="13">
        <v>7655</v>
      </c>
      <c r="U811" s="13">
        <f t="shared" si="61"/>
        <v>91860</v>
      </c>
      <c r="V811" s="14">
        <v>8039</v>
      </c>
      <c r="W811">
        <v>0</v>
      </c>
      <c r="X811" s="8" t="s">
        <v>46</v>
      </c>
      <c r="Y811" s="15">
        <v>0.17</v>
      </c>
      <c r="Z811">
        <v>3</v>
      </c>
      <c r="AA811">
        <v>2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 t="str">
        <f t="shared" si="62"/>
        <v>4-7</v>
      </c>
      <c r="AI811">
        <v>1</v>
      </c>
      <c r="AJ811" t="str">
        <f t="shared" si="63"/>
        <v>0-2</v>
      </c>
      <c r="AK811">
        <v>7</v>
      </c>
    </row>
    <row r="812" spans="1:37" x14ac:dyDescent="0.25">
      <c r="A812" s="8">
        <v>811</v>
      </c>
      <c r="B812" t="s">
        <v>44</v>
      </c>
      <c r="C812" t="s">
        <v>45</v>
      </c>
      <c r="D812" s="8">
        <v>46</v>
      </c>
      <c r="E812" t="str">
        <f t="shared" si="64"/>
        <v>46-55</v>
      </c>
      <c r="F812" t="s">
        <v>46</v>
      </c>
      <c r="G812" t="s">
        <v>39</v>
      </c>
      <c r="H812" s="8" t="s">
        <v>40</v>
      </c>
      <c r="I812" s="10">
        <v>3</v>
      </c>
      <c r="J812" t="str">
        <f t="shared" si="60"/>
        <v>Near</v>
      </c>
      <c r="K812">
        <v>1</v>
      </c>
      <c r="L812" t="s">
        <v>62</v>
      </c>
      <c r="M812">
        <v>1</v>
      </c>
      <c r="N812">
        <v>3</v>
      </c>
      <c r="O812">
        <v>4</v>
      </c>
      <c r="P812" t="s">
        <v>59</v>
      </c>
      <c r="Q812">
        <v>3</v>
      </c>
      <c r="R812" s="11">
        <v>406</v>
      </c>
      <c r="S812" s="14">
        <v>52</v>
      </c>
      <c r="T812" s="13">
        <v>17465</v>
      </c>
      <c r="U812" s="13">
        <f t="shared" si="61"/>
        <v>209580</v>
      </c>
      <c r="V812" s="14">
        <v>15596</v>
      </c>
      <c r="W812">
        <v>3</v>
      </c>
      <c r="X812" s="8" t="s">
        <v>46</v>
      </c>
      <c r="Y812" s="15">
        <v>0.12</v>
      </c>
      <c r="Z812">
        <v>3</v>
      </c>
      <c r="AA812">
        <v>4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 t="str">
        <f t="shared" si="62"/>
        <v>8-11</v>
      </c>
      <c r="AI812">
        <v>4</v>
      </c>
      <c r="AJ812" t="str">
        <f t="shared" si="63"/>
        <v>3-5</v>
      </c>
      <c r="AK812">
        <v>9</v>
      </c>
    </row>
    <row r="813" spans="1:37" x14ac:dyDescent="0.25">
      <c r="A813" s="8">
        <v>812</v>
      </c>
      <c r="B813" t="s">
        <v>44</v>
      </c>
      <c r="C813" t="s">
        <v>37</v>
      </c>
      <c r="D813" s="8">
        <v>38</v>
      </c>
      <c r="E813" t="str">
        <f t="shared" si="64"/>
        <v>36-45</v>
      </c>
      <c r="F813" t="s">
        <v>46</v>
      </c>
      <c r="G813" t="s">
        <v>39</v>
      </c>
      <c r="H813" s="8" t="s">
        <v>40</v>
      </c>
      <c r="I813" s="10">
        <v>2</v>
      </c>
      <c r="J813" t="str">
        <f t="shared" si="60"/>
        <v>Near</v>
      </c>
      <c r="K813">
        <v>2</v>
      </c>
      <c r="L813" t="s">
        <v>62</v>
      </c>
      <c r="M813">
        <v>4</v>
      </c>
      <c r="N813">
        <v>3</v>
      </c>
      <c r="O813">
        <v>3</v>
      </c>
      <c r="P813" t="s">
        <v>42</v>
      </c>
      <c r="Q813">
        <v>2</v>
      </c>
      <c r="R813" s="11">
        <v>130</v>
      </c>
      <c r="S813" s="14">
        <v>32</v>
      </c>
      <c r="T813" s="13">
        <v>7351</v>
      </c>
      <c r="U813" s="13">
        <f t="shared" si="61"/>
        <v>88212</v>
      </c>
      <c r="V813" s="14">
        <v>20619</v>
      </c>
      <c r="W813">
        <v>7</v>
      </c>
      <c r="X813" s="8" t="s">
        <v>46</v>
      </c>
      <c r="Y813" s="15">
        <v>0.16</v>
      </c>
      <c r="Z813">
        <v>3</v>
      </c>
      <c r="AA813">
        <v>3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 t="str">
        <f t="shared" si="62"/>
        <v>0-3</v>
      </c>
      <c r="AI813">
        <v>0</v>
      </c>
      <c r="AJ813" t="str">
        <f t="shared" si="63"/>
        <v>0-2</v>
      </c>
      <c r="AK813">
        <v>0</v>
      </c>
    </row>
    <row r="814" spans="1:37" x14ac:dyDescent="0.25">
      <c r="A814" s="8">
        <v>813</v>
      </c>
      <c r="B814" t="s">
        <v>52</v>
      </c>
      <c r="C814" t="s">
        <v>45</v>
      </c>
      <c r="D814" s="8">
        <v>43</v>
      </c>
      <c r="E814" t="str">
        <f t="shared" si="64"/>
        <v>36-45</v>
      </c>
      <c r="F814" t="s">
        <v>46</v>
      </c>
      <c r="G814" t="s">
        <v>47</v>
      </c>
      <c r="H814" s="8" t="s">
        <v>48</v>
      </c>
      <c r="I814" s="10">
        <v>27</v>
      </c>
      <c r="J814" t="str">
        <f t="shared" si="60"/>
        <v>Far</v>
      </c>
      <c r="K814">
        <v>3</v>
      </c>
      <c r="L814" t="s">
        <v>41</v>
      </c>
      <c r="M814">
        <v>3</v>
      </c>
      <c r="N814">
        <v>3</v>
      </c>
      <c r="O814">
        <v>3</v>
      </c>
      <c r="P814" t="s">
        <v>55</v>
      </c>
      <c r="Q814">
        <v>1</v>
      </c>
      <c r="R814" s="11">
        <v>1082</v>
      </c>
      <c r="S814" s="14">
        <v>83</v>
      </c>
      <c r="T814" s="13">
        <v>10820</v>
      </c>
      <c r="U814" s="13">
        <f t="shared" si="61"/>
        <v>129840</v>
      </c>
      <c r="V814" s="14">
        <v>11535</v>
      </c>
      <c r="W814">
        <v>8</v>
      </c>
      <c r="X814" s="8" t="s">
        <v>46</v>
      </c>
      <c r="Y814" s="15">
        <v>0.11</v>
      </c>
      <c r="Z814">
        <v>3</v>
      </c>
      <c r="AA814">
        <v>3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 t="str">
        <f t="shared" si="62"/>
        <v>4-7</v>
      </c>
      <c r="AI814">
        <v>0</v>
      </c>
      <c r="AJ814" t="str">
        <f t="shared" si="63"/>
        <v>0-2</v>
      </c>
      <c r="AK814">
        <v>1</v>
      </c>
    </row>
    <row r="815" spans="1:37" x14ac:dyDescent="0.25">
      <c r="A815" s="8">
        <v>814</v>
      </c>
      <c r="B815" t="s">
        <v>44</v>
      </c>
      <c r="C815" t="s">
        <v>54</v>
      </c>
      <c r="D815" s="8">
        <v>39</v>
      </c>
      <c r="E815" t="str">
        <f t="shared" si="64"/>
        <v>36-45</v>
      </c>
      <c r="F815" t="s">
        <v>38</v>
      </c>
      <c r="G815" t="s">
        <v>47</v>
      </c>
      <c r="H815" s="8" t="s">
        <v>48</v>
      </c>
      <c r="I815" s="10">
        <v>2</v>
      </c>
      <c r="J815" t="str">
        <f t="shared" si="60"/>
        <v>Near</v>
      </c>
      <c r="K815">
        <v>3</v>
      </c>
      <c r="L815" t="s">
        <v>41</v>
      </c>
      <c r="M815">
        <v>1</v>
      </c>
      <c r="N815">
        <v>3</v>
      </c>
      <c r="O815">
        <v>4</v>
      </c>
      <c r="P815" t="s">
        <v>56</v>
      </c>
      <c r="Q815">
        <v>4</v>
      </c>
      <c r="R815" s="11">
        <v>203</v>
      </c>
      <c r="S815" s="14">
        <v>84</v>
      </c>
      <c r="T815" s="13">
        <v>12169</v>
      </c>
      <c r="U815" s="13">
        <f t="shared" si="61"/>
        <v>146028</v>
      </c>
      <c r="V815" s="14">
        <v>13547</v>
      </c>
      <c r="W815">
        <v>7</v>
      </c>
      <c r="X815" s="8" t="s">
        <v>46</v>
      </c>
      <c r="Y815" s="15">
        <v>0.11</v>
      </c>
      <c r="Z815">
        <v>3</v>
      </c>
      <c r="AA815">
        <v>4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 t="str">
        <f t="shared" si="62"/>
        <v>4-7</v>
      </c>
      <c r="AI815">
        <v>11</v>
      </c>
      <c r="AJ815" t="str">
        <f t="shared" si="63"/>
        <v>9-11</v>
      </c>
      <c r="AK815">
        <v>5</v>
      </c>
    </row>
    <row r="816" spans="1:37" x14ac:dyDescent="0.25">
      <c r="A816" s="8">
        <v>815</v>
      </c>
      <c r="B816" t="s">
        <v>44</v>
      </c>
      <c r="C816" t="s">
        <v>37</v>
      </c>
      <c r="D816" s="8">
        <v>40</v>
      </c>
      <c r="E816" t="str">
        <f t="shared" si="64"/>
        <v>36-45</v>
      </c>
      <c r="F816" t="s">
        <v>46</v>
      </c>
      <c r="G816" t="s">
        <v>39</v>
      </c>
      <c r="H816" s="8" t="s">
        <v>48</v>
      </c>
      <c r="I816" s="10">
        <v>14</v>
      </c>
      <c r="J816" t="str">
        <f t="shared" si="60"/>
        <v>Moderate</v>
      </c>
      <c r="K816">
        <v>3</v>
      </c>
      <c r="L816" t="s">
        <v>53</v>
      </c>
      <c r="M816">
        <v>3</v>
      </c>
      <c r="N816">
        <v>2</v>
      </c>
      <c r="O816">
        <v>5</v>
      </c>
      <c r="P816" t="s">
        <v>61</v>
      </c>
      <c r="Q816">
        <v>3</v>
      </c>
      <c r="R816" s="11">
        <v>1308</v>
      </c>
      <c r="S816" s="14">
        <v>44</v>
      </c>
      <c r="T816" s="13">
        <v>19626</v>
      </c>
      <c r="U816" s="13">
        <f t="shared" si="61"/>
        <v>235512</v>
      </c>
      <c r="V816" s="14">
        <v>17544</v>
      </c>
      <c r="W816">
        <v>1</v>
      </c>
      <c r="X816" s="8" t="s">
        <v>46</v>
      </c>
      <c r="Y816" s="15">
        <v>0.14000000000000001</v>
      </c>
      <c r="Z816">
        <v>3</v>
      </c>
      <c r="AA816">
        <v>1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 t="str">
        <f t="shared" si="62"/>
        <v>4-7</v>
      </c>
      <c r="AI816">
        <v>4</v>
      </c>
      <c r="AJ816" t="str">
        <f t="shared" si="63"/>
        <v>3-5</v>
      </c>
      <c r="AK816">
        <v>9</v>
      </c>
    </row>
    <row r="817" spans="1:37" x14ac:dyDescent="0.25">
      <c r="A817" s="8">
        <v>816</v>
      </c>
      <c r="B817" t="s">
        <v>52</v>
      </c>
      <c r="C817" t="s">
        <v>37</v>
      </c>
      <c r="D817" s="8">
        <v>21</v>
      </c>
      <c r="E817" t="str">
        <f t="shared" si="64"/>
        <v>18-25</v>
      </c>
      <c r="F817" t="s">
        <v>46</v>
      </c>
      <c r="G817" t="s">
        <v>39</v>
      </c>
      <c r="H817" s="8" t="s">
        <v>48</v>
      </c>
      <c r="I817" s="10">
        <v>1</v>
      </c>
      <c r="J817" t="str">
        <f t="shared" si="60"/>
        <v>Near</v>
      </c>
      <c r="K817">
        <v>1</v>
      </c>
      <c r="L817" t="s">
        <v>63</v>
      </c>
      <c r="M817">
        <v>4</v>
      </c>
      <c r="N817">
        <v>2</v>
      </c>
      <c r="O817">
        <v>1</v>
      </c>
      <c r="P817" t="s">
        <v>49</v>
      </c>
      <c r="Q817">
        <v>2</v>
      </c>
      <c r="R817" s="11">
        <v>984</v>
      </c>
      <c r="S817" s="14">
        <v>70</v>
      </c>
      <c r="T817" s="13">
        <v>2070</v>
      </c>
      <c r="U817" s="13">
        <f t="shared" si="61"/>
        <v>24840</v>
      </c>
      <c r="V817" s="14">
        <v>25326</v>
      </c>
      <c r="W817">
        <v>1</v>
      </c>
      <c r="X817" s="8" t="s">
        <v>38</v>
      </c>
      <c r="Y817" s="15">
        <v>0.11</v>
      </c>
      <c r="Z817">
        <v>3</v>
      </c>
      <c r="AA817">
        <v>3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 t="str">
        <f t="shared" si="62"/>
        <v>0-3</v>
      </c>
      <c r="AI817">
        <v>2</v>
      </c>
      <c r="AJ817" t="str">
        <f t="shared" si="63"/>
        <v>0-2</v>
      </c>
      <c r="AK817">
        <v>2</v>
      </c>
    </row>
    <row r="818" spans="1:37" x14ac:dyDescent="0.25">
      <c r="A818" s="8">
        <v>817</v>
      </c>
      <c r="B818" t="s">
        <v>44</v>
      </c>
      <c r="C818" t="s">
        <v>37</v>
      </c>
      <c r="D818" s="8">
        <v>39</v>
      </c>
      <c r="E818" t="str">
        <f t="shared" si="64"/>
        <v>36-45</v>
      </c>
      <c r="F818" t="s">
        <v>46</v>
      </c>
      <c r="G818" t="s">
        <v>58</v>
      </c>
      <c r="H818" s="8" t="s">
        <v>48</v>
      </c>
      <c r="I818" s="10">
        <v>9</v>
      </c>
      <c r="J818" t="str">
        <f t="shared" si="60"/>
        <v>Moderate</v>
      </c>
      <c r="K818">
        <v>3</v>
      </c>
      <c r="L818" t="s">
        <v>41</v>
      </c>
      <c r="M818">
        <v>3</v>
      </c>
      <c r="N818">
        <v>3</v>
      </c>
      <c r="O818">
        <v>2</v>
      </c>
      <c r="P818" t="s">
        <v>51</v>
      </c>
      <c r="Q818">
        <v>2</v>
      </c>
      <c r="R818" s="11">
        <v>439</v>
      </c>
      <c r="S818" s="14">
        <v>70</v>
      </c>
      <c r="T818" s="13">
        <v>6782</v>
      </c>
      <c r="U818" s="13">
        <f t="shared" si="61"/>
        <v>81384</v>
      </c>
      <c r="V818" s="14">
        <v>8770</v>
      </c>
      <c r="W818">
        <v>9</v>
      </c>
      <c r="X818" s="8" t="s">
        <v>46</v>
      </c>
      <c r="Y818" s="15">
        <v>0.15</v>
      </c>
      <c r="Z818">
        <v>3</v>
      </c>
      <c r="AA818">
        <v>3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 t="str">
        <f t="shared" si="62"/>
        <v>4-7</v>
      </c>
      <c r="AI818">
        <v>0</v>
      </c>
      <c r="AJ818" t="str">
        <f t="shared" si="63"/>
        <v>0-2</v>
      </c>
      <c r="AK818">
        <v>3</v>
      </c>
    </row>
    <row r="819" spans="1:37" x14ac:dyDescent="0.25">
      <c r="A819" s="8">
        <v>818</v>
      </c>
      <c r="B819" t="s">
        <v>44</v>
      </c>
      <c r="C819" t="s">
        <v>37</v>
      </c>
      <c r="D819" s="8">
        <v>36</v>
      </c>
      <c r="E819" t="str">
        <f t="shared" si="64"/>
        <v>36-45</v>
      </c>
      <c r="F819" t="s">
        <v>46</v>
      </c>
      <c r="G819" t="s">
        <v>58</v>
      </c>
      <c r="H819" s="8" t="s">
        <v>48</v>
      </c>
      <c r="I819" s="10">
        <v>18</v>
      </c>
      <c r="J819" t="str">
        <f t="shared" si="60"/>
        <v>Far</v>
      </c>
      <c r="K819">
        <v>4</v>
      </c>
      <c r="L819" t="s">
        <v>41</v>
      </c>
      <c r="M819">
        <v>1</v>
      </c>
      <c r="N819">
        <v>3</v>
      </c>
      <c r="O819">
        <v>2</v>
      </c>
      <c r="P819" t="s">
        <v>55</v>
      </c>
      <c r="Q819">
        <v>4</v>
      </c>
      <c r="R819" s="11">
        <v>217</v>
      </c>
      <c r="S819" s="14">
        <v>78</v>
      </c>
      <c r="T819" s="13">
        <v>7779</v>
      </c>
      <c r="U819" s="13">
        <f t="shared" si="61"/>
        <v>93348</v>
      </c>
      <c r="V819" s="14">
        <v>23238</v>
      </c>
      <c r="W819">
        <v>2</v>
      </c>
      <c r="X819" s="8" t="s">
        <v>46</v>
      </c>
      <c r="Y819" s="15">
        <v>0.2</v>
      </c>
      <c r="Z819">
        <v>4</v>
      </c>
      <c r="AA819">
        <v>1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 t="str">
        <f t="shared" si="62"/>
        <v>8-11</v>
      </c>
      <c r="AI819">
        <v>0</v>
      </c>
      <c r="AJ819" t="str">
        <f t="shared" si="63"/>
        <v>0-2</v>
      </c>
      <c r="AK819">
        <v>9</v>
      </c>
    </row>
    <row r="820" spans="1:37" x14ac:dyDescent="0.25">
      <c r="A820" s="8">
        <v>819</v>
      </c>
      <c r="B820" t="s">
        <v>44</v>
      </c>
      <c r="C820" t="s">
        <v>45</v>
      </c>
      <c r="D820" s="8">
        <v>31</v>
      </c>
      <c r="E820" t="str">
        <f t="shared" si="64"/>
        <v>26-35</v>
      </c>
      <c r="F820" t="s">
        <v>46</v>
      </c>
      <c r="G820" t="s">
        <v>47</v>
      </c>
      <c r="H820" s="8" t="s">
        <v>40</v>
      </c>
      <c r="I820" s="10">
        <v>20</v>
      </c>
      <c r="J820" t="str">
        <f t="shared" si="60"/>
        <v>Far</v>
      </c>
      <c r="K820">
        <v>3</v>
      </c>
      <c r="L820" t="s">
        <v>41</v>
      </c>
      <c r="M820">
        <v>3</v>
      </c>
      <c r="N820">
        <v>4</v>
      </c>
      <c r="O820">
        <v>1</v>
      </c>
      <c r="P820" t="s">
        <v>60</v>
      </c>
      <c r="Q820">
        <v>4</v>
      </c>
      <c r="R820" s="11">
        <v>793</v>
      </c>
      <c r="S820" s="14">
        <v>67</v>
      </c>
      <c r="T820" s="13">
        <v>2791</v>
      </c>
      <c r="U820" s="13">
        <f t="shared" si="61"/>
        <v>33492</v>
      </c>
      <c r="V820" s="14">
        <v>21981</v>
      </c>
      <c r="W820">
        <v>0</v>
      </c>
      <c r="X820" s="8" t="s">
        <v>46</v>
      </c>
      <c r="Y820" s="15">
        <v>0.12</v>
      </c>
      <c r="Z820">
        <v>3</v>
      </c>
      <c r="AA820">
        <v>1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 t="str">
        <f t="shared" si="62"/>
        <v>0-3</v>
      </c>
      <c r="AI820">
        <v>2</v>
      </c>
      <c r="AJ820" t="str">
        <f t="shared" si="63"/>
        <v>0-2</v>
      </c>
      <c r="AK820">
        <v>2</v>
      </c>
    </row>
    <row r="821" spans="1:37" x14ac:dyDescent="0.25">
      <c r="A821" s="8">
        <v>820</v>
      </c>
      <c r="B821" t="s">
        <v>44</v>
      </c>
      <c r="C821" t="s">
        <v>45</v>
      </c>
      <c r="D821" s="8">
        <v>28</v>
      </c>
      <c r="E821" t="str">
        <f t="shared" si="64"/>
        <v>26-35</v>
      </c>
      <c r="F821" t="s">
        <v>46</v>
      </c>
      <c r="G821" t="s">
        <v>39</v>
      </c>
      <c r="H821" s="8" t="s">
        <v>48</v>
      </c>
      <c r="I821" s="10">
        <v>2</v>
      </c>
      <c r="J821" t="str">
        <f t="shared" si="60"/>
        <v>Near</v>
      </c>
      <c r="K821">
        <v>1</v>
      </c>
      <c r="L821" t="s">
        <v>41</v>
      </c>
      <c r="M821">
        <v>1</v>
      </c>
      <c r="N821">
        <v>2</v>
      </c>
      <c r="O821">
        <v>1</v>
      </c>
      <c r="P821" t="s">
        <v>49</v>
      </c>
      <c r="Q821">
        <v>2</v>
      </c>
      <c r="R821" s="11">
        <v>1451</v>
      </c>
      <c r="S821" s="14">
        <v>67</v>
      </c>
      <c r="T821" s="13">
        <v>3201</v>
      </c>
      <c r="U821" s="13">
        <f t="shared" si="61"/>
        <v>38412</v>
      </c>
      <c r="V821" s="14">
        <v>19911</v>
      </c>
      <c r="W821">
        <v>0</v>
      </c>
      <c r="X821" s="8" t="s">
        <v>46</v>
      </c>
      <c r="Y821" s="15">
        <v>0.17</v>
      </c>
      <c r="Z821">
        <v>3</v>
      </c>
      <c r="AA821">
        <v>1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 t="str">
        <f t="shared" si="62"/>
        <v>0-3</v>
      </c>
      <c r="AI821">
        <v>0</v>
      </c>
      <c r="AJ821" t="str">
        <f t="shared" si="63"/>
        <v>0-2</v>
      </c>
      <c r="AK821">
        <v>4</v>
      </c>
    </row>
    <row r="822" spans="1:37" x14ac:dyDescent="0.25">
      <c r="A822" s="8">
        <v>821</v>
      </c>
      <c r="B822" t="s">
        <v>44</v>
      </c>
      <c r="C822" t="s">
        <v>54</v>
      </c>
      <c r="D822" s="8">
        <v>35</v>
      </c>
      <c r="E822" t="str">
        <f t="shared" si="64"/>
        <v>26-35</v>
      </c>
      <c r="F822" t="s">
        <v>46</v>
      </c>
      <c r="G822" t="s">
        <v>47</v>
      </c>
      <c r="H822" s="8" t="s">
        <v>40</v>
      </c>
      <c r="I822" s="10">
        <v>11</v>
      </c>
      <c r="J822" t="str">
        <f t="shared" si="60"/>
        <v>Moderate</v>
      </c>
      <c r="K822">
        <v>2</v>
      </c>
      <c r="L822" t="s">
        <v>62</v>
      </c>
      <c r="M822">
        <v>4</v>
      </c>
      <c r="N822">
        <v>3</v>
      </c>
      <c r="O822">
        <v>2</v>
      </c>
      <c r="P822" t="s">
        <v>42</v>
      </c>
      <c r="Q822">
        <v>4</v>
      </c>
      <c r="R822" s="11">
        <v>1182</v>
      </c>
      <c r="S822" s="14">
        <v>54</v>
      </c>
      <c r="T822" s="13">
        <v>4968</v>
      </c>
      <c r="U822" s="13">
        <f t="shared" si="61"/>
        <v>59616</v>
      </c>
      <c r="V822" s="14">
        <v>18500</v>
      </c>
      <c r="W822">
        <v>1</v>
      </c>
      <c r="X822" s="8" t="s">
        <v>46</v>
      </c>
      <c r="Y822" s="15">
        <v>0.11</v>
      </c>
      <c r="Z822">
        <v>3</v>
      </c>
      <c r="AA822">
        <v>4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 t="str">
        <f t="shared" si="62"/>
        <v>0-3</v>
      </c>
      <c r="AI822">
        <v>0</v>
      </c>
      <c r="AJ822" t="str">
        <f t="shared" si="63"/>
        <v>0-2</v>
      </c>
      <c r="AK822">
        <v>2</v>
      </c>
    </row>
    <row r="823" spans="1:37" x14ac:dyDescent="0.25">
      <c r="A823" s="8">
        <v>822</v>
      </c>
      <c r="B823" t="s">
        <v>44</v>
      </c>
      <c r="C823" t="s">
        <v>45</v>
      </c>
      <c r="D823" s="8">
        <v>49</v>
      </c>
      <c r="E823" t="str">
        <f t="shared" si="64"/>
        <v>46-55</v>
      </c>
      <c r="F823" t="s">
        <v>46</v>
      </c>
      <c r="G823" t="s">
        <v>39</v>
      </c>
      <c r="H823" s="8" t="s">
        <v>40</v>
      </c>
      <c r="I823" s="10">
        <v>8</v>
      </c>
      <c r="J823" t="str">
        <f t="shared" si="60"/>
        <v>Moderate</v>
      </c>
      <c r="K823">
        <v>4</v>
      </c>
      <c r="L823" t="s">
        <v>63</v>
      </c>
      <c r="M823">
        <v>4</v>
      </c>
      <c r="N823">
        <v>2</v>
      </c>
      <c r="O823">
        <v>4</v>
      </c>
      <c r="P823" t="s">
        <v>42</v>
      </c>
      <c r="Q823">
        <v>2</v>
      </c>
      <c r="R823" s="11">
        <v>174</v>
      </c>
      <c r="S823" s="14">
        <v>56</v>
      </c>
      <c r="T823" s="13">
        <v>13120</v>
      </c>
      <c r="U823" s="13">
        <f t="shared" si="61"/>
        <v>157440</v>
      </c>
      <c r="V823" s="14">
        <v>11879</v>
      </c>
      <c r="W823">
        <v>6</v>
      </c>
      <c r="X823" s="8" t="s">
        <v>46</v>
      </c>
      <c r="Y823" s="15">
        <v>0.17</v>
      </c>
      <c r="Z823">
        <v>3</v>
      </c>
      <c r="AA823">
        <v>2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 t="str">
        <f t="shared" si="62"/>
        <v>8-11</v>
      </c>
      <c r="AI823">
        <v>2</v>
      </c>
      <c r="AJ823" t="str">
        <f t="shared" si="63"/>
        <v>0-2</v>
      </c>
      <c r="AK823">
        <v>3</v>
      </c>
    </row>
    <row r="824" spans="1:37" x14ac:dyDescent="0.25">
      <c r="A824" s="8">
        <v>823</v>
      </c>
      <c r="B824" t="s">
        <v>44</v>
      </c>
      <c r="C824" t="s">
        <v>37</v>
      </c>
      <c r="D824" s="8">
        <v>34</v>
      </c>
      <c r="E824" t="str">
        <f t="shared" si="64"/>
        <v>26-35</v>
      </c>
      <c r="F824" t="s">
        <v>46</v>
      </c>
      <c r="G824" t="s">
        <v>47</v>
      </c>
      <c r="H824" s="8" t="s">
        <v>48</v>
      </c>
      <c r="I824" s="10">
        <v>2</v>
      </c>
      <c r="J824" t="str">
        <f t="shared" si="60"/>
        <v>Near</v>
      </c>
      <c r="K824">
        <v>2</v>
      </c>
      <c r="L824" t="s">
        <v>41</v>
      </c>
      <c r="M824">
        <v>4</v>
      </c>
      <c r="N824">
        <v>3</v>
      </c>
      <c r="O824">
        <v>2</v>
      </c>
      <c r="P824" t="s">
        <v>55</v>
      </c>
      <c r="Q824">
        <v>3</v>
      </c>
      <c r="R824" s="11">
        <v>1003</v>
      </c>
      <c r="S824" s="14">
        <v>95</v>
      </c>
      <c r="T824" s="13">
        <v>4033</v>
      </c>
      <c r="U824" s="13">
        <f t="shared" si="61"/>
        <v>48396</v>
      </c>
      <c r="V824" s="14">
        <v>15834</v>
      </c>
      <c r="W824">
        <v>2</v>
      </c>
      <c r="X824" s="8" t="s">
        <v>46</v>
      </c>
      <c r="Y824" s="15">
        <v>0.11</v>
      </c>
      <c r="Z824">
        <v>3</v>
      </c>
      <c r="AA824">
        <v>4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 t="str">
        <f t="shared" si="62"/>
        <v>0-3</v>
      </c>
      <c r="AI824">
        <v>0</v>
      </c>
      <c r="AJ824" t="str">
        <f t="shared" si="63"/>
        <v>0-2</v>
      </c>
      <c r="AK824">
        <v>2</v>
      </c>
    </row>
    <row r="825" spans="1:37" x14ac:dyDescent="0.25">
      <c r="A825" s="8">
        <v>824</v>
      </c>
      <c r="B825" t="s">
        <v>52</v>
      </c>
      <c r="C825" t="s">
        <v>54</v>
      </c>
      <c r="D825" s="8">
        <v>29</v>
      </c>
      <c r="E825" t="str">
        <f t="shared" si="64"/>
        <v>26-35</v>
      </c>
      <c r="F825" t="s">
        <v>46</v>
      </c>
      <c r="G825" t="s">
        <v>47</v>
      </c>
      <c r="H825" s="8" t="s">
        <v>48</v>
      </c>
      <c r="I825" s="10">
        <v>10</v>
      </c>
      <c r="J825" t="str">
        <f t="shared" si="60"/>
        <v>Moderate</v>
      </c>
      <c r="K825">
        <v>3</v>
      </c>
      <c r="L825" t="s">
        <v>41</v>
      </c>
      <c r="M825">
        <v>4</v>
      </c>
      <c r="N825">
        <v>3</v>
      </c>
      <c r="O825">
        <v>1</v>
      </c>
      <c r="P825" t="s">
        <v>49</v>
      </c>
      <c r="Q825">
        <v>2</v>
      </c>
      <c r="R825" s="11">
        <v>490</v>
      </c>
      <c r="S825" s="14">
        <v>61</v>
      </c>
      <c r="T825" s="13">
        <v>3291</v>
      </c>
      <c r="U825" s="13">
        <f t="shared" si="61"/>
        <v>39492</v>
      </c>
      <c r="V825" s="14">
        <v>17940</v>
      </c>
      <c r="W825">
        <v>0</v>
      </c>
      <c r="X825" s="8" t="s">
        <v>46</v>
      </c>
      <c r="Y825" s="15">
        <v>0.14000000000000001</v>
      </c>
      <c r="Z825">
        <v>3</v>
      </c>
      <c r="AA825">
        <v>4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 t="str">
        <f t="shared" si="62"/>
        <v>4-7</v>
      </c>
      <c r="AI825">
        <v>1</v>
      </c>
      <c r="AJ825" t="str">
        <f t="shared" si="63"/>
        <v>0-2</v>
      </c>
      <c r="AK825">
        <v>1</v>
      </c>
    </row>
    <row r="826" spans="1:37" x14ac:dyDescent="0.25">
      <c r="A826" s="8">
        <v>825</v>
      </c>
      <c r="B826" t="s">
        <v>44</v>
      </c>
      <c r="C826" t="s">
        <v>37</v>
      </c>
      <c r="D826" s="8">
        <v>42</v>
      </c>
      <c r="E826" t="str">
        <f t="shared" si="64"/>
        <v>36-45</v>
      </c>
      <c r="F826" t="s">
        <v>46</v>
      </c>
      <c r="G826" t="s">
        <v>39</v>
      </c>
      <c r="H826" s="8" t="s">
        <v>48</v>
      </c>
      <c r="I826" s="10">
        <v>29</v>
      </c>
      <c r="J826" t="str">
        <f t="shared" si="60"/>
        <v>Far</v>
      </c>
      <c r="K826">
        <v>3</v>
      </c>
      <c r="L826" t="s">
        <v>53</v>
      </c>
      <c r="M826">
        <v>2</v>
      </c>
      <c r="N826">
        <v>1</v>
      </c>
      <c r="O826">
        <v>2</v>
      </c>
      <c r="P826" t="s">
        <v>51</v>
      </c>
      <c r="Q826">
        <v>4</v>
      </c>
      <c r="R826" s="11">
        <v>188</v>
      </c>
      <c r="S826" s="14">
        <v>56</v>
      </c>
      <c r="T826" s="13">
        <v>4272</v>
      </c>
      <c r="U826" s="13">
        <f t="shared" si="61"/>
        <v>51264</v>
      </c>
      <c r="V826" s="14">
        <v>9558</v>
      </c>
      <c r="W826">
        <v>4</v>
      </c>
      <c r="X826" s="8" t="s">
        <v>46</v>
      </c>
      <c r="Y826" s="15">
        <v>0.19</v>
      </c>
      <c r="Z826">
        <v>3</v>
      </c>
      <c r="AA826">
        <v>1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 t="str">
        <f t="shared" si="62"/>
        <v>0-3</v>
      </c>
      <c r="AI826">
        <v>0</v>
      </c>
      <c r="AJ826" t="str">
        <f t="shared" si="63"/>
        <v>0-2</v>
      </c>
      <c r="AK826">
        <v>0</v>
      </c>
    </row>
    <row r="827" spans="1:37" x14ac:dyDescent="0.25">
      <c r="A827" s="8">
        <v>826</v>
      </c>
      <c r="B827" t="s">
        <v>44</v>
      </c>
      <c r="C827" t="s">
        <v>45</v>
      </c>
      <c r="D827" s="8">
        <v>29</v>
      </c>
      <c r="E827" t="str">
        <f t="shared" si="64"/>
        <v>26-35</v>
      </c>
      <c r="F827" t="s">
        <v>46</v>
      </c>
      <c r="G827" t="s">
        <v>39</v>
      </c>
      <c r="H827" s="8" t="s">
        <v>48</v>
      </c>
      <c r="I827" s="10">
        <v>8</v>
      </c>
      <c r="J827" t="str">
        <f t="shared" si="60"/>
        <v>Moderate</v>
      </c>
      <c r="K827">
        <v>1</v>
      </c>
      <c r="L827" t="s">
        <v>53</v>
      </c>
      <c r="M827">
        <v>2</v>
      </c>
      <c r="N827">
        <v>2</v>
      </c>
      <c r="O827">
        <v>2</v>
      </c>
      <c r="P827" t="s">
        <v>55</v>
      </c>
      <c r="Q827">
        <v>4</v>
      </c>
      <c r="R827" s="11">
        <v>718</v>
      </c>
      <c r="S827" s="14">
        <v>79</v>
      </c>
      <c r="T827" s="13">
        <v>5056</v>
      </c>
      <c r="U827" s="13">
        <f t="shared" si="61"/>
        <v>60672</v>
      </c>
      <c r="V827" s="14">
        <v>17689</v>
      </c>
      <c r="W827">
        <v>1</v>
      </c>
      <c r="X827" s="8" t="s">
        <v>38</v>
      </c>
      <c r="Y827" s="15">
        <v>0.15</v>
      </c>
      <c r="Z827">
        <v>3</v>
      </c>
      <c r="AA827">
        <v>3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 t="str">
        <f t="shared" si="62"/>
        <v>4-7</v>
      </c>
      <c r="AI827">
        <v>1</v>
      </c>
      <c r="AJ827" t="str">
        <f t="shared" si="63"/>
        <v>0-2</v>
      </c>
      <c r="AK827">
        <v>2</v>
      </c>
    </row>
    <row r="828" spans="1:37" x14ac:dyDescent="0.25">
      <c r="A828" s="8">
        <v>827</v>
      </c>
      <c r="B828" t="s">
        <v>44</v>
      </c>
      <c r="C828" t="s">
        <v>45</v>
      </c>
      <c r="D828" s="8">
        <v>38</v>
      </c>
      <c r="E828" t="str">
        <f t="shared" si="64"/>
        <v>36-45</v>
      </c>
      <c r="F828" t="s">
        <v>46</v>
      </c>
      <c r="G828" t="s">
        <v>39</v>
      </c>
      <c r="H828" s="8" t="s">
        <v>64</v>
      </c>
      <c r="I828" s="10">
        <v>1</v>
      </c>
      <c r="J828" t="str">
        <f t="shared" si="60"/>
        <v>Near</v>
      </c>
      <c r="K828">
        <v>3</v>
      </c>
      <c r="L828" t="s">
        <v>64</v>
      </c>
      <c r="M828">
        <v>3</v>
      </c>
      <c r="N828">
        <v>4</v>
      </c>
      <c r="O828">
        <v>1</v>
      </c>
      <c r="P828" t="s">
        <v>64</v>
      </c>
      <c r="Q828">
        <v>3</v>
      </c>
      <c r="R828" s="11">
        <v>433</v>
      </c>
      <c r="S828" s="14">
        <v>37</v>
      </c>
      <c r="T828" s="13">
        <v>2844</v>
      </c>
      <c r="U828" s="13">
        <f t="shared" si="61"/>
        <v>34128</v>
      </c>
      <c r="V828" s="14">
        <v>6004</v>
      </c>
      <c r="W828">
        <v>1</v>
      </c>
      <c r="X828" s="8" t="s">
        <v>46</v>
      </c>
      <c r="Y828" s="15">
        <v>0.13</v>
      </c>
      <c r="Z828">
        <v>3</v>
      </c>
      <c r="AA828">
        <v>4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 t="str">
        <f t="shared" si="62"/>
        <v>4-7</v>
      </c>
      <c r="AI828">
        <v>5</v>
      </c>
      <c r="AJ828" t="str">
        <f t="shared" si="63"/>
        <v>3-5</v>
      </c>
      <c r="AK828">
        <v>0</v>
      </c>
    </row>
    <row r="829" spans="1:37" x14ac:dyDescent="0.25">
      <c r="A829" s="8">
        <v>828</v>
      </c>
      <c r="B829" t="s">
        <v>44</v>
      </c>
      <c r="C829" t="s">
        <v>54</v>
      </c>
      <c r="D829" s="8">
        <v>28</v>
      </c>
      <c r="E829" t="str">
        <f t="shared" si="64"/>
        <v>26-35</v>
      </c>
      <c r="F829" t="s">
        <v>46</v>
      </c>
      <c r="G829" t="s">
        <v>47</v>
      </c>
      <c r="H829" s="8" t="s">
        <v>48</v>
      </c>
      <c r="I829" s="10">
        <v>6</v>
      </c>
      <c r="J829" t="str">
        <f t="shared" si="60"/>
        <v>Moderate</v>
      </c>
      <c r="K829">
        <v>3</v>
      </c>
      <c r="L829" t="s">
        <v>41</v>
      </c>
      <c r="M829">
        <v>3</v>
      </c>
      <c r="N829">
        <v>2</v>
      </c>
      <c r="O829">
        <v>1</v>
      </c>
      <c r="P829" t="s">
        <v>49</v>
      </c>
      <c r="Q829">
        <v>3</v>
      </c>
      <c r="R829" s="11">
        <v>773</v>
      </c>
      <c r="S829" s="14">
        <v>39</v>
      </c>
      <c r="T829" s="13">
        <v>2703</v>
      </c>
      <c r="U829" s="13">
        <f t="shared" si="61"/>
        <v>32436</v>
      </c>
      <c r="V829" s="14">
        <v>22088</v>
      </c>
      <c r="W829">
        <v>1</v>
      </c>
      <c r="X829" s="8" t="s">
        <v>38</v>
      </c>
      <c r="Y829" s="15">
        <v>0.14000000000000001</v>
      </c>
      <c r="Z829">
        <v>3</v>
      </c>
      <c r="AA829">
        <v>4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 t="str">
        <f t="shared" si="62"/>
        <v>0-3</v>
      </c>
      <c r="AI829">
        <v>0</v>
      </c>
      <c r="AJ829" t="str">
        <f t="shared" si="63"/>
        <v>0-2</v>
      </c>
      <c r="AK829">
        <v>2</v>
      </c>
    </row>
    <row r="830" spans="1:37" x14ac:dyDescent="0.25">
      <c r="A830" s="8">
        <v>829</v>
      </c>
      <c r="B830" t="s">
        <v>44</v>
      </c>
      <c r="C830" t="s">
        <v>37</v>
      </c>
      <c r="D830" s="8">
        <v>18</v>
      </c>
      <c r="E830" t="str">
        <f t="shared" si="64"/>
        <v>18-25</v>
      </c>
      <c r="F830" t="s">
        <v>38</v>
      </c>
      <c r="G830" t="s">
        <v>58</v>
      </c>
      <c r="H830" s="8" t="s">
        <v>48</v>
      </c>
      <c r="I830" s="10">
        <v>8</v>
      </c>
      <c r="J830" t="str">
        <f t="shared" si="60"/>
        <v>Moderate</v>
      </c>
      <c r="K830">
        <v>1</v>
      </c>
      <c r="L830" t="s">
        <v>53</v>
      </c>
      <c r="M830">
        <v>3</v>
      </c>
      <c r="N830">
        <v>3</v>
      </c>
      <c r="O830">
        <v>1</v>
      </c>
      <c r="P830" t="s">
        <v>51</v>
      </c>
      <c r="Q830">
        <v>3</v>
      </c>
      <c r="R830" s="11">
        <v>247</v>
      </c>
      <c r="S830" s="14">
        <v>80</v>
      </c>
      <c r="T830" s="13">
        <v>1904</v>
      </c>
      <c r="U830" s="13">
        <f t="shared" si="61"/>
        <v>22848</v>
      </c>
      <c r="V830" s="14">
        <v>13556</v>
      </c>
      <c r="W830">
        <v>1</v>
      </c>
      <c r="X830" s="8" t="s">
        <v>46</v>
      </c>
      <c r="Y830" s="15">
        <v>0.12</v>
      </c>
      <c r="Z830">
        <v>3</v>
      </c>
      <c r="AA830">
        <v>4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 t="str">
        <f t="shared" si="62"/>
        <v>0-3</v>
      </c>
      <c r="AI830">
        <v>0</v>
      </c>
      <c r="AJ830" t="str">
        <f t="shared" si="63"/>
        <v>0-2</v>
      </c>
      <c r="AK830">
        <v>0</v>
      </c>
    </row>
    <row r="831" spans="1:37" x14ac:dyDescent="0.25">
      <c r="A831" s="8">
        <v>830</v>
      </c>
      <c r="B831" t="s">
        <v>52</v>
      </c>
      <c r="C831" t="s">
        <v>37</v>
      </c>
      <c r="D831" s="8">
        <v>33</v>
      </c>
      <c r="E831" t="str">
        <f t="shared" si="64"/>
        <v>26-35</v>
      </c>
      <c r="F831" t="s">
        <v>38</v>
      </c>
      <c r="G831" t="s">
        <v>39</v>
      </c>
      <c r="H831" s="8" t="s">
        <v>40</v>
      </c>
      <c r="I831" s="10">
        <v>9</v>
      </c>
      <c r="J831" t="str">
        <f t="shared" si="60"/>
        <v>Moderate</v>
      </c>
      <c r="K831">
        <v>4</v>
      </c>
      <c r="L831" t="s">
        <v>62</v>
      </c>
      <c r="M831">
        <v>1</v>
      </c>
      <c r="N831">
        <v>3</v>
      </c>
      <c r="O831">
        <v>2</v>
      </c>
      <c r="P831" t="s">
        <v>42</v>
      </c>
      <c r="Q831">
        <v>1</v>
      </c>
      <c r="R831" s="11">
        <v>603</v>
      </c>
      <c r="S831" s="14">
        <v>77</v>
      </c>
      <c r="T831" s="13">
        <v>8224</v>
      </c>
      <c r="U831" s="13">
        <f t="shared" si="61"/>
        <v>98688</v>
      </c>
      <c r="V831" s="14">
        <v>18385</v>
      </c>
      <c r="W831">
        <v>0</v>
      </c>
      <c r="X831" s="8" t="s">
        <v>38</v>
      </c>
      <c r="Y831" s="15">
        <v>0.17</v>
      </c>
      <c r="Z831">
        <v>3</v>
      </c>
      <c r="AA831">
        <v>1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 t="str">
        <f t="shared" si="62"/>
        <v>0-3</v>
      </c>
      <c r="AI831">
        <v>0</v>
      </c>
      <c r="AJ831" t="str">
        <f t="shared" si="63"/>
        <v>0-2</v>
      </c>
      <c r="AK831">
        <v>3</v>
      </c>
    </row>
    <row r="832" spans="1:37" x14ac:dyDescent="0.25">
      <c r="A832" s="8">
        <v>831</v>
      </c>
      <c r="B832" t="s">
        <v>44</v>
      </c>
      <c r="C832" t="s">
        <v>45</v>
      </c>
      <c r="D832" s="8">
        <v>41</v>
      </c>
      <c r="E832" t="str">
        <f t="shared" si="64"/>
        <v>36-45</v>
      </c>
      <c r="F832" t="s">
        <v>46</v>
      </c>
      <c r="G832" t="s">
        <v>39</v>
      </c>
      <c r="H832" s="8" t="s">
        <v>48</v>
      </c>
      <c r="I832" s="10">
        <v>12</v>
      </c>
      <c r="J832" t="str">
        <f t="shared" si="60"/>
        <v>Moderate</v>
      </c>
      <c r="K832">
        <v>4</v>
      </c>
      <c r="L832" t="s">
        <v>41</v>
      </c>
      <c r="M832">
        <v>2</v>
      </c>
      <c r="N832">
        <v>3</v>
      </c>
      <c r="O832">
        <v>1</v>
      </c>
      <c r="P832" t="s">
        <v>51</v>
      </c>
      <c r="Q832">
        <v>4</v>
      </c>
      <c r="R832" s="11">
        <v>167</v>
      </c>
      <c r="S832" s="14">
        <v>46</v>
      </c>
      <c r="T832" s="13">
        <v>4766</v>
      </c>
      <c r="U832" s="13">
        <f t="shared" si="61"/>
        <v>57192</v>
      </c>
      <c r="V832" s="14">
        <v>9051</v>
      </c>
      <c r="W832">
        <v>3</v>
      </c>
      <c r="X832" s="8" t="s">
        <v>38</v>
      </c>
      <c r="Y832" s="15">
        <v>0.11</v>
      </c>
      <c r="Z832">
        <v>3</v>
      </c>
      <c r="AA832">
        <v>1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 t="str">
        <f t="shared" si="62"/>
        <v>0-3</v>
      </c>
      <c r="AI832">
        <v>0</v>
      </c>
      <c r="AJ832" t="str">
        <f t="shared" si="63"/>
        <v>0-2</v>
      </c>
      <c r="AK832">
        <v>0</v>
      </c>
    </row>
    <row r="833" spans="1:37" x14ac:dyDescent="0.25">
      <c r="A833" s="8">
        <v>832</v>
      </c>
      <c r="B833" t="s">
        <v>44</v>
      </c>
      <c r="C833" t="s">
        <v>45</v>
      </c>
      <c r="D833" s="8">
        <v>31</v>
      </c>
      <c r="E833" t="str">
        <f t="shared" si="64"/>
        <v>26-35</v>
      </c>
      <c r="F833" t="s">
        <v>38</v>
      </c>
      <c r="G833" t="s">
        <v>47</v>
      </c>
      <c r="H833" s="8" t="s">
        <v>48</v>
      </c>
      <c r="I833" s="10">
        <v>15</v>
      </c>
      <c r="J833" t="str">
        <f t="shared" si="60"/>
        <v>Moderate</v>
      </c>
      <c r="K833">
        <v>3</v>
      </c>
      <c r="L833" t="s">
        <v>53</v>
      </c>
      <c r="M833">
        <v>3</v>
      </c>
      <c r="N833">
        <v>3</v>
      </c>
      <c r="O833">
        <v>1</v>
      </c>
      <c r="P833" t="s">
        <v>51</v>
      </c>
      <c r="Q833">
        <v>3</v>
      </c>
      <c r="R833" s="11">
        <v>874</v>
      </c>
      <c r="S833" s="14">
        <v>72</v>
      </c>
      <c r="T833" s="13">
        <v>2610</v>
      </c>
      <c r="U833" s="13">
        <f t="shared" si="61"/>
        <v>31320</v>
      </c>
      <c r="V833" s="14">
        <v>6233</v>
      </c>
      <c r="W833">
        <v>1</v>
      </c>
      <c r="X833" s="8" t="s">
        <v>46</v>
      </c>
      <c r="Y833" s="15">
        <v>0.12</v>
      </c>
      <c r="Z833">
        <v>3</v>
      </c>
      <c r="AA833">
        <v>3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 t="str">
        <f t="shared" si="62"/>
        <v>0-3</v>
      </c>
      <c r="AI833">
        <v>2</v>
      </c>
      <c r="AJ833" t="str">
        <f t="shared" si="63"/>
        <v>0-2</v>
      </c>
      <c r="AK833">
        <v>2</v>
      </c>
    </row>
    <row r="834" spans="1:37" x14ac:dyDescent="0.25">
      <c r="A834" s="8">
        <v>833</v>
      </c>
      <c r="B834" t="s">
        <v>52</v>
      </c>
      <c r="C834" t="s">
        <v>54</v>
      </c>
      <c r="D834" s="8">
        <v>37</v>
      </c>
      <c r="E834" t="str">
        <f t="shared" si="64"/>
        <v>36-45</v>
      </c>
      <c r="F834" t="s">
        <v>46</v>
      </c>
      <c r="G834" t="s">
        <v>39</v>
      </c>
      <c r="H834" s="8" t="s">
        <v>48</v>
      </c>
      <c r="I834" s="10">
        <v>25</v>
      </c>
      <c r="J834" t="str">
        <f t="shared" si="60"/>
        <v>Far</v>
      </c>
      <c r="K834">
        <v>2</v>
      </c>
      <c r="L834" t="s">
        <v>53</v>
      </c>
      <c r="M834">
        <v>3</v>
      </c>
      <c r="N834">
        <v>2</v>
      </c>
      <c r="O834">
        <v>2</v>
      </c>
      <c r="P834" t="s">
        <v>56</v>
      </c>
      <c r="Q834">
        <v>4</v>
      </c>
      <c r="R834" s="11">
        <v>367</v>
      </c>
      <c r="S834" s="14">
        <v>52</v>
      </c>
      <c r="T834" s="13">
        <v>5731</v>
      </c>
      <c r="U834" s="13">
        <f t="shared" si="61"/>
        <v>68772</v>
      </c>
      <c r="V834" s="14">
        <v>17171</v>
      </c>
      <c r="W834">
        <v>7</v>
      </c>
      <c r="X834" s="8" t="s">
        <v>46</v>
      </c>
      <c r="Y834" s="15">
        <v>0.13</v>
      </c>
      <c r="Z834">
        <v>3</v>
      </c>
      <c r="AA834">
        <v>3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 t="str">
        <f t="shared" si="62"/>
        <v>0-3</v>
      </c>
      <c r="AI834">
        <v>1</v>
      </c>
      <c r="AJ834" t="str">
        <f t="shared" si="63"/>
        <v>0-2</v>
      </c>
      <c r="AK834">
        <v>3</v>
      </c>
    </row>
    <row r="835" spans="1:37" x14ac:dyDescent="0.25">
      <c r="A835" s="8">
        <v>834</v>
      </c>
      <c r="B835" t="s">
        <v>44</v>
      </c>
      <c r="C835" t="s">
        <v>45</v>
      </c>
      <c r="D835" s="8">
        <v>27</v>
      </c>
      <c r="E835" t="str">
        <f t="shared" si="64"/>
        <v>26-35</v>
      </c>
      <c r="F835" t="s">
        <v>46</v>
      </c>
      <c r="G835" t="s">
        <v>39</v>
      </c>
      <c r="H835" s="8" t="s">
        <v>48</v>
      </c>
      <c r="I835" s="10">
        <v>6</v>
      </c>
      <c r="J835" t="str">
        <f t="shared" ref="J835:J898" si="65">IF(I835&lt;=5,"Near",IF(I835&lt;=15,"Moderate",IF(I835&gt;15,"Far")))</f>
        <v>Moderate</v>
      </c>
      <c r="K835">
        <v>3</v>
      </c>
      <c r="L835" t="s">
        <v>41</v>
      </c>
      <c r="M835">
        <v>4</v>
      </c>
      <c r="N835">
        <v>2</v>
      </c>
      <c r="O835">
        <v>1</v>
      </c>
      <c r="P835" t="s">
        <v>49</v>
      </c>
      <c r="Q835">
        <v>3</v>
      </c>
      <c r="R835" s="11">
        <v>199</v>
      </c>
      <c r="S835" s="14">
        <v>55</v>
      </c>
      <c r="T835" s="13">
        <v>2539</v>
      </c>
      <c r="U835" s="13">
        <f t="shared" ref="U835:U898" si="66">T835*12</f>
        <v>30468</v>
      </c>
      <c r="V835" s="14">
        <v>7950</v>
      </c>
      <c r="W835">
        <v>1</v>
      </c>
      <c r="X835" s="8" t="s">
        <v>46</v>
      </c>
      <c r="Y835" s="15">
        <v>0.13</v>
      </c>
      <c r="Z835">
        <v>3</v>
      </c>
      <c r="AA835">
        <v>3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 t="str">
        <f t="shared" ref="AH835:AH898" si="67">IF(AG:AG&lt;=3,"0-3", IF(AG:AG&lt;=7,"4-7", IF(AG:AG&lt;=11,"8-11", IF(AG:AG&lt;=15,"12-15","16-19"))))</f>
        <v>0-3</v>
      </c>
      <c r="AI835">
        <v>2</v>
      </c>
      <c r="AJ835" t="str">
        <f t="shared" ref="AJ835:AJ898" si="68">IF(AI:AI&lt;=2,"0-2",IF(AI:AI&lt;=5,"3-5", IF(AI:AI&lt;=8,"6-8", IF(AI:AI&lt;=11,"9-11","12-15"))))</f>
        <v>0-2</v>
      </c>
      <c r="AK835">
        <v>2</v>
      </c>
    </row>
    <row r="836" spans="1:37" x14ac:dyDescent="0.25">
      <c r="A836" s="8">
        <v>835</v>
      </c>
      <c r="B836" t="s">
        <v>52</v>
      </c>
      <c r="C836" t="s">
        <v>45</v>
      </c>
      <c r="D836" s="8">
        <v>34</v>
      </c>
      <c r="E836" t="str">
        <f t="shared" ref="E836:E899" si="69">IF(D836&lt;25,"18-25",IF(D836&lt;=35,"26-35",IF(D836&lt;=45,"36-45",IF(D836&lt;=55,"46-55",IF(D836&gt;55,"55+")))))</f>
        <v>26-35</v>
      </c>
      <c r="F836" t="s">
        <v>46</v>
      </c>
      <c r="G836" t="s">
        <v>39</v>
      </c>
      <c r="H836" s="8" t="s">
        <v>40</v>
      </c>
      <c r="I836" s="10">
        <v>9</v>
      </c>
      <c r="J836" t="str">
        <f t="shared" si="65"/>
        <v>Moderate</v>
      </c>
      <c r="K836">
        <v>1</v>
      </c>
      <c r="L836" t="s">
        <v>41</v>
      </c>
      <c r="M836">
        <v>2</v>
      </c>
      <c r="N836">
        <v>3</v>
      </c>
      <c r="O836">
        <v>2</v>
      </c>
      <c r="P836" t="s">
        <v>42</v>
      </c>
      <c r="Q836">
        <v>3</v>
      </c>
      <c r="R836" s="11">
        <v>1400</v>
      </c>
      <c r="S836" s="14">
        <v>70</v>
      </c>
      <c r="T836" s="13">
        <v>5714</v>
      </c>
      <c r="U836" s="13">
        <f t="shared" si="66"/>
        <v>68568</v>
      </c>
      <c r="V836" s="14">
        <v>5829</v>
      </c>
      <c r="W836">
        <v>1</v>
      </c>
      <c r="X836" s="8" t="s">
        <v>46</v>
      </c>
      <c r="Y836" s="15">
        <v>0.2</v>
      </c>
      <c r="Z836">
        <v>4</v>
      </c>
      <c r="AA836">
        <v>1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 t="str">
        <f t="shared" si="67"/>
        <v>4-7</v>
      </c>
      <c r="AI836">
        <v>1</v>
      </c>
      <c r="AJ836" t="str">
        <f t="shared" si="68"/>
        <v>0-2</v>
      </c>
      <c r="AK836">
        <v>3</v>
      </c>
    </row>
    <row r="837" spans="1:37" x14ac:dyDescent="0.25">
      <c r="A837" s="8">
        <v>836</v>
      </c>
      <c r="B837" t="s">
        <v>44</v>
      </c>
      <c r="C837" t="s">
        <v>37</v>
      </c>
      <c r="D837" s="8">
        <v>35</v>
      </c>
      <c r="E837" t="str">
        <f t="shared" si="69"/>
        <v>26-35</v>
      </c>
      <c r="F837" t="s">
        <v>46</v>
      </c>
      <c r="G837" t="s">
        <v>39</v>
      </c>
      <c r="H837" s="8" t="s">
        <v>64</v>
      </c>
      <c r="I837" s="10">
        <v>8</v>
      </c>
      <c r="J837" t="str">
        <f t="shared" si="65"/>
        <v>Moderate</v>
      </c>
      <c r="K837">
        <v>4</v>
      </c>
      <c r="L837" t="s">
        <v>63</v>
      </c>
      <c r="M837">
        <v>3</v>
      </c>
      <c r="N837">
        <v>3</v>
      </c>
      <c r="O837">
        <v>1</v>
      </c>
      <c r="P837" t="s">
        <v>64</v>
      </c>
      <c r="Q837">
        <v>3</v>
      </c>
      <c r="R837" s="11">
        <v>528</v>
      </c>
      <c r="S837" s="14">
        <v>100</v>
      </c>
      <c r="T837" s="13">
        <v>4323</v>
      </c>
      <c r="U837" s="13">
        <f t="shared" si="66"/>
        <v>51876</v>
      </c>
      <c r="V837" s="14">
        <v>7108</v>
      </c>
      <c r="W837">
        <v>1</v>
      </c>
      <c r="X837" s="8" t="s">
        <v>46</v>
      </c>
      <c r="Y837" s="15">
        <v>0.17</v>
      </c>
      <c r="Z837">
        <v>3</v>
      </c>
      <c r="AA837">
        <v>2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 t="str">
        <f t="shared" si="67"/>
        <v>4-7</v>
      </c>
      <c r="AI837">
        <v>1</v>
      </c>
      <c r="AJ837" t="str">
        <f t="shared" si="68"/>
        <v>0-2</v>
      </c>
      <c r="AK837">
        <v>4</v>
      </c>
    </row>
    <row r="838" spans="1:37" x14ac:dyDescent="0.25">
      <c r="A838" s="8">
        <v>837</v>
      </c>
      <c r="B838" t="s">
        <v>52</v>
      </c>
      <c r="C838" t="s">
        <v>45</v>
      </c>
      <c r="D838" s="8">
        <v>29</v>
      </c>
      <c r="E838" t="str">
        <f t="shared" si="69"/>
        <v>26-35</v>
      </c>
      <c r="F838" t="s">
        <v>38</v>
      </c>
      <c r="G838" t="s">
        <v>39</v>
      </c>
      <c r="H838" s="8" t="s">
        <v>40</v>
      </c>
      <c r="I838" s="10">
        <v>23</v>
      </c>
      <c r="J838" t="str">
        <f t="shared" si="65"/>
        <v>Far</v>
      </c>
      <c r="K838">
        <v>1</v>
      </c>
      <c r="L838" t="s">
        <v>41</v>
      </c>
      <c r="M838">
        <v>4</v>
      </c>
      <c r="N838">
        <v>2</v>
      </c>
      <c r="O838">
        <v>3</v>
      </c>
      <c r="P838" t="s">
        <v>42</v>
      </c>
      <c r="Q838">
        <v>1</v>
      </c>
      <c r="R838" s="11">
        <v>408</v>
      </c>
      <c r="S838" s="14">
        <v>45</v>
      </c>
      <c r="T838" s="13">
        <v>7336</v>
      </c>
      <c r="U838" s="13">
        <f t="shared" si="66"/>
        <v>88032</v>
      </c>
      <c r="V838" s="14">
        <v>11162</v>
      </c>
      <c r="W838">
        <v>1</v>
      </c>
      <c r="X838" s="8" t="s">
        <v>46</v>
      </c>
      <c r="Y838" s="15">
        <v>0.13</v>
      </c>
      <c r="Z838">
        <v>3</v>
      </c>
      <c r="AA838">
        <v>1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 t="str">
        <f t="shared" si="67"/>
        <v>8-11</v>
      </c>
      <c r="AI838">
        <v>3</v>
      </c>
      <c r="AJ838" t="str">
        <f t="shared" si="68"/>
        <v>3-5</v>
      </c>
      <c r="AK838">
        <v>10</v>
      </c>
    </row>
    <row r="839" spans="1:37" x14ac:dyDescent="0.25">
      <c r="A839" s="8">
        <v>838</v>
      </c>
      <c r="B839" t="s">
        <v>52</v>
      </c>
      <c r="C839" t="s">
        <v>37</v>
      </c>
      <c r="D839" s="8">
        <v>40</v>
      </c>
      <c r="E839" t="str">
        <f t="shared" si="69"/>
        <v>36-45</v>
      </c>
      <c r="F839" t="s">
        <v>46</v>
      </c>
      <c r="G839" t="s">
        <v>47</v>
      </c>
      <c r="H839" s="8" t="s">
        <v>48</v>
      </c>
      <c r="I839" s="10">
        <v>9</v>
      </c>
      <c r="J839" t="str">
        <f t="shared" si="65"/>
        <v>Moderate</v>
      </c>
      <c r="K839">
        <v>4</v>
      </c>
      <c r="L839" t="s">
        <v>53</v>
      </c>
      <c r="M839">
        <v>2</v>
      </c>
      <c r="N839">
        <v>3</v>
      </c>
      <c r="O839">
        <v>3</v>
      </c>
      <c r="P839" t="s">
        <v>61</v>
      </c>
      <c r="Q839">
        <v>3</v>
      </c>
      <c r="R839" s="11">
        <v>593</v>
      </c>
      <c r="S839" s="14">
        <v>88</v>
      </c>
      <c r="T839" s="13">
        <v>13499</v>
      </c>
      <c r="U839" s="13">
        <f t="shared" si="66"/>
        <v>161988</v>
      </c>
      <c r="V839" s="14">
        <v>13782</v>
      </c>
      <c r="W839">
        <v>9</v>
      </c>
      <c r="X839" s="8" t="s">
        <v>46</v>
      </c>
      <c r="Y839" s="15">
        <v>0.17</v>
      </c>
      <c r="Z839">
        <v>3</v>
      </c>
      <c r="AA839">
        <v>3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 t="str">
        <f t="shared" si="67"/>
        <v>4-7</v>
      </c>
      <c r="AI839">
        <v>2</v>
      </c>
      <c r="AJ839" t="str">
        <f t="shared" si="68"/>
        <v>0-2</v>
      </c>
      <c r="AK839">
        <v>13</v>
      </c>
    </row>
    <row r="840" spans="1:37" x14ac:dyDescent="0.25">
      <c r="A840" s="8">
        <v>839</v>
      </c>
      <c r="B840" t="s">
        <v>44</v>
      </c>
      <c r="C840" t="s">
        <v>37</v>
      </c>
      <c r="D840" s="8">
        <v>42</v>
      </c>
      <c r="E840" t="str">
        <f t="shared" si="69"/>
        <v>36-45</v>
      </c>
      <c r="F840" t="s">
        <v>38</v>
      </c>
      <c r="G840" t="s">
        <v>47</v>
      </c>
      <c r="H840" s="8" t="s">
        <v>40</v>
      </c>
      <c r="I840" s="10">
        <v>12</v>
      </c>
      <c r="J840" t="str">
        <f t="shared" si="65"/>
        <v>Moderate</v>
      </c>
      <c r="K840">
        <v>3</v>
      </c>
      <c r="L840" t="s">
        <v>41</v>
      </c>
      <c r="M840">
        <v>3</v>
      </c>
      <c r="N840">
        <v>3</v>
      </c>
      <c r="O840">
        <v>4</v>
      </c>
      <c r="P840" t="s">
        <v>42</v>
      </c>
      <c r="Q840">
        <v>1</v>
      </c>
      <c r="R840" s="11">
        <v>481</v>
      </c>
      <c r="S840" s="14">
        <v>44</v>
      </c>
      <c r="T840" s="13">
        <v>13758</v>
      </c>
      <c r="U840" s="13">
        <f t="shared" si="66"/>
        <v>165096</v>
      </c>
      <c r="V840" s="14">
        <v>2447</v>
      </c>
      <c r="W840">
        <v>0</v>
      </c>
      <c r="X840" s="8" t="s">
        <v>38</v>
      </c>
      <c r="Y840" s="15">
        <v>0.12</v>
      </c>
      <c r="Z840">
        <v>3</v>
      </c>
      <c r="AA840">
        <v>2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 t="str">
        <f t="shared" si="67"/>
        <v>8-11</v>
      </c>
      <c r="AI840">
        <v>13</v>
      </c>
      <c r="AJ840" t="str">
        <f t="shared" si="68"/>
        <v>12-15</v>
      </c>
      <c r="AK840">
        <v>14</v>
      </c>
    </row>
    <row r="841" spans="1:37" x14ac:dyDescent="0.25">
      <c r="A841" s="8">
        <v>840</v>
      </c>
      <c r="B841" t="s">
        <v>44</v>
      </c>
      <c r="C841" t="s">
        <v>37</v>
      </c>
      <c r="D841" s="8">
        <v>42</v>
      </c>
      <c r="E841" t="str">
        <f t="shared" si="69"/>
        <v>36-45</v>
      </c>
      <c r="F841" t="s">
        <v>46</v>
      </c>
      <c r="G841" t="s">
        <v>39</v>
      </c>
      <c r="H841" s="8" t="s">
        <v>40</v>
      </c>
      <c r="I841" s="10">
        <v>4</v>
      </c>
      <c r="J841" t="str">
        <f t="shared" si="65"/>
        <v>Near</v>
      </c>
      <c r="K841">
        <v>4</v>
      </c>
      <c r="L841" t="s">
        <v>62</v>
      </c>
      <c r="M841">
        <v>2</v>
      </c>
      <c r="N841">
        <v>3</v>
      </c>
      <c r="O841">
        <v>2</v>
      </c>
      <c r="P841" t="s">
        <v>42</v>
      </c>
      <c r="Q841">
        <v>1</v>
      </c>
      <c r="R841" s="11">
        <v>647</v>
      </c>
      <c r="S841" s="14">
        <v>45</v>
      </c>
      <c r="T841" s="13">
        <v>5155</v>
      </c>
      <c r="U841" s="13">
        <f t="shared" si="66"/>
        <v>61860</v>
      </c>
      <c r="V841" s="14">
        <v>2253</v>
      </c>
      <c r="W841">
        <v>7</v>
      </c>
      <c r="X841" s="8" t="s">
        <v>46</v>
      </c>
      <c r="Y841" s="15">
        <v>0.13</v>
      </c>
      <c r="Z841">
        <v>3</v>
      </c>
      <c r="AA841">
        <v>4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 t="str">
        <f t="shared" si="67"/>
        <v>4-7</v>
      </c>
      <c r="AI841">
        <v>1</v>
      </c>
      <c r="AJ841" t="str">
        <f t="shared" si="68"/>
        <v>0-2</v>
      </c>
      <c r="AK841">
        <v>5</v>
      </c>
    </row>
    <row r="842" spans="1:37" x14ac:dyDescent="0.25">
      <c r="A842" s="8">
        <v>841</v>
      </c>
      <c r="B842" t="s">
        <v>44</v>
      </c>
      <c r="C842" t="s">
        <v>45</v>
      </c>
      <c r="D842" s="8">
        <v>35</v>
      </c>
      <c r="E842" t="str">
        <f t="shared" si="69"/>
        <v>26-35</v>
      </c>
      <c r="F842" t="s">
        <v>46</v>
      </c>
      <c r="G842" t="s">
        <v>39</v>
      </c>
      <c r="H842" s="8" t="s">
        <v>48</v>
      </c>
      <c r="I842" s="10">
        <v>1</v>
      </c>
      <c r="J842" t="str">
        <f t="shared" si="65"/>
        <v>Near</v>
      </c>
      <c r="K842">
        <v>4</v>
      </c>
      <c r="L842" t="s">
        <v>53</v>
      </c>
      <c r="M842">
        <v>4</v>
      </c>
      <c r="N842">
        <v>2</v>
      </c>
      <c r="O842">
        <v>1</v>
      </c>
      <c r="P842" t="s">
        <v>51</v>
      </c>
      <c r="Q842">
        <v>3</v>
      </c>
      <c r="R842" s="11">
        <v>982</v>
      </c>
      <c r="S842" s="14">
        <v>58</v>
      </c>
      <c r="T842" s="13">
        <v>2258</v>
      </c>
      <c r="U842" s="13">
        <f t="shared" si="66"/>
        <v>27096</v>
      </c>
      <c r="V842" s="14">
        <v>16340</v>
      </c>
      <c r="W842">
        <v>6</v>
      </c>
      <c r="X842" s="8" t="s">
        <v>46</v>
      </c>
      <c r="Y842" s="15">
        <v>0.12</v>
      </c>
      <c r="Z842">
        <v>3</v>
      </c>
      <c r="AA842">
        <v>2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 t="str">
        <f t="shared" si="67"/>
        <v>0-3</v>
      </c>
      <c r="AI842">
        <v>1</v>
      </c>
      <c r="AJ842" t="str">
        <f t="shared" si="68"/>
        <v>0-2</v>
      </c>
      <c r="AK842">
        <v>7</v>
      </c>
    </row>
    <row r="843" spans="1:37" x14ac:dyDescent="0.25">
      <c r="A843" s="8">
        <v>842</v>
      </c>
      <c r="B843" t="s">
        <v>44</v>
      </c>
      <c r="C843" t="s">
        <v>37</v>
      </c>
      <c r="D843" s="8">
        <v>24</v>
      </c>
      <c r="E843" t="str">
        <f t="shared" si="69"/>
        <v>18-25</v>
      </c>
      <c r="F843" t="s">
        <v>46</v>
      </c>
      <c r="G843" t="s">
        <v>39</v>
      </c>
      <c r="H843" s="8" t="s">
        <v>48</v>
      </c>
      <c r="I843" s="10">
        <v>24</v>
      </c>
      <c r="J843" t="str">
        <f t="shared" si="65"/>
        <v>Far</v>
      </c>
      <c r="K843">
        <v>3</v>
      </c>
      <c r="L843" t="s">
        <v>53</v>
      </c>
      <c r="M843">
        <v>4</v>
      </c>
      <c r="N843">
        <v>3</v>
      </c>
      <c r="O843">
        <v>1</v>
      </c>
      <c r="P843" t="s">
        <v>51</v>
      </c>
      <c r="Q843">
        <v>2</v>
      </c>
      <c r="R843" s="11">
        <v>477</v>
      </c>
      <c r="S843" s="14">
        <v>49</v>
      </c>
      <c r="T843" s="13">
        <v>3597</v>
      </c>
      <c r="U843" s="13">
        <f t="shared" si="66"/>
        <v>43164</v>
      </c>
      <c r="V843" s="14">
        <v>6409</v>
      </c>
      <c r="W843">
        <v>8</v>
      </c>
      <c r="X843" s="8" t="s">
        <v>46</v>
      </c>
      <c r="Y843" s="15">
        <v>0.22</v>
      </c>
      <c r="Z843">
        <v>4</v>
      </c>
      <c r="AA843">
        <v>4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 t="str">
        <f t="shared" si="67"/>
        <v>0-3</v>
      </c>
      <c r="AI843">
        <v>1</v>
      </c>
      <c r="AJ843" t="str">
        <f t="shared" si="68"/>
        <v>0-2</v>
      </c>
      <c r="AK843">
        <v>2</v>
      </c>
    </row>
    <row r="844" spans="1:37" x14ac:dyDescent="0.25">
      <c r="A844" s="8">
        <v>843</v>
      </c>
      <c r="B844" t="s">
        <v>52</v>
      </c>
      <c r="C844" t="s">
        <v>45</v>
      </c>
      <c r="D844" s="8">
        <v>28</v>
      </c>
      <c r="E844" t="str">
        <f t="shared" si="69"/>
        <v>26-35</v>
      </c>
      <c r="F844" t="s">
        <v>38</v>
      </c>
      <c r="G844" t="s">
        <v>39</v>
      </c>
      <c r="H844" s="8" t="s">
        <v>48</v>
      </c>
      <c r="I844" s="10">
        <v>12</v>
      </c>
      <c r="J844" t="str">
        <f t="shared" si="65"/>
        <v>Moderate</v>
      </c>
      <c r="K844">
        <v>1</v>
      </c>
      <c r="L844" t="s">
        <v>41</v>
      </c>
      <c r="M844">
        <v>3</v>
      </c>
      <c r="N844">
        <v>3</v>
      </c>
      <c r="O844">
        <v>1</v>
      </c>
      <c r="P844" t="s">
        <v>51</v>
      </c>
      <c r="Q844">
        <v>4</v>
      </c>
      <c r="R844" s="11">
        <v>1485</v>
      </c>
      <c r="S844" s="14">
        <v>79</v>
      </c>
      <c r="T844" s="13">
        <v>2515</v>
      </c>
      <c r="U844" s="13">
        <f t="shared" si="66"/>
        <v>30180</v>
      </c>
      <c r="V844" s="14">
        <v>22955</v>
      </c>
      <c r="W844">
        <v>1</v>
      </c>
      <c r="X844" s="8" t="s">
        <v>38</v>
      </c>
      <c r="Y844" s="15">
        <v>0.11</v>
      </c>
      <c r="Z844">
        <v>3</v>
      </c>
      <c r="AA844">
        <v>4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 t="str">
        <f t="shared" si="67"/>
        <v>0-3</v>
      </c>
      <c r="AI844">
        <v>0</v>
      </c>
      <c r="AJ844" t="str">
        <f t="shared" si="68"/>
        <v>0-2</v>
      </c>
      <c r="AK844">
        <v>0</v>
      </c>
    </row>
    <row r="845" spans="1:37" x14ac:dyDescent="0.25">
      <c r="A845" s="8">
        <v>844</v>
      </c>
      <c r="B845" t="s">
        <v>44</v>
      </c>
      <c r="C845" t="s">
        <v>45</v>
      </c>
      <c r="D845" s="8">
        <v>26</v>
      </c>
      <c r="E845" t="str">
        <f t="shared" si="69"/>
        <v>26-35</v>
      </c>
      <c r="F845" t="s">
        <v>46</v>
      </c>
      <c r="G845" t="s">
        <v>39</v>
      </c>
      <c r="H845" s="8" t="s">
        <v>48</v>
      </c>
      <c r="I845" s="10">
        <v>3</v>
      </c>
      <c r="J845" t="str">
        <f t="shared" si="65"/>
        <v>Near</v>
      </c>
      <c r="K845">
        <v>4</v>
      </c>
      <c r="L845" t="s">
        <v>53</v>
      </c>
      <c r="M845">
        <v>1</v>
      </c>
      <c r="N845">
        <v>4</v>
      </c>
      <c r="O845">
        <v>1</v>
      </c>
      <c r="P845" t="s">
        <v>51</v>
      </c>
      <c r="Q845">
        <v>4</v>
      </c>
      <c r="R845" s="11">
        <v>1384</v>
      </c>
      <c r="S845" s="14">
        <v>82</v>
      </c>
      <c r="T845" s="13">
        <v>4420</v>
      </c>
      <c r="U845" s="13">
        <f t="shared" si="66"/>
        <v>53040</v>
      </c>
      <c r="V845" s="14">
        <v>13421</v>
      </c>
      <c r="W845">
        <v>1</v>
      </c>
      <c r="X845" s="8" t="s">
        <v>46</v>
      </c>
      <c r="Y845" s="15">
        <v>0.22</v>
      </c>
      <c r="Z845">
        <v>4</v>
      </c>
      <c r="AA845">
        <v>2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 t="str">
        <f t="shared" si="67"/>
        <v>4-7</v>
      </c>
      <c r="AI845">
        <v>0</v>
      </c>
      <c r="AJ845" t="str">
        <f t="shared" si="68"/>
        <v>0-2</v>
      </c>
      <c r="AK845">
        <v>7</v>
      </c>
    </row>
    <row r="846" spans="1:37" x14ac:dyDescent="0.25">
      <c r="A846" s="8">
        <v>845</v>
      </c>
      <c r="B846" t="s">
        <v>44</v>
      </c>
      <c r="C846" t="s">
        <v>45</v>
      </c>
      <c r="D846" s="8">
        <v>30</v>
      </c>
      <c r="E846" t="str">
        <f t="shared" si="69"/>
        <v>26-35</v>
      </c>
      <c r="F846" t="s">
        <v>46</v>
      </c>
      <c r="G846" t="s">
        <v>39</v>
      </c>
      <c r="H846" s="8" t="s">
        <v>40</v>
      </c>
      <c r="I846" s="10">
        <v>10</v>
      </c>
      <c r="J846" t="str">
        <f t="shared" si="65"/>
        <v>Moderate</v>
      </c>
      <c r="K846">
        <v>3</v>
      </c>
      <c r="L846" t="s">
        <v>62</v>
      </c>
      <c r="M846">
        <v>3</v>
      </c>
      <c r="N846">
        <v>2</v>
      </c>
      <c r="O846">
        <v>2</v>
      </c>
      <c r="P846" t="s">
        <v>42</v>
      </c>
      <c r="Q846">
        <v>3</v>
      </c>
      <c r="R846" s="11">
        <v>852</v>
      </c>
      <c r="S846" s="14">
        <v>72</v>
      </c>
      <c r="T846" s="13">
        <v>6578</v>
      </c>
      <c r="U846" s="13">
        <f t="shared" si="66"/>
        <v>78936</v>
      </c>
      <c r="V846" s="14">
        <v>2706</v>
      </c>
      <c r="W846">
        <v>1</v>
      </c>
      <c r="X846" s="8" t="s">
        <v>46</v>
      </c>
      <c r="Y846" s="15">
        <v>0.18</v>
      </c>
      <c r="Z846">
        <v>3</v>
      </c>
      <c r="AA846">
        <v>1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 t="str">
        <f t="shared" si="67"/>
        <v>0-3</v>
      </c>
      <c r="AI846">
        <v>1</v>
      </c>
      <c r="AJ846" t="str">
        <f t="shared" si="68"/>
        <v>0-2</v>
      </c>
      <c r="AK846">
        <v>4</v>
      </c>
    </row>
    <row r="847" spans="1:37" x14ac:dyDescent="0.25">
      <c r="A847" s="8">
        <v>846</v>
      </c>
      <c r="B847" t="s">
        <v>52</v>
      </c>
      <c r="C847" t="s">
        <v>45</v>
      </c>
      <c r="D847" s="8">
        <v>40</v>
      </c>
      <c r="E847" t="str">
        <f t="shared" si="69"/>
        <v>36-45</v>
      </c>
      <c r="F847" t="s">
        <v>46</v>
      </c>
      <c r="G847" t="s">
        <v>47</v>
      </c>
      <c r="H847" s="8" t="s">
        <v>48</v>
      </c>
      <c r="I847" s="10">
        <v>26</v>
      </c>
      <c r="J847" t="str">
        <f t="shared" si="65"/>
        <v>Far</v>
      </c>
      <c r="K847">
        <v>2</v>
      </c>
      <c r="L847" t="s">
        <v>53</v>
      </c>
      <c r="M847">
        <v>3</v>
      </c>
      <c r="N847">
        <v>2</v>
      </c>
      <c r="O847">
        <v>2</v>
      </c>
      <c r="P847" t="s">
        <v>49</v>
      </c>
      <c r="Q847">
        <v>4</v>
      </c>
      <c r="R847" s="11">
        <v>902</v>
      </c>
      <c r="S847" s="14">
        <v>92</v>
      </c>
      <c r="T847" s="13">
        <v>4422</v>
      </c>
      <c r="U847" s="13">
        <f t="shared" si="66"/>
        <v>53064</v>
      </c>
      <c r="V847" s="14">
        <v>21203</v>
      </c>
      <c r="W847">
        <v>3</v>
      </c>
      <c r="X847" s="8" t="s">
        <v>38</v>
      </c>
      <c r="Y847" s="15">
        <v>0.13</v>
      </c>
      <c r="Z847">
        <v>3</v>
      </c>
      <c r="AA847">
        <v>4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 t="str">
        <f t="shared" si="67"/>
        <v>0-3</v>
      </c>
      <c r="AI847">
        <v>0</v>
      </c>
      <c r="AJ847" t="str">
        <f t="shared" si="68"/>
        <v>0-2</v>
      </c>
      <c r="AK847">
        <v>0</v>
      </c>
    </row>
    <row r="848" spans="1:37" x14ac:dyDescent="0.25">
      <c r="A848" s="8">
        <v>847</v>
      </c>
      <c r="B848" t="s">
        <v>44</v>
      </c>
      <c r="C848" t="s">
        <v>54</v>
      </c>
      <c r="D848" s="8">
        <v>35</v>
      </c>
      <c r="E848" t="str">
        <f t="shared" si="69"/>
        <v>26-35</v>
      </c>
      <c r="F848" t="s">
        <v>46</v>
      </c>
      <c r="G848" t="s">
        <v>39</v>
      </c>
      <c r="H848" s="8" t="s">
        <v>48</v>
      </c>
      <c r="I848" s="10">
        <v>2</v>
      </c>
      <c r="J848" t="str">
        <f t="shared" si="65"/>
        <v>Near</v>
      </c>
      <c r="K848">
        <v>3</v>
      </c>
      <c r="L848" t="s">
        <v>41</v>
      </c>
      <c r="M848">
        <v>3</v>
      </c>
      <c r="N848">
        <v>2</v>
      </c>
      <c r="O848">
        <v>3</v>
      </c>
      <c r="P848" t="s">
        <v>55</v>
      </c>
      <c r="Q848">
        <v>2</v>
      </c>
      <c r="R848" s="11">
        <v>819</v>
      </c>
      <c r="S848" s="14">
        <v>44</v>
      </c>
      <c r="T848" s="13">
        <v>10274</v>
      </c>
      <c r="U848" s="13">
        <f t="shared" si="66"/>
        <v>123288</v>
      </c>
      <c r="V848" s="14">
        <v>19588</v>
      </c>
      <c r="W848">
        <v>2</v>
      </c>
      <c r="X848" s="8" t="s">
        <v>46</v>
      </c>
      <c r="Y848" s="15">
        <v>0.18</v>
      </c>
      <c r="Z848">
        <v>3</v>
      </c>
      <c r="AA848">
        <v>2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 t="str">
        <f t="shared" si="67"/>
        <v>4-7</v>
      </c>
      <c r="AI848">
        <v>6</v>
      </c>
      <c r="AJ848" t="str">
        <f t="shared" si="68"/>
        <v>6-8</v>
      </c>
      <c r="AK848">
        <v>4</v>
      </c>
    </row>
    <row r="849" spans="1:37" x14ac:dyDescent="0.25">
      <c r="A849" s="8">
        <v>848</v>
      </c>
      <c r="B849" t="s">
        <v>44</v>
      </c>
      <c r="C849" t="s">
        <v>37</v>
      </c>
      <c r="D849" s="8">
        <v>34</v>
      </c>
      <c r="E849" t="str">
        <f t="shared" si="69"/>
        <v>26-35</v>
      </c>
      <c r="F849" t="s">
        <v>46</v>
      </c>
      <c r="G849" t="s">
        <v>47</v>
      </c>
      <c r="H849" s="8" t="s">
        <v>48</v>
      </c>
      <c r="I849" s="10">
        <v>1</v>
      </c>
      <c r="J849" t="str">
        <f t="shared" si="65"/>
        <v>Near</v>
      </c>
      <c r="K849">
        <v>3</v>
      </c>
      <c r="L849" t="s">
        <v>53</v>
      </c>
      <c r="M849">
        <v>4</v>
      </c>
      <c r="N849">
        <v>2</v>
      </c>
      <c r="O849">
        <v>2</v>
      </c>
      <c r="P849" t="s">
        <v>56</v>
      </c>
      <c r="Q849">
        <v>1</v>
      </c>
      <c r="R849" s="11">
        <v>669</v>
      </c>
      <c r="S849" s="14">
        <v>97</v>
      </c>
      <c r="T849" s="13">
        <v>5343</v>
      </c>
      <c r="U849" s="13">
        <f t="shared" si="66"/>
        <v>64116</v>
      </c>
      <c r="V849" s="14">
        <v>25755</v>
      </c>
      <c r="W849">
        <v>0</v>
      </c>
      <c r="X849" s="8" t="s">
        <v>46</v>
      </c>
      <c r="Y849" s="15">
        <v>0.2</v>
      </c>
      <c r="Z849">
        <v>4</v>
      </c>
      <c r="AA849">
        <v>3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 t="str">
        <f t="shared" si="67"/>
        <v>8-11</v>
      </c>
      <c r="AI849">
        <v>4</v>
      </c>
      <c r="AJ849" t="str">
        <f t="shared" si="68"/>
        <v>3-5</v>
      </c>
      <c r="AK849">
        <v>9</v>
      </c>
    </row>
    <row r="850" spans="1:37" x14ac:dyDescent="0.25">
      <c r="A850" s="8">
        <v>849</v>
      </c>
      <c r="B850" t="s">
        <v>44</v>
      </c>
      <c r="C850" t="s">
        <v>45</v>
      </c>
      <c r="D850" s="8">
        <v>35</v>
      </c>
      <c r="E850" t="str">
        <f t="shared" si="69"/>
        <v>26-35</v>
      </c>
      <c r="F850" t="s">
        <v>46</v>
      </c>
      <c r="G850" t="s">
        <v>47</v>
      </c>
      <c r="H850" s="8" t="s">
        <v>48</v>
      </c>
      <c r="I850" s="10">
        <v>4</v>
      </c>
      <c r="J850" t="str">
        <f t="shared" si="65"/>
        <v>Near</v>
      </c>
      <c r="K850">
        <v>4</v>
      </c>
      <c r="L850" t="s">
        <v>50</v>
      </c>
      <c r="M850">
        <v>4</v>
      </c>
      <c r="N850">
        <v>2</v>
      </c>
      <c r="O850">
        <v>1</v>
      </c>
      <c r="P850" t="s">
        <v>51</v>
      </c>
      <c r="Q850">
        <v>4</v>
      </c>
      <c r="R850" s="11">
        <v>636</v>
      </c>
      <c r="S850" s="14">
        <v>47</v>
      </c>
      <c r="T850" s="13">
        <v>2376</v>
      </c>
      <c r="U850" s="13">
        <f t="shared" si="66"/>
        <v>28512</v>
      </c>
      <c r="V850" s="14">
        <v>26537</v>
      </c>
      <c r="W850">
        <v>1</v>
      </c>
      <c r="X850" s="8" t="s">
        <v>46</v>
      </c>
      <c r="Y850" s="15">
        <v>0.13</v>
      </c>
      <c r="Z850">
        <v>3</v>
      </c>
      <c r="AA850">
        <v>2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 t="str">
        <f t="shared" si="67"/>
        <v>0-3</v>
      </c>
      <c r="AI850">
        <v>2</v>
      </c>
      <c r="AJ850" t="str">
        <f t="shared" si="68"/>
        <v>0-2</v>
      </c>
      <c r="AK850">
        <v>2</v>
      </c>
    </row>
    <row r="851" spans="1:37" x14ac:dyDescent="0.25">
      <c r="A851" s="8">
        <v>850</v>
      </c>
      <c r="B851" t="s">
        <v>52</v>
      </c>
      <c r="C851" t="s">
        <v>37</v>
      </c>
      <c r="D851" s="8">
        <v>43</v>
      </c>
      <c r="E851" t="str">
        <f t="shared" si="69"/>
        <v>36-45</v>
      </c>
      <c r="F851" t="s">
        <v>38</v>
      </c>
      <c r="G851" t="s">
        <v>39</v>
      </c>
      <c r="H851" s="8" t="s">
        <v>40</v>
      </c>
      <c r="I851" s="10">
        <v>9</v>
      </c>
      <c r="J851" t="str">
        <f t="shared" si="65"/>
        <v>Moderate</v>
      </c>
      <c r="K851">
        <v>3</v>
      </c>
      <c r="L851" t="s">
        <v>62</v>
      </c>
      <c r="M851">
        <v>1</v>
      </c>
      <c r="N851">
        <v>1</v>
      </c>
      <c r="O851">
        <v>2</v>
      </c>
      <c r="P851" t="s">
        <v>42</v>
      </c>
      <c r="Q851">
        <v>3</v>
      </c>
      <c r="R851" s="11">
        <v>1372</v>
      </c>
      <c r="S851" s="14">
        <v>85</v>
      </c>
      <c r="T851" s="13">
        <v>5346</v>
      </c>
      <c r="U851" s="13">
        <f t="shared" si="66"/>
        <v>64152</v>
      </c>
      <c r="V851" s="14">
        <v>9489</v>
      </c>
      <c r="W851">
        <v>8</v>
      </c>
      <c r="X851" s="8" t="s">
        <v>46</v>
      </c>
      <c r="Y851" s="15">
        <v>0.13</v>
      </c>
      <c r="Z851">
        <v>3</v>
      </c>
      <c r="AA851">
        <v>2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 t="str">
        <f t="shared" si="67"/>
        <v>0-3</v>
      </c>
      <c r="AI851">
        <v>1</v>
      </c>
      <c r="AJ851" t="str">
        <f t="shared" si="68"/>
        <v>0-2</v>
      </c>
      <c r="AK851">
        <v>3</v>
      </c>
    </row>
    <row r="852" spans="1:37" x14ac:dyDescent="0.25">
      <c r="A852" s="8">
        <v>851</v>
      </c>
      <c r="B852" t="s">
        <v>52</v>
      </c>
      <c r="C852" t="s">
        <v>54</v>
      </c>
      <c r="D852" s="8">
        <v>32</v>
      </c>
      <c r="E852" t="str">
        <f t="shared" si="69"/>
        <v>26-35</v>
      </c>
      <c r="F852" t="s">
        <v>46</v>
      </c>
      <c r="G852" t="s">
        <v>58</v>
      </c>
      <c r="H852" s="8" t="s">
        <v>40</v>
      </c>
      <c r="I852" s="10">
        <v>2</v>
      </c>
      <c r="J852" t="str">
        <f t="shared" si="65"/>
        <v>Near</v>
      </c>
      <c r="K852">
        <v>1</v>
      </c>
      <c r="L852" t="s">
        <v>41</v>
      </c>
      <c r="M852">
        <v>3</v>
      </c>
      <c r="N852">
        <v>3</v>
      </c>
      <c r="O852">
        <v>1</v>
      </c>
      <c r="P852" t="s">
        <v>60</v>
      </c>
      <c r="Q852">
        <v>1</v>
      </c>
      <c r="R852" s="11">
        <v>862</v>
      </c>
      <c r="S852" s="14">
        <v>76</v>
      </c>
      <c r="T852" s="13">
        <v>2827</v>
      </c>
      <c r="U852" s="13">
        <f t="shared" si="66"/>
        <v>33924</v>
      </c>
      <c r="V852" s="14">
        <v>14947</v>
      </c>
      <c r="W852">
        <v>1</v>
      </c>
      <c r="X852" s="8" t="s">
        <v>46</v>
      </c>
      <c r="Y852" s="15">
        <v>0.12</v>
      </c>
      <c r="Z852">
        <v>3</v>
      </c>
      <c r="AA852">
        <v>3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 t="str">
        <f t="shared" si="67"/>
        <v>0-3</v>
      </c>
      <c r="AI852">
        <v>0</v>
      </c>
      <c r="AJ852" t="str">
        <f t="shared" si="68"/>
        <v>0-2</v>
      </c>
      <c r="AK852">
        <v>0</v>
      </c>
    </row>
    <row r="853" spans="1:37" x14ac:dyDescent="0.25">
      <c r="A853" s="8">
        <v>852</v>
      </c>
      <c r="B853" t="s">
        <v>52</v>
      </c>
      <c r="C853" t="s">
        <v>54</v>
      </c>
      <c r="D853" s="8">
        <v>56</v>
      </c>
      <c r="E853" t="str">
        <f t="shared" si="69"/>
        <v>55+</v>
      </c>
      <c r="F853" t="s">
        <v>46</v>
      </c>
      <c r="G853" t="s">
        <v>39</v>
      </c>
      <c r="H853" s="8" t="s">
        <v>48</v>
      </c>
      <c r="I853" s="10">
        <v>4</v>
      </c>
      <c r="J853" t="str">
        <f t="shared" si="65"/>
        <v>Near</v>
      </c>
      <c r="K853">
        <v>4</v>
      </c>
      <c r="L853" t="s">
        <v>63</v>
      </c>
      <c r="M853">
        <v>4</v>
      </c>
      <c r="N853">
        <v>3</v>
      </c>
      <c r="O853">
        <v>5</v>
      </c>
      <c r="P853" t="s">
        <v>59</v>
      </c>
      <c r="Q853">
        <v>1</v>
      </c>
      <c r="R853" s="11">
        <v>718</v>
      </c>
      <c r="S853" s="14">
        <v>92</v>
      </c>
      <c r="T853" s="13">
        <v>19943</v>
      </c>
      <c r="U853" s="13">
        <f t="shared" si="66"/>
        <v>239316</v>
      </c>
      <c r="V853" s="14">
        <v>18575</v>
      </c>
      <c r="W853">
        <v>4</v>
      </c>
      <c r="X853" s="8" t="s">
        <v>46</v>
      </c>
      <c r="Y853" s="15">
        <v>0.13</v>
      </c>
      <c r="Z853">
        <v>3</v>
      </c>
      <c r="AA853">
        <v>4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 t="str">
        <f t="shared" si="67"/>
        <v>0-3</v>
      </c>
      <c r="AI853">
        <v>4</v>
      </c>
      <c r="AJ853" t="str">
        <f t="shared" si="68"/>
        <v>3-5</v>
      </c>
      <c r="AK853">
        <v>2</v>
      </c>
    </row>
    <row r="854" spans="1:37" x14ac:dyDescent="0.25">
      <c r="A854" s="8">
        <v>853</v>
      </c>
      <c r="B854" t="s">
        <v>52</v>
      </c>
      <c r="C854" t="s">
        <v>45</v>
      </c>
      <c r="D854" s="8">
        <v>29</v>
      </c>
      <c r="E854" t="str">
        <f t="shared" si="69"/>
        <v>26-35</v>
      </c>
      <c r="F854" t="s">
        <v>46</v>
      </c>
      <c r="G854" t="s">
        <v>39</v>
      </c>
      <c r="H854" s="8" t="s">
        <v>48</v>
      </c>
      <c r="I854" s="10">
        <v>6</v>
      </c>
      <c r="J854" t="str">
        <f t="shared" si="65"/>
        <v>Moderate</v>
      </c>
      <c r="K854">
        <v>1</v>
      </c>
      <c r="L854" t="s">
        <v>53</v>
      </c>
      <c r="M854">
        <v>2</v>
      </c>
      <c r="N854">
        <v>3</v>
      </c>
      <c r="O854">
        <v>1</v>
      </c>
      <c r="P854" t="s">
        <v>51</v>
      </c>
      <c r="Q854">
        <v>4</v>
      </c>
      <c r="R854" s="11">
        <v>1401</v>
      </c>
      <c r="S854" s="14">
        <v>54</v>
      </c>
      <c r="T854" s="13">
        <v>3131</v>
      </c>
      <c r="U854" s="13">
        <f t="shared" si="66"/>
        <v>37572</v>
      </c>
      <c r="V854" s="14">
        <v>26342</v>
      </c>
      <c r="W854">
        <v>1</v>
      </c>
      <c r="X854" s="8" t="s">
        <v>46</v>
      </c>
      <c r="Y854" s="15">
        <v>0.13</v>
      </c>
      <c r="Z854">
        <v>3</v>
      </c>
      <c r="AA854">
        <v>1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 t="str">
        <f t="shared" si="67"/>
        <v>8-11</v>
      </c>
      <c r="AI854">
        <v>0</v>
      </c>
      <c r="AJ854" t="str">
        <f t="shared" si="68"/>
        <v>0-2</v>
      </c>
      <c r="AK854">
        <v>8</v>
      </c>
    </row>
    <row r="855" spans="1:37" x14ac:dyDescent="0.25">
      <c r="A855" s="8">
        <v>854</v>
      </c>
      <c r="B855" t="s">
        <v>44</v>
      </c>
      <c r="C855" t="s">
        <v>37</v>
      </c>
      <c r="D855" s="8">
        <v>19</v>
      </c>
      <c r="E855" t="str">
        <f t="shared" si="69"/>
        <v>18-25</v>
      </c>
      <c r="F855" t="s">
        <v>46</v>
      </c>
      <c r="G855" t="s">
        <v>39</v>
      </c>
      <c r="H855" s="8" t="s">
        <v>48</v>
      </c>
      <c r="I855" s="10">
        <v>9</v>
      </c>
      <c r="J855" t="str">
        <f t="shared" si="65"/>
        <v>Moderate</v>
      </c>
      <c r="K855">
        <v>2</v>
      </c>
      <c r="L855" t="s">
        <v>41</v>
      </c>
      <c r="M855">
        <v>3</v>
      </c>
      <c r="N855">
        <v>3</v>
      </c>
      <c r="O855">
        <v>1</v>
      </c>
      <c r="P855" t="s">
        <v>49</v>
      </c>
      <c r="Q855">
        <v>1</v>
      </c>
      <c r="R855" s="11">
        <v>645</v>
      </c>
      <c r="S855" s="14">
        <v>54</v>
      </c>
      <c r="T855" s="13">
        <v>2552</v>
      </c>
      <c r="U855" s="13">
        <f t="shared" si="66"/>
        <v>30624</v>
      </c>
      <c r="V855" s="14">
        <v>7172</v>
      </c>
      <c r="W855">
        <v>1</v>
      </c>
      <c r="X855" s="8" t="s">
        <v>46</v>
      </c>
      <c r="Y855" s="15">
        <v>0.25</v>
      </c>
      <c r="Z855">
        <v>4</v>
      </c>
      <c r="AA855">
        <v>3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 t="str">
        <f t="shared" si="67"/>
        <v>0-3</v>
      </c>
      <c r="AI855">
        <v>0</v>
      </c>
      <c r="AJ855" t="str">
        <f t="shared" si="68"/>
        <v>0-2</v>
      </c>
      <c r="AK855">
        <v>0</v>
      </c>
    </row>
    <row r="856" spans="1:37" x14ac:dyDescent="0.25">
      <c r="A856" s="8">
        <v>855</v>
      </c>
      <c r="B856" t="s">
        <v>52</v>
      </c>
      <c r="C856" t="s">
        <v>45</v>
      </c>
      <c r="D856" s="8">
        <v>45</v>
      </c>
      <c r="E856" t="str">
        <f t="shared" si="69"/>
        <v>36-45</v>
      </c>
      <c r="F856" t="s">
        <v>46</v>
      </c>
      <c r="G856" t="s">
        <v>39</v>
      </c>
      <c r="H856" s="8" t="s">
        <v>48</v>
      </c>
      <c r="I856" s="10">
        <v>7</v>
      </c>
      <c r="J856" t="str">
        <f t="shared" si="65"/>
        <v>Moderate</v>
      </c>
      <c r="K856">
        <v>3</v>
      </c>
      <c r="L856" t="s">
        <v>53</v>
      </c>
      <c r="M856">
        <v>1</v>
      </c>
      <c r="N856">
        <v>3</v>
      </c>
      <c r="O856">
        <v>1</v>
      </c>
      <c r="P856" t="s">
        <v>49</v>
      </c>
      <c r="Q856">
        <v>3</v>
      </c>
      <c r="R856" s="11">
        <v>1457</v>
      </c>
      <c r="S856" s="14">
        <v>83</v>
      </c>
      <c r="T856" s="13">
        <v>4477</v>
      </c>
      <c r="U856" s="13">
        <f t="shared" si="66"/>
        <v>53724</v>
      </c>
      <c r="V856" s="14">
        <v>20100</v>
      </c>
      <c r="W856">
        <v>4</v>
      </c>
      <c r="X856" s="8" t="s">
        <v>38</v>
      </c>
      <c r="Y856" s="15">
        <v>0.19</v>
      </c>
      <c r="Z856">
        <v>3</v>
      </c>
      <c r="AA856">
        <v>3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 t="str">
        <f t="shared" si="67"/>
        <v>0-3</v>
      </c>
      <c r="AI856">
        <v>0</v>
      </c>
      <c r="AJ856" t="str">
        <f t="shared" si="68"/>
        <v>0-2</v>
      </c>
      <c r="AK856">
        <v>2</v>
      </c>
    </row>
    <row r="857" spans="1:37" x14ac:dyDescent="0.25">
      <c r="A857" s="8">
        <v>856</v>
      </c>
      <c r="B857" t="s">
        <v>52</v>
      </c>
      <c r="C857" t="s">
        <v>45</v>
      </c>
      <c r="D857" s="8">
        <v>37</v>
      </c>
      <c r="E857" t="str">
        <f t="shared" si="69"/>
        <v>36-45</v>
      </c>
      <c r="F857" t="s">
        <v>46</v>
      </c>
      <c r="G857" t="s">
        <v>39</v>
      </c>
      <c r="H857" s="8" t="s">
        <v>48</v>
      </c>
      <c r="I857" s="10">
        <v>1</v>
      </c>
      <c r="J857" t="str">
        <f t="shared" si="65"/>
        <v>Near</v>
      </c>
      <c r="K857">
        <v>3</v>
      </c>
      <c r="L857" t="s">
        <v>41</v>
      </c>
      <c r="M857">
        <v>4</v>
      </c>
      <c r="N857">
        <v>2</v>
      </c>
      <c r="O857">
        <v>2</v>
      </c>
      <c r="P857" t="s">
        <v>55</v>
      </c>
      <c r="Q857">
        <v>4</v>
      </c>
      <c r="R857" s="11">
        <v>977</v>
      </c>
      <c r="S857" s="14">
        <v>56</v>
      </c>
      <c r="T857" s="13">
        <v>6474</v>
      </c>
      <c r="U857" s="13">
        <f t="shared" si="66"/>
        <v>77688</v>
      </c>
      <c r="V857" s="14">
        <v>9961</v>
      </c>
      <c r="W857">
        <v>1</v>
      </c>
      <c r="X857" s="8" t="s">
        <v>46</v>
      </c>
      <c r="Y857" s="15">
        <v>0.13</v>
      </c>
      <c r="Z857">
        <v>3</v>
      </c>
      <c r="AA857">
        <v>2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 t="str">
        <f t="shared" si="67"/>
        <v>8-11</v>
      </c>
      <c r="AI857">
        <v>3</v>
      </c>
      <c r="AJ857" t="str">
        <f t="shared" si="68"/>
        <v>3-5</v>
      </c>
      <c r="AK857">
        <v>11</v>
      </c>
    </row>
    <row r="858" spans="1:37" x14ac:dyDescent="0.25">
      <c r="A858" s="8">
        <v>857</v>
      </c>
      <c r="B858" t="s">
        <v>44</v>
      </c>
      <c r="C858" t="s">
        <v>37</v>
      </c>
      <c r="D858" s="8">
        <v>20</v>
      </c>
      <c r="E858" t="str">
        <f t="shared" si="69"/>
        <v>18-25</v>
      </c>
      <c r="F858" t="s">
        <v>46</v>
      </c>
      <c r="G858" t="s">
        <v>39</v>
      </c>
      <c r="H858" s="8" t="s">
        <v>48</v>
      </c>
      <c r="I858" s="10">
        <v>3</v>
      </c>
      <c r="J858" t="str">
        <f t="shared" si="65"/>
        <v>Near</v>
      </c>
      <c r="K858">
        <v>3</v>
      </c>
      <c r="L858" t="s">
        <v>41</v>
      </c>
      <c r="M858">
        <v>1</v>
      </c>
      <c r="N858">
        <v>2</v>
      </c>
      <c r="O858">
        <v>1</v>
      </c>
      <c r="P858" t="s">
        <v>51</v>
      </c>
      <c r="Q858">
        <v>3</v>
      </c>
      <c r="R858" s="11">
        <v>805</v>
      </c>
      <c r="S858" s="14">
        <v>87</v>
      </c>
      <c r="T858" s="13">
        <v>3033</v>
      </c>
      <c r="U858" s="13">
        <f t="shared" si="66"/>
        <v>36396</v>
      </c>
      <c r="V858" s="14">
        <v>12828</v>
      </c>
      <c r="W858">
        <v>1</v>
      </c>
      <c r="X858" s="8" t="s">
        <v>46</v>
      </c>
      <c r="Y858" s="15">
        <v>0.12</v>
      </c>
      <c r="Z858">
        <v>3</v>
      </c>
      <c r="AA858">
        <v>1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 t="str">
        <f t="shared" si="67"/>
        <v>0-3</v>
      </c>
      <c r="AI858">
        <v>1</v>
      </c>
      <c r="AJ858" t="str">
        <f t="shared" si="68"/>
        <v>0-2</v>
      </c>
      <c r="AK858">
        <v>2</v>
      </c>
    </row>
    <row r="859" spans="1:37" x14ac:dyDescent="0.25">
      <c r="A859" s="8">
        <v>858</v>
      </c>
      <c r="B859" t="s">
        <v>44</v>
      </c>
      <c r="C859" t="s">
        <v>37</v>
      </c>
      <c r="D859" s="8">
        <v>44</v>
      </c>
      <c r="E859" t="str">
        <f t="shared" si="69"/>
        <v>36-45</v>
      </c>
      <c r="F859" t="s">
        <v>38</v>
      </c>
      <c r="G859" t="s">
        <v>39</v>
      </c>
      <c r="H859" s="8" t="s">
        <v>48</v>
      </c>
      <c r="I859" s="10">
        <v>10</v>
      </c>
      <c r="J859" t="str">
        <f t="shared" si="65"/>
        <v>Moderate</v>
      </c>
      <c r="K859">
        <v>4</v>
      </c>
      <c r="L859" t="s">
        <v>41</v>
      </c>
      <c r="M859">
        <v>3</v>
      </c>
      <c r="N859">
        <v>3</v>
      </c>
      <c r="O859">
        <v>1</v>
      </c>
      <c r="P859" t="s">
        <v>49</v>
      </c>
      <c r="Q859">
        <v>3</v>
      </c>
      <c r="R859" s="11">
        <v>1097</v>
      </c>
      <c r="S859" s="14">
        <v>96</v>
      </c>
      <c r="T859" s="13">
        <v>2936</v>
      </c>
      <c r="U859" s="13">
        <f t="shared" si="66"/>
        <v>35232</v>
      </c>
      <c r="V859" s="14">
        <v>10826</v>
      </c>
      <c r="W859">
        <v>1</v>
      </c>
      <c r="X859" s="8" t="s">
        <v>38</v>
      </c>
      <c r="Y859" s="15">
        <v>0.11</v>
      </c>
      <c r="Z859">
        <v>3</v>
      </c>
      <c r="AA859">
        <v>3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 t="str">
        <f t="shared" si="67"/>
        <v>4-7</v>
      </c>
      <c r="AI859">
        <v>0</v>
      </c>
      <c r="AJ859" t="str">
        <f t="shared" si="68"/>
        <v>0-2</v>
      </c>
      <c r="AK859">
        <v>2</v>
      </c>
    </row>
    <row r="860" spans="1:37" x14ac:dyDescent="0.25">
      <c r="A860" s="8">
        <v>859</v>
      </c>
      <c r="B860" t="s">
        <v>52</v>
      </c>
      <c r="C860" t="s">
        <v>54</v>
      </c>
      <c r="D860" s="8">
        <v>53</v>
      </c>
      <c r="E860" t="str">
        <f t="shared" si="69"/>
        <v>46-55</v>
      </c>
      <c r="F860" t="s">
        <v>46</v>
      </c>
      <c r="G860" t="s">
        <v>39</v>
      </c>
      <c r="H860" s="8" t="s">
        <v>48</v>
      </c>
      <c r="I860" s="10">
        <v>7</v>
      </c>
      <c r="J860" t="str">
        <f t="shared" si="65"/>
        <v>Moderate</v>
      </c>
      <c r="K860">
        <v>2</v>
      </c>
      <c r="L860" t="s">
        <v>53</v>
      </c>
      <c r="M860">
        <v>4</v>
      </c>
      <c r="N860">
        <v>3</v>
      </c>
      <c r="O860">
        <v>5</v>
      </c>
      <c r="P860" t="s">
        <v>59</v>
      </c>
      <c r="Q860">
        <v>3</v>
      </c>
      <c r="R860" s="11">
        <v>1223</v>
      </c>
      <c r="S860" s="14">
        <v>50</v>
      </c>
      <c r="T860" s="13">
        <v>18606</v>
      </c>
      <c r="U860" s="13">
        <f t="shared" si="66"/>
        <v>223272</v>
      </c>
      <c r="V860" s="14">
        <v>18640</v>
      </c>
      <c r="W860">
        <v>3</v>
      </c>
      <c r="X860" s="8" t="s">
        <v>46</v>
      </c>
      <c r="Y860" s="15">
        <v>0.18</v>
      </c>
      <c r="Z860">
        <v>3</v>
      </c>
      <c r="AA860">
        <v>2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 t="str">
        <f t="shared" si="67"/>
        <v>4-7</v>
      </c>
      <c r="AI860">
        <v>4</v>
      </c>
      <c r="AJ860" t="str">
        <f t="shared" si="68"/>
        <v>3-5</v>
      </c>
      <c r="AK860">
        <v>7</v>
      </c>
    </row>
    <row r="861" spans="1:37" x14ac:dyDescent="0.25">
      <c r="A861" s="8">
        <v>860</v>
      </c>
      <c r="B861" t="s">
        <v>52</v>
      </c>
      <c r="C861" t="s">
        <v>45</v>
      </c>
      <c r="D861" s="8">
        <v>29</v>
      </c>
      <c r="E861" t="str">
        <f t="shared" si="69"/>
        <v>26-35</v>
      </c>
      <c r="F861" t="s">
        <v>46</v>
      </c>
      <c r="G861" t="s">
        <v>39</v>
      </c>
      <c r="H861" s="8" t="s">
        <v>48</v>
      </c>
      <c r="I861" s="10">
        <v>15</v>
      </c>
      <c r="J861" t="str">
        <f t="shared" si="65"/>
        <v>Moderate</v>
      </c>
      <c r="K861">
        <v>1</v>
      </c>
      <c r="L861" t="s">
        <v>41</v>
      </c>
      <c r="M861">
        <v>2</v>
      </c>
      <c r="N861">
        <v>1</v>
      </c>
      <c r="O861">
        <v>1</v>
      </c>
      <c r="P861" t="s">
        <v>49</v>
      </c>
      <c r="Q861">
        <v>4</v>
      </c>
      <c r="R861" s="11">
        <v>942</v>
      </c>
      <c r="S861" s="14">
        <v>69</v>
      </c>
      <c r="T861" s="13">
        <v>2168</v>
      </c>
      <c r="U861" s="13">
        <f t="shared" si="66"/>
        <v>26016</v>
      </c>
      <c r="V861" s="14">
        <v>26933</v>
      </c>
      <c r="W861">
        <v>0</v>
      </c>
      <c r="X861" s="8" t="s">
        <v>38</v>
      </c>
      <c r="Y861" s="15">
        <v>0.18</v>
      </c>
      <c r="Z861">
        <v>3</v>
      </c>
      <c r="AA861">
        <v>1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 t="str">
        <f t="shared" si="67"/>
        <v>4-7</v>
      </c>
      <c r="AI861">
        <v>1</v>
      </c>
      <c r="AJ861" t="str">
        <f t="shared" si="68"/>
        <v>0-2</v>
      </c>
      <c r="AK861">
        <v>3</v>
      </c>
    </row>
    <row r="862" spans="1:37" x14ac:dyDescent="0.25">
      <c r="A862" s="8">
        <v>861</v>
      </c>
      <c r="B862" t="s">
        <v>44</v>
      </c>
      <c r="C862" t="s">
        <v>45</v>
      </c>
      <c r="D862" s="8">
        <v>22</v>
      </c>
      <c r="E862" t="str">
        <f t="shared" si="69"/>
        <v>18-25</v>
      </c>
      <c r="F862" t="s">
        <v>38</v>
      </c>
      <c r="G862" t="s">
        <v>47</v>
      </c>
      <c r="H862" s="8" t="s">
        <v>48</v>
      </c>
      <c r="I862" s="10">
        <v>3</v>
      </c>
      <c r="J862" t="str">
        <f t="shared" si="65"/>
        <v>Near</v>
      </c>
      <c r="K862">
        <v>4</v>
      </c>
      <c r="L862" t="s">
        <v>41</v>
      </c>
      <c r="M862">
        <v>3</v>
      </c>
      <c r="N862">
        <v>2</v>
      </c>
      <c r="O862">
        <v>1</v>
      </c>
      <c r="P862" t="s">
        <v>49</v>
      </c>
      <c r="Q862">
        <v>4</v>
      </c>
      <c r="R862" s="11">
        <v>1256</v>
      </c>
      <c r="S862" s="14">
        <v>48</v>
      </c>
      <c r="T862" s="13">
        <v>2853</v>
      </c>
      <c r="U862" s="13">
        <f t="shared" si="66"/>
        <v>34236</v>
      </c>
      <c r="V862" s="14">
        <v>4223</v>
      </c>
      <c r="W862">
        <v>0</v>
      </c>
      <c r="X862" s="8" t="s">
        <v>38</v>
      </c>
      <c r="Y862" s="15">
        <v>0.11</v>
      </c>
      <c r="Z862">
        <v>3</v>
      </c>
      <c r="AA862">
        <v>2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 t="str">
        <f t="shared" si="67"/>
        <v>0-3</v>
      </c>
      <c r="AI862">
        <v>0</v>
      </c>
      <c r="AJ862" t="str">
        <f t="shared" si="68"/>
        <v>0-2</v>
      </c>
      <c r="AK862">
        <v>0</v>
      </c>
    </row>
    <row r="863" spans="1:37" x14ac:dyDescent="0.25">
      <c r="A863" s="8">
        <v>862</v>
      </c>
      <c r="B863" t="s">
        <v>52</v>
      </c>
      <c r="C863" t="s">
        <v>45</v>
      </c>
      <c r="D863" s="8">
        <v>46</v>
      </c>
      <c r="E863" t="str">
        <f t="shared" si="69"/>
        <v>46-55</v>
      </c>
      <c r="F863" t="s">
        <v>46</v>
      </c>
      <c r="G863" t="s">
        <v>39</v>
      </c>
      <c r="H863" s="8" t="s">
        <v>40</v>
      </c>
      <c r="I863" s="10">
        <v>2</v>
      </c>
      <c r="J863" t="str">
        <f t="shared" si="65"/>
        <v>Near</v>
      </c>
      <c r="K863">
        <v>3</v>
      </c>
      <c r="L863" t="s">
        <v>62</v>
      </c>
      <c r="M863">
        <v>3</v>
      </c>
      <c r="N863">
        <v>3</v>
      </c>
      <c r="O863">
        <v>4</v>
      </c>
      <c r="P863" t="s">
        <v>59</v>
      </c>
      <c r="Q863">
        <v>1</v>
      </c>
      <c r="R863" s="11">
        <v>1402</v>
      </c>
      <c r="S863" s="14">
        <v>69</v>
      </c>
      <c r="T863" s="13">
        <v>17048</v>
      </c>
      <c r="U863" s="13">
        <f t="shared" si="66"/>
        <v>204576</v>
      </c>
      <c r="V863" s="14">
        <v>24097</v>
      </c>
      <c r="W863">
        <v>8</v>
      </c>
      <c r="X863" s="8" t="s">
        <v>46</v>
      </c>
      <c r="Y863" s="15">
        <v>0.23</v>
      </c>
      <c r="Z863">
        <v>4</v>
      </c>
      <c r="AA863">
        <v>1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 t="str">
        <f t="shared" si="67"/>
        <v>12-15</v>
      </c>
      <c r="AI863">
        <v>15</v>
      </c>
      <c r="AJ863" t="str">
        <f t="shared" si="68"/>
        <v>12-15</v>
      </c>
      <c r="AK863">
        <v>9</v>
      </c>
    </row>
    <row r="864" spans="1:37" x14ac:dyDescent="0.25">
      <c r="A864" s="8">
        <v>863</v>
      </c>
      <c r="B864" t="s">
        <v>44</v>
      </c>
      <c r="C864" t="s">
        <v>37</v>
      </c>
      <c r="D864" s="8">
        <v>44</v>
      </c>
      <c r="E864" t="str">
        <f t="shared" si="69"/>
        <v>36-45</v>
      </c>
      <c r="F864" t="s">
        <v>46</v>
      </c>
      <c r="G864" t="s">
        <v>58</v>
      </c>
      <c r="H864" s="8" t="s">
        <v>48</v>
      </c>
      <c r="I864" s="10">
        <v>17</v>
      </c>
      <c r="J864" t="str">
        <f t="shared" si="65"/>
        <v>Far</v>
      </c>
      <c r="K864">
        <v>3</v>
      </c>
      <c r="L864" t="s">
        <v>41</v>
      </c>
      <c r="M864">
        <v>4</v>
      </c>
      <c r="N864">
        <v>1</v>
      </c>
      <c r="O864">
        <v>1</v>
      </c>
      <c r="P864" t="s">
        <v>49</v>
      </c>
      <c r="Q864">
        <v>3</v>
      </c>
      <c r="R864" s="11">
        <v>111</v>
      </c>
      <c r="S864" s="14">
        <v>74</v>
      </c>
      <c r="T864" s="13">
        <v>2290</v>
      </c>
      <c r="U864" s="13">
        <f t="shared" si="66"/>
        <v>27480</v>
      </c>
      <c r="V864" s="14">
        <v>4279</v>
      </c>
      <c r="W864">
        <v>2</v>
      </c>
      <c r="X864" s="8" t="s">
        <v>46</v>
      </c>
      <c r="Y864" s="15">
        <v>0.13</v>
      </c>
      <c r="Z864">
        <v>3</v>
      </c>
      <c r="AA864">
        <v>4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 t="str">
        <f t="shared" si="67"/>
        <v>0-3</v>
      </c>
      <c r="AI864">
        <v>0</v>
      </c>
      <c r="AJ864" t="str">
        <f t="shared" si="68"/>
        <v>0-2</v>
      </c>
      <c r="AK864">
        <v>0</v>
      </c>
    </row>
    <row r="865" spans="1:37" x14ac:dyDescent="0.25">
      <c r="A865" s="8">
        <v>864</v>
      </c>
      <c r="B865" t="s">
        <v>44</v>
      </c>
      <c r="C865" t="s">
        <v>45</v>
      </c>
      <c r="D865" s="8">
        <v>33</v>
      </c>
      <c r="E865" t="str">
        <f t="shared" si="69"/>
        <v>26-35</v>
      </c>
      <c r="F865" t="s">
        <v>46</v>
      </c>
      <c r="G865" t="s">
        <v>39</v>
      </c>
      <c r="H865" s="8" t="s">
        <v>64</v>
      </c>
      <c r="I865" s="10">
        <v>2</v>
      </c>
      <c r="J865" t="str">
        <f t="shared" si="65"/>
        <v>Near</v>
      </c>
      <c r="K865">
        <v>3</v>
      </c>
      <c r="L865" t="s">
        <v>64</v>
      </c>
      <c r="M865">
        <v>2</v>
      </c>
      <c r="N865">
        <v>3</v>
      </c>
      <c r="O865">
        <v>1</v>
      </c>
      <c r="P865" t="s">
        <v>64</v>
      </c>
      <c r="Q865">
        <v>3</v>
      </c>
      <c r="R865" s="11">
        <v>147</v>
      </c>
      <c r="S865" s="14">
        <v>99</v>
      </c>
      <c r="T865" s="13">
        <v>3600</v>
      </c>
      <c r="U865" s="13">
        <f t="shared" si="66"/>
        <v>43200</v>
      </c>
      <c r="V865" s="14">
        <v>8429</v>
      </c>
      <c r="W865">
        <v>1</v>
      </c>
      <c r="X865" s="8" t="s">
        <v>46</v>
      </c>
      <c r="Y865" s="15">
        <v>0.13</v>
      </c>
      <c r="Z865">
        <v>3</v>
      </c>
      <c r="AA865">
        <v>4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 t="str">
        <f t="shared" si="67"/>
        <v>4-7</v>
      </c>
      <c r="AI865">
        <v>1</v>
      </c>
      <c r="AJ865" t="str">
        <f t="shared" si="68"/>
        <v>0-2</v>
      </c>
      <c r="AK865">
        <v>4</v>
      </c>
    </row>
    <row r="866" spans="1:37" x14ac:dyDescent="0.25">
      <c r="A866" s="8">
        <v>865</v>
      </c>
      <c r="B866" t="s">
        <v>44</v>
      </c>
      <c r="C866" t="s">
        <v>54</v>
      </c>
      <c r="D866" s="8">
        <v>41</v>
      </c>
      <c r="E866" t="str">
        <f t="shared" si="69"/>
        <v>36-45</v>
      </c>
      <c r="F866" t="s">
        <v>38</v>
      </c>
      <c r="G866" t="s">
        <v>58</v>
      </c>
      <c r="H866" s="8" t="s">
        <v>48</v>
      </c>
      <c r="I866" s="10">
        <v>5</v>
      </c>
      <c r="J866" t="str">
        <f t="shared" si="65"/>
        <v>Near</v>
      </c>
      <c r="K866">
        <v>2</v>
      </c>
      <c r="L866" t="s">
        <v>41</v>
      </c>
      <c r="M866">
        <v>1</v>
      </c>
      <c r="N866">
        <v>2</v>
      </c>
      <c r="O866">
        <v>1</v>
      </c>
      <c r="P866" t="s">
        <v>49</v>
      </c>
      <c r="Q866">
        <v>1</v>
      </c>
      <c r="R866" s="11">
        <v>906</v>
      </c>
      <c r="S866" s="14">
        <v>95</v>
      </c>
      <c r="T866" s="13">
        <v>2107</v>
      </c>
      <c r="U866" s="13">
        <f t="shared" si="66"/>
        <v>25284</v>
      </c>
      <c r="V866" s="14">
        <v>20293</v>
      </c>
      <c r="W866">
        <v>6</v>
      </c>
      <c r="X866" s="8" t="s">
        <v>46</v>
      </c>
      <c r="Y866" s="15">
        <v>0.17</v>
      </c>
      <c r="Z866">
        <v>3</v>
      </c>
      <c r="AA866">
        <v>1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 t="str">
        <f t="shared" si="67"/>
        <v>0-3</v>
      </c>
      <c r="AI866">
        <v>0</v>
      </c>
      <c r="AJ866" t="str">
        <f t="shared" si="68"/>
        <v>0-2</v>
      </c>
      <c r="AK866">
        <v>0</v>
      </c>
    </row>
    <row r="867" spans="1:37" x14ac:dyDescent="0.25">
      <c r="A867" s="8">
        <v>866</v>
      </c>
      <c r="B867" t="s">
        <v>44</v>
      </c>
      <c r="C867" t="s">
        <v>54</v>
      </c>
      <c r="D867" s="8">
        <v>30</v>
      </c>
      <c r="E867" t="str">
        <f t="shared" si="69"/>
        <v>26-35</v>
      </c>
      <c r="F867" t="s">
        <v>46</v>
      </c>
      <c r="G867" t="s">
        <v>39</v>
      </c>
      <c r="H867" s="8" t="s">
        <v>40</v>
      </c>
      <c r="I867" s="10">
        <v>29</v>
      </c>
      <c r="J867" t="str">
        <f t="shared" si="65"/>
        <v>Far</v>
      </c>
      <c r="K867">
        <v>4</v>
      </c>
      <c r="L867" t="s">
        <v>41</v>
      </c>
      <c r="M867">
        <v>3</v>
      </c>
      <c r="N867">
        <v>3</v>
      </c>
      <c r="O867">
        <v>2</v>
      </c>
      <c r="P867" t="s">
        <v>42</v>
      </c>
      <c r="Q867">
        <v>1</v>
      </c>
      <c r="R867" s="11">
        <v>1329</v>
      </c>
      <c r="S867" s="14">
        <v>61</v>
      </c>
      <c r="T867" s="13">
        <v>4115</v>
      </c>
      <c r="U867" s="13">
        <f t="shared" si="66"/>
        <v>49380</v>
      </c>
      <c r="V867" s="14">
        <v>13192</v>
      </c>
      <c r="W867">
        <v>8</v>
      </c>
      <c r="X867" s="8" t="s">
        <v>46</v>
      </c>
      <c r="Y867" s="15">
        <v>0.19</v>
      </c>
      <c r="Z867">
        <v>3</v>
      </c>
      <c r="AA867">
        <v>3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 t="str">
        <f t="shared" si="67"/>
        <v>0-3</v>
      </c>
      <c r="AI867">
        <v>0</v>
      </c>
      <c r="AJ867" t="str">
        <f t="shared" si="68"/>
        <v>0-2</v>
      </c>
      <c r="AK867">
        <v>3</v>
      </c>
    </row>
    <row r="868" spans="1:37" x14ac:dyDescent="0.25">
      <c r="A868" s="8">
        <v>867</v>
      </c>
      <c r="B868" t="s">
        <v>44</v>
      </c>
      <c r="C868" t="s">
        <v>45</v>
      </c>
      <c r="D868" s="8">
        <v>40</v>
      </c>
      <c r="E868" t="str">
        <f t="shared" si="69"/>
        <v>36-45</v>
      </c>
      <c r="F868" t="s">
        <v>46</v>
      </c>
      <c r="G868" t="s">
        <v>47</v>
      </c>
      <c r="H868" s="8" t="s">
        <v>40</v>
      </c>
      <c r="I868" s="10">
        <v>2</v>
      </c>
      <c r="J868" t="str">
        <f t="shared" si="65"/>
        <v>Near</v>
      </c>
      <c r="K868">
        <v>4</v>
      </c>
      <c r="L868" t="s">
        <v>53</v>
      </c>
      <c r="M868">
        <v>2</v>
      </c>
      <c r="N868">
        <v>3</v>
      </c>
      <c r="O868">
        <v>2</v>
      </c>
      <c r="P868" t="s">
        <v>42</v>
      </c>
      <c r="Q868">
        <v>2</v>
      </c>
      <c r="R868" s="11">
        <v>1184</v>
      </c>
      <c r="S868" s="14">
        <v>62</v>
      </c>
      <c r="T868" s="13">
        <v>4327</v>
      </c>
      <c r="U868" s="13">
        <f t="shared" si="66"/>
        <v>51924</v>
      </c>
      <c r="V868" s="14">
        <v>25440</v>
      </c>
      <c r="W868">
        <v>5</v>
      </c>
      <c r="X868" s="8" t="s">
        <v>46</v>
      </c>
      <c r="Y868" s="15">
        <v>0.12</v>
      </c>
      <c r="Z868">
        <v>3</v>
      </c>
      <c r="AA868">
        <v>4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 t="str">
        <f t="shared" si="67"/>
        <v>0-3</v>
      </c>
      <c r="AI868">
        <v>0</v>
      </c>
      <c r="AJ868" t="str">
        <f t="shared" si="68"/>
        <v>0-2</v>
      </c>
      <c r="AK868">
        <v>0</v>
      </c>
    </row>
    <row r="869" spans="1:37" x14ac:dyDescent="0.25">
      <c r="A869" s="8">
        <v>868</v>
      </c>
      <c r="B869" t="s">
        <v>52</v>
      </c>
      <c r="C869" t="s">
        <v>45</v>
      </c>
      <c r="D869" s="8">
        <v>50</v>
      </c>
      <c r="E869" t="str">
        <f t="shared" si="69"/>
        <v>46-55</v>
      </c>
      <c r="F869" t="s">
        <v>46</v>
      </c>
      <c r="G869" t="s">
        <v>47</v>
      </c>
      <c r="H869" s="8" t="s">
        <v>48</v>
      </c>
      <c r="I869" s="10">
        <v>2</v>
      </c>
      <c r="J869" t="str">
        <f t="shared" si="65"/>
        <v>Near</v>
      </c>
      <c r="K869">
        <v>3</v>
      </c>
      <c r="L869" t="s">
        <v>53</v>
      </c>
      <c r="M869">
        <v>4</v>
      </c>
      <c r="N869">
        <v>3</v>
      </c>
      <c r="O869">
        <v>4</v>
      </c>
      <c r="P869" t="s">
        <v>59</v>
      </c>
      <c r="Q869">
        <v>1</v>
      </c>
      <c r="R869" s="11">
        <v>1421</v>
      </c>
      <c r="S869" s="14">
        <v>30</v>
      </c>
      <c r="T869" s="13">
        <v>17856</v>
      </c>
      <c r="U869" s="13">
        <f t="shared" si="66"/>
        <v>214272</v>
      </c>
      <c r="V869" s="14">
        <v>9490</v>
      </c>
      <c r="W869">
        <v>2</v>
      </c>
      <c r="X869" s="8" t="s">
        <v>46</v>
      </c>
      <c r="Y869" s="15">
        <v>0.22</v>
      </c>
      <c r="Z869">
        <v>4</v>
      </c>
      <c r="AA869">
        <v>3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 t="str">
        <f t="shared" si="67"/>
        <v>0-3</v>
      </c>
      <c r="AI869">
        <v>2</v>
      </c>
      <c r="AJ869" t="str">
        <f t="shared" si="68"/>
        <v>0-2</v>
      </c>
      <c r="AK869">
        <v>2</v>
      </c>
    </row>
    <row r="870" spans="1:37" x14ac:dyDescent="0.25">
      <c r="A870" s="8">
        <v>869</v>
      </c>
      <c r="B870" t="s">
        <v>44</v>
      </c>
      <c r="C870" t="s">
        <v>45</v>
      </c>
      <c r="D870" s="8">
        <v>28</v>
      </c>
      <c r="E870" t="str">
        <f t="shared" si="69"/>
        <v>26-35</v>
      </c>
      <c r="F870" t="s">
        <v>46</v>
      </c>
      <c r="G870" t="s">
        <v>39</v>
      </c>
      <c r="H870" s="8" t="s">
        <v>48</v>
      </c>
      <c r="I870" s="10">
        <v>19</v>
      </c>
      <c r="J870" t="str">
        <f t="shared" si="65"/>
        <v>Far</v>
      </c>
      <c r="K870">
        <v>4</v>
      </c>
      <c r="L870" t="s">
        <v>53</v>
      </c>
      <c r="M870">
        <v>4</v>
      </c>
      <c r="N870">
        <v>2</v>
      </c>
      <c r="O870">
        <v>1</v>
      </c>
      <c r="P870" t="s">
        <v>51</v>
      </c>
      <c r="Q870">
        <v>1</v>
      </c>
      <c r="R870" s="11">
        <v>1179</v>
      </c>
      <c r="S870" s="14">
        <v>78</v>
      </c>
      <c r="T870" s="13">
        <v>3196</v>
      </c>
      <c r="U870" s="13">
        <f t="shared" si="66"/>
        <v>38352</v>
      </c>
      <c r="V870" s="14">
        <v>12449</v>
      </c>
      <c r="W870">
        <v>1</v>
      </c>
      <c r="X870" s="8" t="s">
        <v>46</v>
      </c>
      <c r="Y870" s="15">
        <v>0.12</v>
      </c>
      <c r="Z870">
        <v>3</v>
      </c>
      <c r="AA870">
        <v>3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 t="str">
        <f t="shared" si="67"/>
        <v>4-7</v>
      </c>
      <c r="AI870">
        <v>3</v>
      </c>
      <c r="AJ870" t="str">
        <f t="shared" si="68"/>
        <v>3-5</v>
      </c>
      <c r="AK870">
        <v>3</v>
      </c>
    </row>
    <row r="871" spans="1:37" x14ac:dyDescent="0.25">
      <c r="A871" s="8">
        <v>870</v>
      </c>
      <c r="B871" t="s">
        <v>44</v>
      </c>
      <c r="C871" t="s">
        <v>45</v>
      </c>
      <c r="D871" s="8">
        <v>46</v>
      </c>
      <c r="E871" t="str">
        <f t="shared" si="69"/>
        <v>46-55</v>
      </c>
      <c r="F871" t="s">
        <v>46</v>
      </c>
      <c r="G871" t="s">
        <v>39</v>
      </c>
      <c r="H871" s="8" t="s">
        <v>48</v>
      </c>
      <c r="I871" s="10">
        <v>15</v>
      </c>
      <c r="J871" t="str">
        <f t="shared" si="65"/>
        <v>Moderate</v>
      </c>
      <c r="K871">
        <v>2</v>
      </c>
      <c r="L871" t="s">
        <v>41</v>
      </c>
      <c r="M871">
        <v>4</v>
      </c>
      <c r="N871">
        <v>3</v>
      </c>
      <c r="O871">
        <v>5</v>
      </c>
      <c r="P871" t="s">
        <v>61</v>
      </c>
      <c r="Q871">
        <v>2</v>
      </c>
      <c r="R871" s="11">
        <v>1450</v>
      </c>
      <c r="S871" s="14">
        <v>52</v>
      </c>
      <c r="T871" s="13">
        <v>19081</v>
      </c>
      <c r="U871" s="13">
        <f t="shared" si="66"/>
        <v>228972</v>
      </c>
      <c r="V871" s="14">
        <v>10849</v>
      </c>
      <c r="W871">
        <v>5</v>
      </c>
      <c r="X871" s="8" t="s">
        <v>46</v>
      </c>
      <c r="Y871" s="15">
        <v>0.11</v>
      </c>
      <c r="Z871">
        <v>3</v>
      </c>
      <c r="AA871">
        <v>1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 t="str">
        <f t="shared" si="67"/>
        <v>0-3</v>
      </c>
      <c r="AI871">
        <v>0</v>
      </c>
      <c r="AJ871" t="str">
        <f t="shared" si="68"/>
        <v>0-2</v>
      </c>
      <c r="AK871">
        <v>3</v>
      </c>
    </row>
    <row r="872" spans="1:37" x14ac:dyDescent="0.25">
      <c r="A872" s="8">
        <v>871</v>
      </c>
      <c r="B872" t="s">
        <v>44</v>
      </c>
      <c r="C872" t="s">
        <v>45</v>
      </c>
      <c r="D872" s="8">
        <v>35</v>
      </c>
      <c r="E872" t="str">
        <f t="shared" si="69"/>
        <v>26-35</v>
      </c>
      <c r="F872" t="s">
        <v>46</v>
      </c>
      <c r="G872" t="s">
        <v>39</v>
      </c>
      <c r="H872" s="8" t="s">
        <v>40</v>
      </c>
      <c r="I872" s="10">
        <v>17</v>
      </c>
      <c r="J872" t="str">
        <f t="shared" si="65"/>
        <v>Far</v>
      </c>
      <c r="K872">
        <v>4</v>
      </c>
      <c r="L872" t="s">
        <v>41</v>
      </c>
      <c r="M872">
        <v>3</v>
      </c>
      <c r="N872">
        <v>3</v>
      </c>
      <c r="O872">
        <v>2</v>
      </c>
      <c r="P872" t="s">
        <v>42</v>
      </c>
      <c r="Q872">
        <v>1</v>
      </c>
      <c r="R872" s="11">
        <v>1361</v>
      </c>
      <c r="S872" s="14">
        <v>94</v>
      </c>
      <c r="T872" s="13">
        <v>8966</v>
      </c>
      <c r="U872" s="13">
        <f t="shared" si="66"/>
        <v>107592</v>
      </c>
      <c r="V872" s="14">
        <v>21026</v>
      </c>
      <c r="W872">
        <v>3</v>
      </c>
      <c r="X872" s="8" t="s">
        <v>38</v>
      </c>
      <c r="Y872" s="15">
        <v>0.15</v>
      </c>
      <c r="Z872">
        <v>3</v>
      </c>
      <c r="AA872">
        <v>4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 t="str">
        <f t="shared" si="67"/>
        <v>4-7</v>
      </c>
      <c r="AI872">
        <v>1</v>
      </c>
      <c r="AJ872" t="str">
        <f t="shared" si="68"/>
        <v>0-2</v>
      </c>
      <c r="AK872">
        <v>7</v>
      </c>
    </row>
    <row r="873" spans="1:37" x14ac:dyDescent="0.25">
      <c r="A873" s="8">
        <v>872</v>
      </c>
      <c r="B873" t="s">
        <v>52</v>
      </c>
      <c r="C873" t="s">
        <v>45</v>
      </c>
      <c r="D873" s="8">
        <v>24</v>
      </c>
      <c r="E873" t="str">
        <f t="shared" si="69"/>
        <v>18-25</v>
      </c>
      <c r="F873" t="s">
        <v>38</v>
      </c>
      <c r="G873" t="s">
        <v>39</v>
      </c>
      <c r="H873" s="8" t="s">
        <v>48</v>
      </c>
      <c r="I873" s="10">
        <v>17</v>
      </c>
      <c r="J873" t="str">
        <f t="shared" si="65"/>
        <v>Far</v>
      </c>
      <c r="K873">
        <v>2</v>
      </c>
      <c r="L873" t="s">
        <v>41</v>
      </c>
      <c r="M873">
        <v>4</v>
      </c>
      <c r="N873">
        <v>3</v>
      </c>
      <c r="O873">
        <v>1</v>
      </c>
      <c r="P873" t="s">
        <v>51</v>
      </c>
      <c r="Q873">
        <v>2</v>
      </c>
      <c r="R873" s="11">
        <v>984</v>
      </c>
      <c r="S873" s="14">
        <v>97</v>
      </c>
      <c r="T873" s="13">
        <v>2210</v>
      </c>
      <c r="U873" s="13">
        <f t="shared" si="66"/>
        <v>26520</v>
      </c>
      <c r="V873" s="14">
        <v>3372</v>
      </c>
      <c r="W873">
        <v>1</v>
      </c>
      <c r="X873" s="8" t="s">
        <v>46</v>
      </c>
      <c r="Y873" s="15">
        <v>0.13</v>
      </c>
      <c r="Z873">
        <v>3</v>
      </c>
      <c r="AA873">
        <v>1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 t="str">
        <f t="shared" si="67"/>
        <v>0-3</v>
      </c>
      <c r="AI873">
        <v>0</v>
      </c>
      <c r="AJ873" t="str">
        <f t="shared" si="68"/>
        <v>0-2</v>
      </c>
      <c r="AK873">
        <v>0</v>
      </c>
    </row>
    <row r="874" spans="1:37" x14ac:dyDescent="0.25">
      <c r="A874" s="8">
        <v>873</v>
      </c>
      <c r="B874" t="s">
        <v>52</v>
      </c>
      <c r="C874" t="s">
        <v>45</v>
      </c>
      <c r="D874" s="8">
        <v>33</v>
      </c>
      <c r="E874" t="str">
        <f t="shared" si="69"/>
        <v>26-35</v>
      </c>
      <c r="F874" t="s">
        <v>46</v>
      </c>
      <c r="G874" t="s">
        <v>47</v>
      </c>
      <c r="H874" s="8" t="s">
        <v>40</v>
      </c>
      <c r="I874" s="10">
        <v>25</v>
      </c>
      <c r="J874" t="str">
        <f t="shared" si="65"/>
        <v>Far</v>
      </c>
      <c r="K874">
        <v>3</v>
      </c>
      <c r="L874" t="s">
        <v>53</v>
      </c>
      <c r="M874">
        <v>2</v>
      </c>
      <c r="N874">
        <v>3</v>
      </c>
      <c r="O874">
        <v>2</v>
      </c>
      <c r="P874" t="s">
        <v>42</v>
      </c>
      <c r="Q874">
        <v>3</v>
      </c>
      <c r="R874" s="11">
        <v>1146</v>
      </c>
      <c r="S874" s="14">
        <v>82</v>
      </c>
      <c r="T874" s="13">
        <v>4539</v>
      </c>
      <c r="U874" s="13">
        <f t="shared" si="66"/>
        <v>54468</v>
      </c>
      <c r="V874" s="14">
        <v>4905</v>
      </c>
      <c r="W874">
        <v>1</v>
      </c>
      <c r="X874" s="8" t="s">
        <v>46</v>
      </c>
      <c r="Y874" s="15">
        <v>0.12</v>
      </c>
      <c r="Z874">
        <v>3</v>
      </c>
      <c r="AA874">
        <v>1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 t="str">
        <f t="shared" si="67"/>
        <v>4-7</v>
      </c>
      <c r="AI874">
        <v>0</v>
      </c>
      <c r="AJ874" t="str">
        <f t="shared" si="68"/>
        <v>0-2</v>
      </c>
      <c r="AK874">
        <v>1</v>
      </c>
    </row>
    <row r="875" spans="1:37" x14ac:dyDescent="0.25">
      <c r="A875" s="8">
        <v>874</v>
      </c>
      <c r="B875" t="s">
        <v>44</v>
      </c>
      <c r="C875" t="s">
        <v>54</v>
      </c>
      <c r="D875" s="8">
        <v>36</v>
      </c>
      <c r="E875" t="str">
        <f t="shared" si="69"/>
        <v>36-45</v>
      </c>
      <c r="F875" t="s">
        <v>46</v>
      </c>
      <c r="G875" t="s">
        <v>39</v>
      </c>
      <c r="H875" s="8" t="s">
        <v>48</v>
      </c>
      <c r="I875" s="10">
        <v>6</v>
      </c>
      <c r="J875" t="str">
        <f t="shared" si="65"/>
        <v>Moderate</v>
      </c>
      <c r="K875">
        <v>4</v>
      </c>
      <c r="L875" t="s">
        <v>41</v>
      </c>
      <c r="M875">
        <v>3</v>
      </c>
      <c r="N875">
        <v>1</v>
      </c>
      <c r="O875">
        <v>1</v>
      </c>
      <c r="P875" t="s">
        <v>51</v>
      </c>
      <c r="Q875">
        <v>3</v>
      </c>
      <c r="R875" s="11">
        <v>917</v>
      </c>
      <c r="S875" s="14">
        <v>60</v>
      </c>
      <c r="T875" s="13">
        <v>2741</v>
      </c>
      <c r="U875" s="13">
        <f t="shared" si="66"/>
        <v>32892</v>
      </c>
      <c r="V875" s="14">
        <v>6865</v>
      </c>
      <c r="W875">
        <v>1</v>
      </c>
      <c r="X875" s="8" t="s">
        <v>46</v>
      </c>
      <c r="Y875" s="15">
        <v>0.14000000000000001</v>
      </c>
      <c r="Z875">
        <v>3</v>
      </c>
      <c r="AA875">
        <v>3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 t="str">
        <f t="shared" si="67"/>
        <v>4-7</v>
      </c>
      <c r="AI875">
        <v>1</v>
      </c>
      <c r="AJ875" t="str">
        <f t="shared" si="68"/>
        <v>0-2</v>
      </c>
      <c r="AK875">
        <v>7</v>
      </c>
    </row>
    <row r="876" spans="1:37" x14ac:dyDescent="0.25">
      <c r="A876" s="8">
        <v>875</v>
      </c>
      <c r="B876" t="s">
        <v>44</v>
      </c>
      <c r="C876" t="s">
        <v>54</v>
      </c>
      <c r="D876" s="8">
        <v>30</v>
      </c>
      <c r="E876" t="str">
        <f t="shared" si="69"/>
        <v>26-35</v>
      </c>
      <c r="F876" t="s">
        <v>46</v>
      </c>
      <c r="G876" t="s">
        <v>39</v>
      </c>
      <c r="H876" s="8" t="s">
        <v>48</v>
      </c>
      <c r="I876" s="10">
        <v>7</v>
      </c>
      <c r="J876" t="str">
        <f t="shared" si="65"/>
        <v>Moderate</v>
      </c>
      <c r="K876">
        <v>4</v>
      </c>
      <c r="L876" t="s">
        <v>41</v>
      </c>
      <c r="M876">
        <v>3</v>
      </c>
      <c r="N876">
        <v>3</v>
      </c>
      <c r="O876">
        <v>2</v>
      </c>
      <c r="P876" t="s">
        <v>51</v>
      </c>
      <c r="Q876">
        <v>3</v>
      </c>
      <c r="R876" s="11">
        <v>853</v>
      </c>
      <c r="S876" s="14">
        <v>49</v>
      </c>
      <c r="T876" s="13">
        <v>3491</v>
      </c>
      <c r="U876" s="13">
        <f t="shared" si="66"/>
        <v>41892</v>
      </c>
      <c r="V876" s="14">
        <v>11309</v>
      </c>
      <c r="W876">
        <v>1</v>
      </c>
      <c r="X876" s="8" t="s">
        <v>46</v>
      </c>
      <c r="Y876" s="15">
        <v>0.13</v>
      </c>
      <c r="Z876">
        <v>3</v>
      </c>
      <c r="AA876">
        <v>1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 t="str">
        <f t="shared" si="67"/>
        <v>4-7</v>
      </c>
      <c r="AI876">
        <v>8</v>
      </c>
      <c r="AJ876" t="str">
        <f t="shared" si="68"/>
        <v>6-8</v>
      </c>
      <c r="AK876">
        <v>9</v>
      </c>
    </row>
    <row r="877" spans="1:37" x14ac:dyDescent="0.25">
      <c r="A877" s="8">
        <v>876</v>
      </c>
      <c r="B877" t="s">
        <v>44</v>
      </c>
      <c r="C877" t="s">
        <v>37</v>
      </c>
      <c r="D877" s="8">
        <v>44</v>
      </c>
      <c r="E877" t="str">
        <f t="shared" si="69"/>
        <v>36-45</v>
      </c>
      <c r="F877" t="s">
        <v>46</v>
      </c>
      <c r="G877" t="s">
        <v>39</v>
      </c>
      <c r="H877" s="8" t="s">
        <v>48</v>
      </c>
      <c r="I877" s="10">
        <v>29</v>
      </c>
      <c r="J877" t="str">
        <f t="shared" si="65"/>
        <v>Far</v>
      </c>
      <c r="K877">
        <v>4</v>
      </c>
      <c r="L877" t="s">
        <v>50</v>
      </c>
      <c r="M877">
        <v>4</v>
      </c>
      <c r="N877">
        <v>3</v>
      </c>
      <c r="O877">
        <v>2</v>
      </c>
      <c r="P877" t="s">
        <v>49</v>
      </c>
      <c r="Q877">
        <v>4</v>
      </c>
      <c r="R877" s="11">
        <v>200</v>
      </c>
      <c r="S877" s="14">
        <v>32</v>
      </c>
      <c r="T877" s="13">
        <v>4541</v>
      </c>
      <c r="U877" s="13">
        <f t="shared" si="66"/>
        <v>54492</v>
      </c>
      <c r="V877" s="14">
        <v>7744</v>
      </c>
      <c r="W877">
        <v>1</v>
      </c>
      <c r="X877" s="8" t="s">
        <v>46</v>
      </c>
      <c r="Y877" s="15">
        <v>0.25</v>
      </c>
      <c r="Z877">
        <v>4</v>
      </c>
      <c r="AA877">
        <v>2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 t="str">
        <f t="shared" si="67"/>
        <v>8-11</v>
      </c>
      <c r="AI877">
        <v>13</v>
      </c>
      <c r="AJ877" t="str">
        <f t="shared" si="68"/>
        <v>12-15</v>
      </c>
      <c r="AK877">
        <v>17</v>
      </c>
    </row>
    <row r="878" spans="1:37" x14ac:dyDescent="0.25">
      <c r="A878" s="8">
        <v>877</v>
      </c>
      <c r="B878" t="s">
        <v>44</v>
      </c>
      <c r="C878" t="s">
        <v>37</v>
      </c>
      <c r="D878" s="8">
        <v>20</v>
      </c>
      <c r="E878" t="str">
        <f t="shared" si="69"/>
        <v>18-25</v>
      </c>
      <c r="F878" t="s">
        <v>46</v>
      </c>
      <c r="G878" t="s">
        <v>39</v>
      </c>
      <c r="H878" s="8" t="s">
        <v>40</v>
      </c>
      <c r="I878" s="10">
        <v>21</v>
      </c>
      <c r="J878" t="str">
        <f t="shared" si="65"/>
        <v>Far</v>
      </c>
      <c r="K878">
        <v>3</v>
      </c>
      <c r="L878" t="s">
        <v>62</v>
      </c>
      <c r="M878">
        <v>3</v>
      </c>
      <c r="N878">
        <v>4</v>
      </c>
      <c r="O878">
        <v>1</v>
      </c>
      <c r="P878" t="s">
        <v>60</v>
      </c>
      <c r="Q878">
        <v>4</v>
      </c>
      <c r="R878" s="11">
        <v>654</v>
      </c>
      <c r="S878" s="14">
        <v>43</v>
      </c>
      <c r="T878" s="13">
        <v>2678</v>
      </c>
      <c r="U878" s="13">
        <f t="shared" si="66"/>
        <v>32136</v>
      </c>
      <c r="V878" s="14">
        <v>5050</v>
      </c>
      <c r="W878">
        <v>1</v>
      </c>
      <c r="X878" s="8" t="s">
        <v>46</v>
      </c>
      <c r="Y878" s="15">
        <v>0.17</v>
      </c>
      <c r="Z878">
        <v>3</v>
      </c>
      <c r="AA878">
        <v>4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 t="str">
        <f t="shared" si="67"/>
        <v>0-3</v>
      </c>
      <c r="AI878">
        <v>2</v>
      </c>
      <c r="AJ878" t="str">
        <f t="shared" si="68"/>
        <v>0-2</v>
      </c>
      <c r="AK878">
        <v>2</v>
      </c>
    </row>
    <row r="879" spans="1:37" x14ac:dyDescent="0.25">
      <c r="A879" s="8">
        <v>878</v>
      </c>
      <c r="B879" t="s">
        <v>44</v>
      </c>
      <c r="C879" t="s">
        <v>54</v>
      </c>
      <c r="D879" s="8">
        <v>46</v>
      </c>
      <c r="E879" t="str">
        <f t="shared" si="69"/>
        <v>46-55</v>
      </c>
      <c r="F879" t="s">
        <v>46</v>
      </c>
      <c r="G879" t="s">
        <v>39</v>
      </c>
      <c r="H879" s="8" t="s">
        <v>48</v>
      </c>
      <c r="I879" s="10">
        <v>2</v>
      </c>
      <c r="J879" t="str">
        <f t="shared" si="65"/>
        <v>Near</v>
      </c>
      <c r="K879">
        <v>4</v>
      </c>
      <c r="L879" t="s">
        <v>63</v>
      </c>
      <c r="M879">
        <v>4</v>
      </c>
      <c r="N879">
        <v>3</v>
      </c>
      <c r="O879">
        <v>2</v>
      </c>
      <c r="P879" t="s">
        <v>55</v>
      </c>
      <c r="Q879">
        <v>4</v>
      </c>
      <c r="R879" s="11">
        <v>150</v>
      </c>
      <c r="S879" s="14">
        <v>60</v>
      </c>
      <c r="T879" s="13">
        <v>7379</v>
      </c>
      <c r="U879" s="13">
        <f t="shared" si="66"/>
        <v>88548</v>
      </c>
      <c r="V879" s="14">
        <v>17433</v>
      </c>
      <c r="W879">
        <v>2</v>
      </c>
      <c r="X879" s="8" t="s">
        <v>46</v>
      </c>
      <c r="Y879" s="15">
        <v>0.11</v>
      </c>
      <c r="Z879">
        <v>3</v>
      </c>
      <c r="AA879">
        <v>3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 t="str">
        <f t="shared" si="67"/>
        <v>0-3</v>
      </c>
      <c r="AI879">
        <v>1</v>
      </c>
      <c r="AJ879" t="str">
        <f t="shared" si="68"/>
        <v>0-2</v>
      </c>
      <c r="AK879">
        <v>4</v>
      </c>
    </row>
    <row r="880" spans="1:37" x14ac:dyDescent="0.25">
      <c r="A880" s="8">
        <v>879</v>
      </c>
      <c r="B880" t="s">
        <v>44</v>
      </c>
      <c r="C880" t="s">
        <v>45</v>
      </c>
      <c r="D880" s="8">
        <v>42</v>
      </c>
      <c r="E880" t="str">
        <f t="shared" si="69"/>
        <v>36-45</v>
      </c>
      <c r="F880" t="s">
        <v>46</v>
      </c>
      <c r="G880" t="s">
        <v>58</v>
      </c>
      <c r="H880" s="8" t="s">
        <v>64</v>
      </c>
      <c r="I880" s="10">
        <v>2</v>
      </c>
      <c r="J880" t="str">
        <f t="shared" si="65"/>
        <v>Near</v>
      </c>
      <c r="K880">
        <v>5</v>
      </c>
      <c r="L880" t="s">
        <v>53</v>
      </c>
      <c r="M880">
        <v>4</v>
      </c>
      <c r="N880">
        <v>4</v>
      </c>
      <c r="O880">
        <v>2</v>
      </c>
      <c r="P880" t="s">
        <v>64</v>
      </c>
      <c r="Q880">
        <v>1</v>
      </c>
      <c r="R880" s="11">
        <v>179</v>
      </c>
      <c r="S880" s="14">
        <v>79</v>
      </c>
      <c r="T880" s="13">
        <v>6272</v>
      </c>
      <c r="U880" s="13">
        <f t="shared" si="66"/>
        <v>75264</v>
      </c>
      <c r="V880" s="14">
        <v>12858</v>
      </c>
      <c r="W880">
        <v>7</v>
      </c>
      <c r="X880" s="8" t="s">
        <v>46</v>
      </c>
      <c r="Y880" s="15">
        <v>0.16</v>
      </c>
      <c r="Z880">
        <v>3</v>
      </c>
      <c r="AA880">
        <v>1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 t="str">
        <f t="shared" si="67"/>
        <v>0-3</v>
      </c>
      <c r="AI880">
        <v>0</v>
      </c>
      <c r="AJ880" t="str">
        <f t="shared" si="68"/>
        <v>0-2</v>
      </c>
      <c r="AK880">
        <v>3</v>
      </c>
    </row>
    <row r="881" spans="1:37" x14ac:dyDescent="0.25">
      <c r="A881" s="8">
        <v>880</v>
      </c>
      <c r="B881" t="s">
        <v>44</v>
      </c>
      <c r="C881" t="s">
        <v>54</v>
      </c>
      <c r="D881" s="8">
        <v>60</v>
      </c>
      <c r="E881" t="str">
        <f t="shared" si="69"/>
        <v>55+</v>
      </c>
      <c r="F881" t="s">
        <v>46</v>
      </c>
      <c r="G881" t="s">
        <v>39</v>
      </c>
      <c r="H881" s="8" t="s">
        <v>40</v>
      </c>
      <c r="I881" s="10">
        <v>7</v>
      </c>
      <c r="J881" t="str">
        <f t="shared" si="65"/>
        <v>Moderate</v>
      </c>
      <c r="K881">
        <v>4</v>
      </c>
      <c r="L881" t="s">
        <v>62</v>
      </c>
      <c r="M881">
        <v>2</v>
      </c>
      <c r="N881">
        <v>4</v>
      </c>
      <c r="O881">
        <v>2</v>
      </c>
      <c r="P881" t="s">
        <v>42</v>
      </c>
      <c r="Q881">
        <v>4</v>
      </c>
      <c r="R881" s="11">
        <v>696</v>
      </c>
      <c r="S881" s="14">
        <v>52</v>
      </c>
      <c r="T881" s="13">
        <v>5220</v>
      </c>
      <c r="U881" s="13">
        <f t="shared" si="66"/>
        <v>62640</v>
      </c>
      <c r="V881" s="14">
        <v>10893</v>
      </c>
      <c r="W881">
        <v>0</v>
      </c>
      <c r="X881" s="8" t="s">
        <v>38</v>
      </c>
      <c r="Y881" s="15">
        <v>0.18</v>
      </c>
      <c r="Z881">
        <v>3</v>
      </c>
      <c r="AA881">
        <v>2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 t="str">
        <f t="shared" si="67"/>
        <v>4-7</v>
      </c>
      <c r="AI881">
        <v>1</v>
      </c>
      <c r="AJ881" t="str">
        <f t="shared" si="68"/>
        <v>0-2</v>
      </c>
      <c r="AK881">
        <v>9</v>
      </c>
    </row>
    <row r="882" spans="1:37" x14ac:dyDescent="0.25">
      <c r="A882" s="8">
        <v>881</v>
      </c>
      <c r="B882" t="s">
        <v>52</v>
      </c>
      <c r="C882" t="s">
        <v>45</v>
      </c>
      <c r="D882" s="8">
        <v>32</v>
      </c>
      <c r="E882" t="str">
        <f t="shared" si="69"/>
        <v>26-35</v>
      </c>
      <c r="F882" t="s">
        <v>46</v>
      </c>
      <c r="G882" t="s">
        <v>47</v>
      </c>
      <c r="H882" s="8" t="s">
        <v>48</v>
      </c>
      <c r="I882" s="10">
        <v>13</v>
      </c>
      <c r="J882" t="str">
        <f t="shared" si="65"/>
        <v>Moderate</v>
      </c>
      <c r="K882">
        <v>3</v>
      </c>
      <c r="L882" t="s">
        <v>50</v>
      </c>
      <c r="M882">
        <v>3</v>
      </c>
      <c r="N882">
        <v>2</v>
      </c>
      <c r="O882">
        <v>1</v>
      </c>
      <c r="P882" t="s">
        <v>51</v>
      </c>
      <c r="Q882">
        <v>2</v>
      </c>
      <c r="R882" s="11">
        <v>116</v>
      </c>
      <c r="S882" s="14">
        <v>77</v>
      </c>
      <c r="T882" s="13">
        <v>2743</v>
      </c>
      <c r="U882" s="13">
        <f t="shared" si="66"/>
        <v>32916</v>
      </c>
      <c r="V882" s="14">
        <v>7331</v>
      </c>
      <c r="W882">
        <v>1</v>
      </c>
      <c r="X882" s="8" t="s">
        <v>46</v>
      </c>
      <c r="Y882" s="15">
        <v>0.2</v>
      </c>
      <c r="Z882">
        <v>4</v>
      </c>
      <c r="AA882">
        <v>3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 t="str">
        <f t="shared" si="67"/>
        <v>0-3</v>
      </c>
      <c r="AI882">
        <v>2</v>
      </c>
      <c r="AJ882" t="str">
        <f t="shared" si="68"/>
        <v>0-2</v>
      </c>
      <c r="AK882">
        <v>2</v>
      </c>
    </row>
    <row r="883" spans="1:37" x14ac:dyDescent="0.25">
      <c r="A883" s="8">
        <v>882</v>
      </c>
      <c r="B883" t="s">
        <v>52</v>
      </c>
      <c r="C883" t="s">
        <v>37</v>
      </c>
      <c r="D883" s="8">
        <v>32</v>
      </c>
      <c r="E883" t="str">
        <f t="shared" si="69"/>
        <v>26-35</v>
      </c>
      <c r="F883" t="s">
        <v>46</v>
      </c>
      <c r="G883" t="s">
        <v>47</v>
      </c>
      <c r="H883" s="8" t="s">
        <v>48</v>
      </c>
      <c r="I883" s="10">
        <v>2</v>
      </c>
      <c r="J883" t="str">
        <f t="shared" si="65"/>
        <v>Near</v>
      </c>
      <c r="K883">
        <v>2</v>
      </c>
      <c r="L883" t="s">
        <v>41</v>
      </c>
      <c r="M883">
        <v>4</v>
      </c>
      <c r="N883">
        <v>3</v>
      </c>
      <c r="O883">
        <v>2</v>
      </c>
      <c r="P883" t="s">
        <v>49</v>
      </c>
      <c r="Q883">
        <v>3</v>
      </c>
      <c r="R883" s="11">
        <v>1316</v>
      </c>
      <c r="S883" s="14">
        <v>38</v>
      </c>
      <c r="T883" s="13">
        <v>4998</v>
      </c>
      <c r="U883" s="13">
        <f t="shared" si="66"/>
        <v>59976</v>
      </c>
      <c r="V883" s="14">
        <v>2338</v>
      </c>
      <c r="W883">
        <v>4</v>
      </c>
      <c r="X883" s="8" t="s">
        <v>38</v>
      </c>
      <c r="Y883" s="15">
        <v>0.14000000000000001</v>
      </c>
      <c r="Z883">
        <v>3</v>
      </c>
      <c r="AA883">
        <v>4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 t="str">
        <f t="shared" si="67"/>
        <v>4-7</v>
      </c>
      <c r="AI883">
        <v>0</v>
      </c>
      <c r="AJ883" t="str">
        <f t="shared" si="68"/>
        <v>0-2</v>
      </c>
      <c r="AK883">
        <v>7</v>
      </c>
    </row>
    <row r="884" spans="1:37" x14ac:dyDescent="0.25">
      <c r="A884" s="8">
        <v>883</v>
      </c>
      <c r="B884" t="s">
        <v>52</v>
      </c>
      <c r="C884" t="s">
        <v>54</v>
      </c>
      <c r="D884" s="8">
        <v>36</v>
      </c>
      <c r="E884" t="str">
        <f t="shared" si="69"/>
        <v>36-45</v>
      </c>
      <c r="F884" t="s">
        <v>46</v>
      </c>
      <c r="G884" t="s">
        <v>39</v>
      </c>
      <c r="H884" s="8" t="s">
        <v>48</v>
      </c>
      <c r="I884" s="10">
        <v>1</v>
      </c>
      <c r="J884" t="str">
        <f t="shared" si="65"/>
        <v>Near</v>
      </c>
      <c r="K884">
        <v>3</v>
      </c>
      <c r="L884" t="s">
        <v>63</v>
      </c>
      <c r="M884">
        <v>3</v>
      </c>
      <c r="N884">
        <v>1</v>
      </c>
      <c r="O884">
        <v>3</v>
      </c>
      <c r="P884" t="s">
        <v>55</v>
      </c>
      <c r="Q884">
        <v>1</v>
      </c>
      <c r="R884" s="11">
        <v>363</v>
      </c>
      <c r="S884" s="14">
        <v>77</v>
      </c>
      <c r="T884" s="13">
        <v>10252</v>
      </c>
      <c r="U884" s="13">
        <f t="shared" si="66"/>
        <v>123024</v>
      </c>
      <c r="V884" s="14">
        <v>4235</v>
      </c>
      <c r="W884">
        <v>2</v>
      </c>
      <c r="X884" s="8" t="s">
        <v>38</v>
      </c>
      <c r="Y884" s="15">
        <v>0.21</v>
      </c>
      <c r="Z884">
        <v>4</v>
      </c>
      <c r="AA884">
        <v>3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 t="str">
        <f t="shared" si="67"/>
        <v>4-7</v>
      </c>
      <c r="AI884">
        <v>7</v>
      </c>
      <c r="AJ884" t="str">
        <f t="shared" si="68"/>
        <v>6-8</v>
      </c>
      <c r="AK884">
        <v>7</v>
      </c>
    </row>
    <row r="885" spans="1:37" x14ac:dyDescent="0.25">
      <c r="A885" s="8">
        <v>884</v>
      </c>
      <c r="B885" t="s">
        <v>44</v>
      </c>
      <c r="C885" t="s">
        <v>45</v>
      </c>
      <c r="D885" s="8">
        <v>33</v>
      </c>
      <c r="E885" t="str">
        <f t="shared" si="69"/>
        <v>26-35</v>
      </c>
      <c r="F885" t="s">
        <v>46</v>
      </c>
      <c r="G885" t="s">
        <v>39</v>
      </c>
      <c r="H885" s="8" t="s">
        <v>48</v>
      </c>
      <c r="I885" s="10">
        <v>9</v>
      </c>
      <c r="J885" t="str">
        <f t="shared" si="65"/>
        <v>Moderate</v>
      </c>
      <c r="K885">
        <v>3</v>
      </c>
      <c r="L885" t="s">
        <v>53</v>
      </c>
      <c r="M885">
        <v>1</v>
      </c>
      <c r="N885">
        <v>3</v>
      </c>
      <c r="O885">
        <v>1</v>
      </c>
      <c r="P885" t="s">
        <v>49</v>
      </c>
      <c r="Q885">
        <v>4</v>
      </c>
      <c r="R885" s="11">
        <v>117</v>
      </c>
      <c r="S885" s="14">
        <v>60</v>
      </c>
      <c r="T885" s="13">
        <v>2781</v>
      </c>
      <c r="U885" s="13">
        <f t="shared" si="66"/>
        <v>33372</v>
      </c>
      <c r="V885" s="14">
        <v>6311</v>
      </c>
      <c r="W885">
        <v>0</v>
      </c>
      <c r="X885" s="8" t="s">
        <v>46</v>
      </c>
      <c r="Y885" s="15">
        <v>0.13</v>
      </c>
      <c r="Z885">
        <v>3</v>
      </c>
      <c r="AA885">
        <v>2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 t="str">
        <f t="shared" si="67"/>
        <v>8-11</v>
      </c>
      <c r="AI885">
        <v>4</v>
      </c>
      <c r="AJ885" t="str">
        <f t="shared" si="68"/>
        <v>3-5</v>
      </c>
      <c r="AK885">
        <v>10</v>
      </c>
    </row>
    <row r="886" spans="1:37" x14ac:dyDescent="0.25">
      <c r="A886" s="8">
        <v>885</v>
      </c>
      <c r="B886" t="s">
        <v>52</v>
      </c>
      <c r="C886" t="s">
        <v>54</v>
      </c>
      <c r="D886" s="8">
        <v>40</v>
      </c>
      <c r="E886" t="str">
        <f t="shared" si="69"/>
        <v>36-45</v>
      </c>
      <c r="F886" t="s">
        <v>46</v>
      </c>
      <c r="G886" t="s">
        <v>39</v>
      </c>
      <c r="H886" s="8" t="s">
        <v>40</v>
      </c>
      <c r="I886" s="10">
        <v>10</v>
      </c>
      <c r="J886" t="str">
        <f t="shared" si="65"/>
        <v>Moderate</v>
      </c>
      <c r="K886">
        <v>3</v>
      </c>
      <c r="L886" t="s">
        <v>63</v>
      </c>
      <c r="M886">
        <v>2</v>
      </c>
      <c r="N886">
        <v>2</v>
      </c>
      <c r="O886">
        <v>2</v>
      </c>
      <c r="P886" t="s">
        <v>42</v>
      </c>
      <c r="Q886">
        <v>2</v>
      </c>
      <c r="R886" s="11">
        <v>107</v>
      </c>
      <c r="S886" s="14">
        <v>84</v>
      </c>
      <c r="T886" s="13">
        <v>6852</v>
      </c>
      <c r="U886" s="13">
        <f t="shared" si="66"/>
        <v>82224</v>
      </c>
      <c r="V886" s="14">
        <v>11591</v>
      </c>
      <c r="W886">
        <v>7</v>
      </c>
      <c r="X886" s="8" t="s">
        <v>46</v>
      </c>
      <c r="Y886" s="15">
        <v>0.12</v>
      </c>
      <c r="Z886">
        <v>3</v>
      </c>
      <c r="AA886">
        <v>2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 t="str">
        <f t="shared" si="67"/>
        <v>0-3</v>
      </c>
      <c r="AI886">
        <v>1</v>
      </c>
      <c r="AJ886" t="str">
        <f t="shared" si="68"/>
        <v>0-2</v>
      </c>
      <c r="AK886">
        <v>3</v>
      </c>
    </row>
    <row r="887" spans="1:37" x14ac:dyDescent="0.25">
      <c r="A887" s="8">
        <v>886</v>
      </c>
      <c r="B887" t="s">
        <v>44</v>
      </c>
      <c r="C887" t="s">
        <v>37</v>
      </c>
      <c r="D887" s="8">
        <v>25</v>
      </c>
      <c r="E887" t="str">
        <f t="shared" si="69"/>
        <v>26-35</v>
      </c>
      <c r="F887" t="s">
        <v>46</v>
      </c>
      <c r="G887" t="s">
        <v>39</v>
      </c>
      <c r="H887" s="8" t="s">
        <v>40</v>
      </c>
      <c r="I887" s="10">
        <v>10</v>
      </c>
      <c r="J887" t="str">
        <f t="shared" si="65"/>
        <v>Moderate</v>
      </c>
      <c r="K887">
        <v>4</v>
      </c>
      <c r="L887" t="s">
        <v>41</v>
      </c>
      <c r="M887">
        <v>3</v>
      </c>
      <c r="N887">
        <v>3</v>
      </c>
      <c r="O887">
        <v>2</v>
      </c>
      <c r="P887" t="s">
        <v>42</v>
      </c>
      <c r="Q887">
        <v>4</v>
      </c>
      <c r="R887" s="11">
        <v>1356</v>
      </c>
      <c r="S887" s="14">
        <v>57</v>
      </c>
      <c r="T887" s="13">
        <v>4950</v>
      </c>
      <c r="U887" s="13">
        <f t="shared" si="66"/>
        <v>59400</v>
      </c>
      <c r="V887" s="14">
        <v>20623</v>
      </c>
      <c r="W887">
        <v>0</v>
      </c>
      <c r="X887" s="8" t="s">
        <v>46</v>
      </c>
      <c r="Y887" s="15">
        <v>0.14000000000000001</v>
      </c>
      <c r="Z887">
        <v>3</v>
      </c>
      <c r="AA887">
        <v>2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 t="str">
        <f t="shared" si="67"/>
        <v>0-3</v>
      </c>
      <c r="AI887">
        <v>1</v>
      </c>
      <c r="AJ887" t="str">
        <f t="shared" si="68"/>
        <v>0-2</v>
      </c>
      <c r="AK887">
        <v>1</v>
      </c>
    </row>
    <row r="888" spans="1:37" x14ac:dyDescent="0.25">
      <c r="A888" s="8">
        <v>887</v>
      </c>
      <c r="B888" t="s">
        <v>44</v>
      </c>
      <c r="C888" t="s">
        <v>45</v>
      </c>
      <c r="D888" s="8">
        <v>30</v>
      </c>
      <c r="E888" t="str">
        <f t="shared" si="69"/>
        <v>26-35</v>
      </c>
      <c r="F888" t="s">
        <v>46</v>
      </c>
      <c r="G888" t="s">
        <v>39</v>
      </c>
      <c r="H888" s="8" t="s">
        <v>48</v>
      </c>
      <c r="I888" s="10">
        <v>1</v>
      </c>
      <c r="J888" t="str">
        <f t="shared" si="65"/>
        <v>Near</v>
      </c>
      <c r="K888">
        <v>3</v>
      </c>
      <c r="L888" t="s">
        <v>53</v>
      </c>
      <c r="M888">
        <v>4</v>
      </c>
      <c r="N888">
        <v>3</v>
      </c>
      <c r="O888">
        <v>1</v>
      </c>
      <c r="P888" t="s">
        <v>49</v>
      </c>
      <c r="Q888">
        <v>2</v>
      </c>
      <c r="R888" s="11">
        <v>1465</v>
      </c>
      <c r="S888" s="14">
        <v>63</v>
      </c>
      <c r="T888" s="13">
        <v>3579</v>
      </c>
      <c r="U888" s="13">
        <f t="shared" si="66"/>
        <v>42948</v>
      </c>
      <c r="V888" s="14">
        <v>9369</v>
      </c>
      <c r="W888">
        <v>0</v>
      </c>
      <c r="X888" s="8" t="s">
        <v>38</v>
      </c>
      <c r="Y888" s="15">
        <v>0.21</v>
      </c>
      <c r="Z888">
        <v>4</v>
      </c>
      <c r="AA888">
        <v>1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 t="str">
        <f t="shared" si="67"/>
        <v>8-11</v>
      </c>
      <c r="AI888">
        <v>5</v>
      </c>
      <c r="AJ888" t="str">
        <f t="shared" si="68"/>
        <v>3-5</v>
      </c>
      <c r="AK888">
        <v>7</v>
      </c>
    </row>
    <row r="889" spans="1:37" x14ac:dyDescent="0.25">
      <c r="A889" s="8">
        <v>888</v>
      </c>
      <c r="B889" t="s">
        <v>52</v>
      </c>
      <c r="C889" t="s">
        <v>45</v>
      </c>
      <c r="D889" s="8">
        <v>42</v>
      </c>
      <c r="E889" t="str">
        <f t="shared" si="69"/>
        <v>36-45</v>
      </c>
      <c r="F889" t="s">
        <v>46</v>
      </c>
      <c r="G889" t="s">
        <v>47</v>
      </c>
      <c r="H889" s="8" t="s">
        <v>48</v>
      </c>
      <c r="I889" s="10">
        <v>26</v>
      </c>
      <c r="J889" t="str">
        <f t="shared" si="65"/>
        <v>Far</v>
      </c>
      <c r="K889">
        <v>5</v>
      </c>
      <c r="L889" t="s">
        <v>53</v>
      </c>
      <c r="M889">
        <v>1</v>
      </c>
      <c r="N889">
        <v>3</v>
      </c>
      <c r="O889">
        <v>3</v>
      </c>
      <c r="P889" t="s">
        <v>61</v>
      </c>
      <c r="Q889">
        <v>1</v>
      </c>
      <c r="R889" s="11">
        <v>458</v>
      </c>
      <c r="S889" s="14">
        <v>60</v>
      </c>
      <c r="T889" s="13">
        <v>13191</v>
      </c>
      <c r="U889" s="13">
        <f t="shared" si="66"/>
        <v>158292</v>
      </c>
      <c r="V889" s="14">
        <v>23281</v>
      </c>
      <c r="W889">
        <v>3</v>
      </c>
      <c r="X889" s="8" t="s">
        <v>38</v>
      </c>
      <c r="Y889" s="15">
        <v>0.17</v>
      </c>
      <c r="Z889">
        <v>3</v>
      </c>
      <c r="AA889">
        <v>3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 t="str">
        <f t="shared" si="67"/>
        <v>0-3</v>
      </c>
      <c r="AI889">
        <v>0</v>
      </c>
      <c r="AJ889" t="str">
        <f t="shared" si="68"/>
        <v>0-2</v>
      </c>
      <c r="AK889">
        <v>0</v>
      </c>
    </row>
    <row r="890" spans="1:37" x14ac:dyDescent="0.25">
      <c r="A890" s="8">
        <v>889</v>
      </c>
      <c r="B890" t="s">
        <v>52</v>
      </c>
      <c r="C890" t="s">
        <v>45</v>
      </c>
      <c r="D890" s="8">
        <v>35</v>
      </c>
      <c r="E890" t="str">
        <f t="shared" si="69"/>
        <v>26-35</v>
      </c>
      <c r="F890" t="s">
        <v>46</v>
      </c>
      <c r="G890" t="s">
        <v>58</v>
      </c>
      <c r="H890" s="8" t="s">
        <v>40</v>
      </c>
      <c r="I890" s="10">
        <v>8</v>
      </c>
      <c r="J890" t="str">
        <f t="shared" si="65"/>
        <v>Moderate</v>
      </c>
      <c r="K890">
        <v>2</v>
      </c>
      <c r="L890" t="s">
        <v>62</v>
      </c>
      <c r="M890">
        <v>3</v>
      </c>
      <c r="N890">
        <v>2</v>
      </c>
      <c r="O890">
        <v>3</v>
      </c>
      <c r="P890" t="s">
        <v>42</v>
      </c>
      <c r="Q890">
        <v>4</v>
      </c>
      <c r="R890" s="11">
        <v>1212</v>
      </c>
      <c r="S890" s="14">
        <v>78</v>
      </c>
      <c r="T890" s="13">
        <v>10377</v>
      </c>
      <c r="U890" s="13">
        <f t="shared" si="66"/>
        <v>124524</v>
      </c>
      <c r="V890" s="14">
        <v>13755</v>
      </c>
      <c r="W890">
        <v>4</v>
      </c>
      <c r="X890" s="8" t="s">
        <v>38</v>
      </c>
      <c r="Y890" s="15">
        <v>0.11</v>
      </c>
      <c r="Z890">
        <v>3</v>
      </c>
      <c r="AA890">
        <v>2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 t="str">
        <f t="shared" si="67"/>
        <v>0-3</v>
      </c>
      <c r="AI890">
        <v>4</v>
      </c>
      <c r="AJ890" t="str">
        <f t="shared" si="68"/>
        <v>3-5</v>
      </c>
      <c r="AK890">
        <v>12</v>
      </c>
    </row>
    <row r="891" spans="1:37" x14ac:dyDescent="0.25">
      <c r="A891" s="8">
        <v>890</v>
      </c>
      <c r="B891" t="s">
        <v>44</v>
      </c>
      <c r="C891" t="s">
        <v>45</v>
      </c>
      <c r="D891" s="8">
        <v>27</v>
      </c>
      <c r="E891" t="str">
        <f t="shared" si="69"/>
        <v>26-35</v>
      </c>
      <c r="F891" t="s">
        <v>46</v>
      </c>
      <c r="G891" t="s">
        <v>39</v>
      </c>
      <c r="H891" s="8" t="s">
        <v>48</v>
      </c>
      <c r="I891" s="10">
        <v>14</v>
      </c>
      <c r="J891" t="str">
        <f t="shared" si="65"/>
        <v>Moderate</v>
      </c>
      <c r="K891">
        <v>3</v>
      </c>
      <c r="L891" t="s">
        <v>41</v>
      </c>
      <c r="M891">
        <v>1</v>
      </c>
      <c r="N891">
        <v>3</v>
      </c>
      <c r="O891">
        <v>1</v>
      </c>
      <c r="P891" t="s">
        <v>49</v>
      </c>
      <c r="Q891">
        <v>1</v>
      </c>
      <c r="R891" s="11">
        <v>1103</v>
      </c>
      <c r="S891" s="14">
        <v>42</v>
      </c>
      <c r="T891" s="13">
        <v>2235</v>
      </c>
      <c r="U891" s="13">
        <f t="shared" si="66"/>
        <v>26820</v>
      </c>
      <c r="V891" s="14">
        <v>14377</v>
      </c>
      <c r="W891">
        <v>1</v>
      </c>
      <c r="X891" s="8" t="s">
        <v>38</v>
      </c>
      <c r="Y891" s="15">
        <v>0.14000000000000001</v>
      </c>
      <c r="Z891">
        <v>3</v>
      </c>
      <c r="AA891">
        <v>4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 t="str">
        <f t="shared" si="67"/>
        <v>4-7</v>
      </c>
      <c r="AI891">
        <v>6</v>
      </c>
      <c r="AJ891" t="str">
        <f t="shared" si="68"/>
        <v>6-8</v>
      </c>
      <c r="AK891">
        <v>8</v>
      </c>
    </row>
    <row r="892" spans="1:37" x14ac:dyDescent="0.25">
      <c r="A892" s="8">
        <v>891</v>
      </c>
      <c r="B892" t="s">
        <v>52</v>
      </c>
      <c r="C892" t="s">
        <v>54</v>
      </c>
      <c r="D892" s="8">
        <v>54</v>
      </c>
      <c r="E892" t="str">
        <f t="shared" si="69"/>
        <v>46-55</v>
      </c>
      <c r="F892" t="s">
        <v>46</v>
      </c>
      <c r="G892" t="s">
        <v>47</v>
      </c>
      <c r="H892" s="8" t="s">
        <v>48</v>
      </c>
      <c r="I892" s="10">
        <v>1</v>
      </c>
      <c r="J892" t="str">
        <f t="shared" si="65"/>
        <v>Near</v>
      </c>
      <c r="K892">
        <v>4</v>
      </c>
      <c r="L892" t="s">
        <v>41</v>
      </c>
      <c r="M892">
        <v>4</v>
      </c>
      <c r="N892">
        <v>3</v>
      </c>
      <c r="O892">
        <v>3</v>
      </c>
      <c r="P892" t="s">
        <v>55</v>
      </c>
      <c r="Q892">
        <v>3</v>
      </c>
      <c r="R892" s="11">
        <v>966</v>
      </c>
      <c r="S892" s="14">
        <v>53</v>
      </c>
      <c r="T892" s="13">
        <v>10502</v>
      </c>
      <c r="U892" s="13">
        <f t="shared" si="66"/>
        <v>126024</v>
      </c>
      <c r="V892" s="14">
        <v>9659</v>
      </c>
      <c r="W892">
        <v>7</v>
      </c>
      <c r="X892" s="8" t="s">
        <v>46</v>
      </c>
      <c r="Y892" s="15">
        <v>0.17</v>
      </c>
      <c r="Z892">
        <v>3</v>
      </c>
      <c r="AA892">
        <v>1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 t="str">
        <f t="shared" si="67"/>
        <v>4-7</v>
      </c>
      <c r="AI892">
        <v>1</v>
      </c>
      <c r="AJ892" t="str">
        <f t="shared" si="68"/>
        <v>0-2</v>
      </c>
      <c r="AK892">
        <v>4</v>
      </c>
    </row>
    <row r="893" spans="1:37" x14ac:dyDescent="0.25">
      <c r="A893" s="8">
        <v>892</v>
      </c>
      <c r="B893" t="s">
        <v>52</v>
      </c>
      <c r="C893" t="s">
        <v>45</v>
      </c>
      <c r="D893" s="8">
        <v>44</v>
      </c>
      <c r="E893" t="str">
        <f t="shared" si="69"/>
        <v>36-45</v>
      </c>
      <c r="F893" t="s">
        <v>46</v>
      </c>
      <c r="G893" t="s">
        <v>39</v>
      </c>
      <c r="H893" s="8" t="s">
        <v>48</v>
      </c>
      <c r="I893" s="10">
        <v>2</v>
      </c>
      <c r="J893" t="str">
        <f t="shared" si="65"/>
        <v>Near</v>
      </c>
      <c r="K893">
        <v>1</v>
      </c>
      <c r="L893" t="s">
        <v>41</v>
      </c>
      <c r="M893">
        <v>1</v>
      </c>
      <c r="N893">
        <v>4</v>
      </c>
      <c r="O893">
        <v>1</v>
      </c>
      <c r="P893" t="s">
        <v>49</v>
      </c>
      <c r="Q893">
        <v>4</v>
      </c>
      <c r="R893" s="11">
        <v>1117</v>
      </c>
      <c r="S893" s="14">
        <v>72</v>
      </c>
      <c r="T893" s="13">
        <v>2011</v>
      </c>
      <c r="U893" s="13">
        <f t="shared" si="66"/>
        <v>24132</v>
      </c>
      <c r="V893" s="14">
        <v>19982</v>
      </c>
      <c r="W893">
        <v>1</v>
      </c>
      <c r="X893" s="8" t="s">
        <v>46</v>
      </c>
      <c r="Y893" s="15">
        <v>0.13</v>
      </c>
      <c r="Z893">
        <v>3</v>
      </c>
      <c r="AA893">
        <v>4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 t="str">
        <f t="shared" si="67"/>
        <v>4-7</v>
      </c>
      <c r="AI893">
        <v>7</v>
      </c>
      <c r="AJ893" t="str">
        <f t="shared" si="68"/>
        <v>6-8</v>
      </c>
      <c r="AK893">
        <v>7</v>
      </c>
    </row>
    <row r="894" spans="1:37" x14ac:dyDescent="0.25">
      <c r="A894" s="8">
        <v>893</v>
      </c>
      <c r="B894" t="s">
        <v>52</v>
      </c>
      <c r="C894" t="s">
        <v>37</v>
      </c>
      <c r="D894" s="8">
        <v>19</v>
      </c>
      <c r="E894" t="str">
        <f t="shared" si="69"/>
        <v>18-25</v>
      </c>
      <c r="F894" t="s">
        <v>38</v>
      </c>
      <c r="G894" t="s">
        <v>58</v>
      </c>
      <c r="H894" s="8" t="s">
        <v>48</v>
      </c>
      <c r="I894" s="10">
        <v>10</v>
      </c>
      <c r="J894" t="str">
        <f t="shared" si="65"/>
        <v>Moderate</v>
      </c>
      <c r="K894">
        <v>3</v>
      </c>
      <c r="L894" t="s">
        <v>53</v>
      </c>
      <c r="M894">
        <v>1</v>
      </c>
      <c r="N894">
        <v>2</v>
      </c>
      <c r="O894">
        <v>1</v>
      </c>
      <c r="P894" t="s">
        <v>49</v>
      </c>
      <c r="Q894">
        <v>2</v>
      </c>
      <c r="R894" s="11">
        <v>504</v>
      </c>
      <c r="S894" s="14">
        <v>96</v>
      </c>
      <c r="T894" s="13">
        <v>1859</v>
      </c>
      <c r="U894" s="13">
        <f t="shared" si="66"/>
        <v>22308</v>
      </c>
      <c r="V894" s="14">
        <v>6148</v>
      </c>
      <c r="W894">
        <v>1</v>
      </c>
      <c r="X894" s="8" t="s">
        <v>38</v>
      </c>
      <c r="Y894" s="15">
        <v>0.25</v>
      </c>
      <c r="Z894">
        <v>4</v>
      </c>
      <c r="AA894">
        <v>2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 t="str">
        <f t="shared" si="67"/>
        <v>0-3</v>
      </c>
      <c r="AI894">
        <v>0</v>
      </c>
      <c r="AJ894" t="str">
        <f t="shared" si="68"/>
        <v>0-2</v>
      </c>
      <c r="AK894">
        <v>0</v>
      </c>
    </row>
    <row r="895" spans="1:37" x14ac:dyDescent="0.25">
      <c r="A895" s="8">
        <v>894</v>
      </c>
      <c r="B895" t="s">
        <v>52</v>
      </c>
      <c r="C895" t="s">
        <v>54</v>
      </c>
      <c r="D895" s="8">
        <v>29</v>
      </c>
      <c r="E895" t="str">
        <f t="shared" si="69"/>
        <v>26-35</v>
      </c>
      <c r="F895" t="s">
        <v>46</v>
      </c>
      <c r="G895" t="s">
        <v>39</v>
      </c>
      <c r="H895" s="8" t="s">
        <v>48</v>
      </c>
      <c r="I895" s="10">
        <v>1</v>
      </c>
      <c r="J895" t="str">
        <f t="shared" si="65"/>
        <v>Near</v>
      </c>
      <c r="K895">
        <v>3</v>
      </c>
      <c r="L895" t="s">
        <v>41</v>
      </c>
      <c r="M895">
        <v>1</v>
      </c>
      <c r="N895">
        <v>3</v>
      </c>
      <c r="O895">
        <v>1</v>
      </c>
      <c r="P895" t="s">
        <v>49</v>
      </c>
      <c r="Q895">
        <v>4</v>
      </c>
      <c r="R895" s="11">
        <v>1010</v>
      </c>
      <c r="S895" s="14">
        <v>97</v>
      </c>
      <c r="T895" s="13">
        <v>3760</v>
      </c>
      <c r="U895" s="13">
        <f t="shared" si="66"/>
        <v>45120</v>
      </c>
      <c r="V895" s="14">
        <v>5598</v>
      </c>
      <c r="W895">
        <v>1</v>
      </c>
      <c r="X895" s="8" t="s">
        <v>46</v>
      </c>
      <c r="Y895" s="15">
        <v>0.15</v>
      </c>
      <c r="Z895">
        <v>3</v>
      </c>
      <c r="AA895">
        <v>1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 t="str">
        <f t="shared" si="67"/>
        <v>0-3</v>
      </c>
      <c r="AI895">
        <v>1</v>
      </c>
      <c r="AJ895" t="str">
        <f t="shared" si="68"/>
        <v>0-2</v>
      </c>
      <c r="AK895">
        <v>2</v>
      </c>
    </row>
    <row r="896" spans="1:37" x14ac:dyDescent="0.25">
      <c r="A896" s="8">
        <v>895</v>
      </c>
      <c r="B896" t="s">
        <v>44</v>
      </c>
      <c r="C896" t="s">
        <v>45</v>
      </c>
      <c r="D896" s="8">
        <v>54</v>
      </c>
      <c r="E896" t="str">
        <f t="shared" si="69"/>
        <v>46-55</v>
      </c>
      <c r="F896" t="s">
        <v>46</v>
      </c>
      <c r="G896" t="s">
        <v>39</v>
      </c>
      <c r="H896" s="8" t="s">
        <v>48</v>
      </c>
      <c r="I896" s="10">
        <v>3</v>
      </c>
      <c r="J896" t="str">
        <f t="shared" si="65"/>
        <v>Near</v>
      </c>
      <c r="K896">
        <v>3</v>
      </c>
      <c r="L896" t="s">
        <v>41</v>
      </c>
      <c r="M896">
        <v>4</v>
      </c>
      <c r="N896">
        <v>3</v>
      </c>
      <c r="O896">
        <v>4</v>
      </c>
      <c r="P896" t="s">
        <v>61</v>
      </c>
      <c r="Q896">
        <v>4</v>
      </c>
      <c r="R896" s="11">
        <v>685</v>
      </c>
      <c r="S896" s="14">
        <v>85</v>
      </c>
      <c r="T896" s="13">
        <v>17779</v>
      </c>
      <c r="U896" s="13">
        <f t="shared" si="66"/>
        <v>213348</v>
      </c>
      <c r="V896" s="14">
        <v>23474</v>
      </c>
      <c r="W896">
        <v>3</v>
      </c>
      <c r="X896" s="8" t="s">
        <v>46</v>
      </c>
      <c r="Y896" s="15">
        <v>0.14000000000000001</v>
      </c>
      <c r="Z896">
        <v>3</v>
      </c>
      <c r="AA896">
        <v>1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 t="str">
        <f t="shared" si="67"/>
        <v>8-11</v>
      </c>
      <c r="AI896">
        <v>0</v>
      </c>
      <c r="AJ896" t="str">
        <f t="shared" si="68"/>
        <v>0-2</v>
      </c>
      <c r="AK896">
        <v>9</v>
      </c>
    </row>
    <row r="897" spans="1:37" x14ac:dyDescent="0.25">
      <c r="A897" s="8">
        <v>896</v>
      </c>
      <c r="B897" t="s">
        <v>44</v>
      </c>
      <c r="C897" t="s">
        <v>45</v>
      </c>
      <c r="D897" s="8">
        <v>31</v>
      </c>
      <c r="E897" t="str">
        <f t="shared" si="69"/>
        <v>26-35</v>
      </c>
      <c r="F897" t="s">
        <v>46</v>
      </c>
      <c r="G897" t="s">
        <v>39</v>
      </c>
      <c r="H897" s="8" t="s">
        <v>48</v>
      </c>
      <c r="I897" s="10">
        <v>11</v>
      </c>
      <c r="J897" t="str">
        <f t="shared" si="65"/>
        <v>Moderate</v>
      </c>
      <c r="K897">
        <v>2</v>
      </c>
      <c r="L897" t="s">
        <v>53</v>
      </c>
      <c r="M897">
        <v>3</v>
      </c>
      <c r="N897">
        <v>3</v>
      </c>
      <c r="O897">
        <v>2</v>
      </c>
      <c r="P897" t="s">
        <v>56</v>
      </c>
      <c r="Q897">
        <v>1</v>
      </c>
      <c r="R897" s="11">
        <v>1332</v>
      </c>
      <c r="S897" s="14">
        <v>80</v>
      </c>
      <c r="T897" s="13">
        <v>6833</v>
      </c>
      <c r="U897" s="13">
        <f t="shared" si="66"/>
        <v>81996</v>
      </c>
      <c r="V897" s="14">
        <v>17089</v>
      </c>
      <c r="W897">
        <v>1</v>
      </c>
      <c r="X897" s="8" t="s">
        <v>38</v>
      </c>
      <c r="Y897" s="15">
        <v>0.12</v>
      </c>
      <c r="Z897">
        <v>3</v>
      </c>
      <c r="AA897">
        <v>4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 t="str">
        <f t="shared" si="67"/>
        <v>4-7</v>
      </c>
      <c r="AI897">
        <v>0</v>
      </c>
      <c r="AJ897" t="str">
        <f t="shared" si="68"/>
        <v>0-2</v>
      </c>
      <c r="AK897">
        <v>1</v>
      </c>
    </row>
    <row r="898" spans="1:37" x14ac:dyDescent="0.25">
      <c r="A898" s="8">
        <v>897</v>
      </c>
      <c r="B898" t="s">
        <v>52</v>
      </c>
      <c r="C898" t="s">
        <v>37</v>
      </c>
      <c r="D898" s="8">
        <v>31</v>
      </c>
      <c r="E898" t="str">
        <f t="shared" si="69"/>
        <v>26-35</v>
      </c>
      <c r="F898" t="s">
        <v>46</v>
      </c>
      <c r="G898" t="s">
        <v>39</v>
      </c>
      <c r="H898" s="8" t="s">
        <v>48</v>
      </c>
      <c r="I898" s="10">
        <v>24</v>
      </c>
      <c r="J898" t="str">
        <f t="shared" si="65"/>
        <v>Far</v>
      </c>
      <c r="K898">
        <v>3</v>
      </c>
      <c r="L898" t="s">
        <v>53</v>
      </c>
      <c r="M898">
        <v>3</v>
      </c>
      <c r="N898">
        <v>2</v>
      </c>
      <c r="O898">
        <v>2</v>
      </c>
      <c r="P898" t="s">
        <v>56</v>
      </c>
      <c r="Q898">
        <v>1</v>
      </c>
      <c r="R898" s="11">
        <v>1062</v>
      </c>
      <c r="S898" s="14">
        <v>96</v>
      </c>
      <c r="T898" s="13">
        <v>6812</v>
      </c>
      <c r="U898" s="13">
        <f t="shared" si="66"/>
        <v>81744</v>
      </c>
      <c r="V898" s="14">
        <v>17198</v>
      </c>
      <c r="W898">
        <v>1</v>
      </c>
      <c r="X898" s="8" t="s">
        <v>46</v>
      </c>
      <c r="Y898" s="15">
        <v>0.19</v>
      </c>
      <c r="Z898">
        <v>3</v>
      </c>
      <c r="AA898">
        <v>2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 t="str">
        <f t="shared" si="67"/>
        <v>8-11</v>
      </c>
      <c r="AI898">
        <v>1</v>
      </c>
      <c r="AJ898" t="str">
        <f t="shared" si="68"/>
        <v>0-2</v>
      </c>
      <c r="AK898">
        <v>8</v>
      </c>
    </row>
    <row r="899" spans="1:37" x14ac:dyDescent="0.25">
      <c r="A899" s="8">
        <v>898</v>
      </c>
      <c r="B899" t="s">
        <v>52</v>
      </c>
      <c r="C899" t="s">
        <v>37</v>
      </c>
      <c r="D899" s="8">
        <v>59</v>
      </c>
      <c r="E899" t="str">
        <f t="shared" si="69"/>
        <v>55+</v>
      </c>
      <c r="F899" t="s">
        <v>46</v>
      </c>
      <c r="G899" t="s">
        <v>39</v>
      </c>
      <c r="H899" s="8" t="s">
        <v>40</v>
      </c>
      <c r="I899" s="10">
        <v>3</v>
      </c>
      <c r="J899" t="str">
        <f t="shared" ref="J899:J962" si="70">IF(I899&lt;=5,"Near",IF(I899&lt;=15,"Moderate",IF(I899&gt;15,"Far")))</f>
        <v>Near</v>
      </c>
      <c r="K899">
        <v>3</v>
      </c>
      <c r="L899" t="s">
        <v>41</v>
      </c>
      <c r="M899">
        <v>3</v>
      </c>
      <c r="N899">
        <v>2</v>
      </c>
      <c r="O899">
        <v>2</v>
      </c>
      <c r="P899" t="s">
        <v>42</v>
      </c>
      <c r="Q899">
        <v>4</v>
      </c>
      <c r="R899" s="11">
        <v>326</v>
      </c>
      <c r="S899" s="14">
        <v>48</v>
      </c>
      <c r="T899" s="13">
        <v>5171</v>
      </c>
      <c r="U899" s="13">
        <f t="shared" ref="U899:U962" si="71">T899*12</f>
        <v>62052</v>
      </c>
      <c r="V899" s="14">
        <v>16490</v>
      </c>
      <c r="W899">
        <v>5</v>
      </c>
      <c r="X899" s="8" t="s">
        <v>46</v>
      </c>
      <c r="Y899" s="15">
        <v>0.17</v>
      </c>
      <c r="Z899">
        <v>3</v>
      </c>
      <c r="AA899">
        <v>4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 t="str">
        <f t="shared" ref="AH899:AH962" si="72">IF(AG:AG&lt;=3,"0-3", IF(AG:AG&lt;=7,"4-7", IF(AG:AG&lt;=11,"8-11", IF(AG:AG&lt;=15,"12-15","16-19"))))</f>
        <v>0-3</v>
      </c>
      <c r="AI899">
        <v>0</v>
      </c>
      <c r="AJ899" t="str">
        <f t="shared" ref="AJ899:AJ962" si="73">IF(AI:AI&lt;=2,"0-2",IF(AI:AI&lt;=5,"3-5", IF(AI:AI&lt;=8,"6-8", IF(AI:AI&lt;=11,"9-11","12-15"))))</f>
        <v>0-2</v>
      </c>
      <c r="AK899">
        <v>5</v>
      </c>
    </row>
    <row r="900" spans="1:37" x14ac:dyDescent="0.25">
      <c r="A900" s="8">
        <v>899</v>
      </c>
      <c r="B900" t="s">
        <v>44</v>
      </c>
      <c r="C900" t="s">
        <v>45</v>
      </c>
      <c r="D900" s="8">
        <v>43</v>
      </c>
      <c r="E900" t="str">
        <f t="shared" ref="E900:E963" si="74">IF(D900&lt;25,"18-25",IF(D900&lt;=35,"26-35",IF(D900&lt;=45,"36-45",IF(D900&lt;=55,"46-55",IF(D900&gt;55,"55+")))))</f>
        <v>36-45</v>
      </c>
      <c r="F900" t="s">
        <v>46</v>
      </c>
      <c r="G900" t="s">
        <v>39</v>
      </c>
      <c r="H900" s="8" t="s">
        <v>48</v>
      </c>
      <c r="I900" s="10">
        <v>3</v>
      </c>
      <c r="J900" t="str">
        <f t="shared" si="70"/>
        <v>Near</v>
      </c>
      <c r="K900">
        <v>3</v>
      </c>
      <c r="L900" t="s">
        <v>41</v>
      </c>
      <c r="M900">
        <v>3</v>
      </c>
      <c r="N900">
        <v>1</v>
      </c>
      <c r="O900">
        <v>5</v>
      </c>
      <c r="P900" t="s">
        <v>61</v>
      </c>
      <c r="Q900">
        <v>4</v>
      </c>
      <c r="R900" s="11">
        <v>920</v>
      </c>
      <c r="S900" s="14">
        <v>96</v>
      </c>
      <c r="T900" s="13">
        <v>19740</v>
      </c>
      <c r="U900" s="13">
        <f t="shared" si="71"/>
        <v>236880</v>
      </c>
      <c r="V900" s="14">
        <v>18625</v>
      </c>
      <c r="W900">
        <v>3</v>
      </c>
      <c r="X900" s="8" t="s">
        <v>46</v>
      </c>
      <c r="Y900" s="15">
        <v>0.14000000000000001</v>
      </c>
      <c r="Z900">
        <v>3</v>
      </c>
      <c r="AA900">
        <v>2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 t="str">
        <f t="shared" si="72"/>
        <v>4-7</v>
      </c>
      <c r="AI900">
        <v>0</v>
      </c>
      <c r="AJ900" t="str">
        <f t="shared" si="73"/>
        <v>0-2</v>
      </c>
      <c r="AK900">
        <v>7</v>
      </c>
    </row>
    <row r="901" spans="1:37" x14ac:dyDescent="0.25">
      <c r="A901" s="8">
        <v>900</v>
      </c>
      <c r="B901" t="s">
        <v>44</v>
      </c>
      <c r="C901" t="s">
        <v>45</v>
      </c>
      <c r="D901" s="8">
        <v>49</v>
      </c>
      <c r="E901" t="str">
        <f t="shared" si="74"/>
        <v>46-55</v>
      </c>
      <c r="F901" t="s">
        <v>46</v>
      </c>
      <c r="G901" t="s">
        <v>39</v>
      </c>
      <c r="H901" s="8" t="s">
        <v>48</v>
      </c>
      <c r="I901" s="10">
        <v>4</v>
      </c>
      <c r="J901" t="str">
        <f t="shared" si="70"/>
        <v>Near</v>
      </c>
      <c r="K901">
        <v>2</v>
      </c>
      <c r="L901" t="s">
        <v>53</v>
      </c>
      <c r="M901">
        <v>1</v>
      </c>
      <c r="N901">
        <v>2</v>
      </c>
      <c r="O901">
        <v>5</v>
      </c>
      <c r="P901" t="s">
        <v>59</v>
      </c>
      <c r="Q901">
        <v>3</v>
      </c>
      <c r="R901" s="11">
        <v>1098</v>
      </c>
      <c r="S901" s="14">
        <v>85</v>
      </c>
      <c r="T901" s="13">
        <v>18711</v>
      </c>
      <c r="U901" s="13">
        <f t="shared" si="71"/>
        <v>224532</v>
      </c>
      <c r="V901" s="14">
        <v>12124</v>
      </c>
      <c r="W901">
        <v>2</v>
      </c>
      <c r="X901" s="8" t="s">
        <v>46</v>
      </c>
      <c r="Y901" s="15">
        <v>0.13</v>
      </c>
      <c r="Z901">
        <v>3</v>
      </c>
      <c r="AA901">
        <v>3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 t="str">
        <f t="shared" si="72"/>
        <v>0-3</v>
      </c>
      <c r="AI901">
        <v>0</v>
      </c>
      <c r="AJ901" t="str">
        <f t="shared" si="73"/>
        <v>0-2</v>
      </c>
      <c r="AK901">
        <v>0</v>
      </c>
    </row>
    <row r="902" spans="1:37" x14ac:dyDescent="0.25">
      <c r="A902" s="8">
        <v>901</v>
      </c>
      <c r="B902" t="s">
        <v>44</v>
      </c>
      <c r="C902" t="s">
        <v>45</v>
      </c>
      <c r="D902" s="8">
        <v>36</v>
      </c>
      <c r="E902" t="str">
        <f t="shared" si="74"/>
        <v>36-45</v>
      </c>
      <c r="F902" t="s">
        <v>46</v>
      </c>
      <c r="G902" t="s">
        <v>47</v>
      </c>
      <c r="H902" s="8" t="s">
        <v>48</v>
      </c>
      <c r="I902" s="10">
        <v>3</v>
      </c>
      <c r="J902" t="str">
        <f t="shared" si="70"/>
        <v>Near</v>
      </c>
      <c r="K902">
        <v>3</v>
      </c>
      <c r="L902" t="s">
        <v>63</v>
      </c>
      <c r="M902">
        <v>3</v>
      </c>
      <c r="N902">
        <v>3</v>
      </c>
      <c r="O902">
        <v>1</v>
      </c>
      <c r="P902" t="s">
        <v>49</v>
      </c>
      <c r="Q902">
        <v>2</v>
      </c>
      <c r="R902" s="11">
        <v>469</v>
      </c>
      <c r="S902" s="14">
        <v>46</v>
      </c>
      <c r="T902" s="13">
        <v>3692</v>
      </c>
      <c r="U902" s="13">
        <f t="shared" si="71"/>
        <v>44304</v>
      </c>
      <c r="V902" s="14">
        <v>9256</v>
      </c>
      <c r="W902">
        <v>1</v>
      </c>
      <c r="X902" s="8" t="s">
        <v>46</v>
      </c>
      <c r="Y902" s="15">
        <v>0.12</v>
      </c>
      <c r="Z902">
        <v>3</v>
      </c>
      <c r="AA902">
        <v>3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 t="str">
        <f t="shared" si="72"/>
        <v>8-11</v>
      </c>
      <c r="AI902">
        <v>0</v>
      </c>
      <c r="AJ902" t="str">
        <f t="shared" si="73"/>
        <v>0-2</v>
      </c>
      <c r="AK902">
        <v>7</v>
      </c>
    </row>
    <row r="903" spans="1:37" x14ac:dyDescent="0.25">
      <c r="A903" s="8">
        <v>902</v>
      </c>
      <c r="B903" t="s">
        <v>44</v>
      </c>
      <c r="C903" t="s">
        <v>37</v>
      </c>
      <c r="D903" s="8">
        <v>48</v>
      </c>
      <c r="E903" t="str">
        <f t="shared" si="74"/>
        <v>46-55</v>
      </c>
      <c r="F903" t="s">
        <v>46</v>
      </c>
      <c r="G903" t="s">
        <v>39</v>
      </c>
      <c r="H903" s="8" t="s">
        <v>48</v>
      </c>
      <c r="I903" s="10">
        <v>2</v>
      </c>
      <c r="J903" t="str">
        <f t="shared" si="70"/>
        <v>Near</v>
      </c>
      <c r="K903">
        <v>2</v>
      </c>
      <c r="L903" t="s">
        <v>63</v>
      </c>
      <c r="M903">
        <v>4</v>
      </c>
      <c r="N903">
        <v>4</v>
      </c>
      <c r="O903">
        <v>1</v>
      </c>
      <c r="P903" t="s">
        <v>51</v>
      </c>
      <c r="Q903">
        <v>2</v>
      </c>
      <c r="R903" s="11">
        <v>969</v>
      </c>
      <c r="S903" s="14">
        <v>76</v>
      </c>
      <c r="T903" s="13">
        <v>2559</v>
      </c>
      <c r="U903" s="13">
        <f t="shared" si="71"/>
        <v>30708</v>
      </c>
      <c r="V903" s="14">
        <v>16620</v>
      </c>
      <c r="W903">
        <v>5</v>
      </c>
      <c r="X903" s="8" t="s">
        <v>46</v>
      </c>
      <c r="Y903" s="15">
        <v>0.11</v>
      </c>
      <c r="Z903">
        <v>3</v>
      </c>
      <c r="AA903">
        <v>3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 t="str">
        <f t="shared" si="72"/>
        <v>0-3</v>
      </c>
      <c r="AI903">
        <v>0</v>
      </c>
      <c r="AJ903" t="str">
        <f t="shared" si="73"/>
        <v>0-2</v>
      </c>
      <c r="AK903">
        <v>0</v>
      </c>
    </row>
    <row r="904" spans="1:37" x14ac:dyDescent="0.25">
      <c r="A904" s="8">
        <v>903</v>
      </c>
      <c r="B904" t="s">
        <v>44</v>
      </c>
      <c r="C904" t="s">
        <v>54</v>
      </c>
      <c r="D904" s="8">
        <v>27</v>
      </c>
      <c r="E904" t="str">
        <f t="shared" si="74"/>
        <v>26-35</v>
      </c>
      <c r="F904" t="s">
        <v>46</v>
      </c>
      <c r="G904" t="s">
        <v>39</v>
      </c>
      <c r="H904" s="8" t="s">
        <v>48</v>
      </c>
      <c r="I904" s="10">
        <v>4</v>
      </c>
      <c r="J904" t="str">
        <f t="shared" si="70"/>
        <v>Near</v>
      </c>
      <c r="K904">
        <v>2</v>
      </c>
      <c r="L904" t="s">
        <v>41</v>
      </c>
      <c r="M904">
        <v>1</v>
      </c>
      <c r="N904">
        <v>3</v>
      </c>
      <c r="O904">
        <v>1</v>
      </c>
      <c r="P904" t="s">
        <v>49</v>
      </c>
      <c r="Q904">
        <v>3</v>
      </c>
      <c r="R904" s="11">
        <v>1167</v>
      </c>
      <c r="S904" s="14">
        <v>76</v>
      </c>
      <c r="T904" s="13">
        <v>2517</v>
      </c>
      <c r="U904" s="13">
        <f t="shared" si="71"/>
        <v>30204</v>
      </c>
      <c r="V904" s="14">
        <v>3208</v>
      </c>
      <c r="W904">
        <v>1</v>
      </c>
      <c r="X904" s="8" t="s">
        <v>46</v>
      </c>
      <c r="Y904" s="15">
        <v>0.11</v>
      </c>
      <c r="Z904">
        <v>3</v>
      </c>
      <c r="AA904">
        <v>2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 t="str">
        <f t="shared" si="72"/>
        <v>0-3</v>
      </c>
      <c r="AI904">
        <v>0</v>
      </c>
      <c r="AJ904" t="str">
        <f t="shared" si="73"/>
        <v>0-2</v>
      </c>
      <c r="AK904">
        <v>3</v>
      </c>
    </row>
    <row r="905" spans="1:37" x14ac:dyDescent="0.25">
      <c r="A905" s="8">
        <v>904</v>
      </c>
      <c r="B905" t="s">
        <v>44</v>
      </c>
      <c r="C905" t="s">
        <v>54</v>
      </c>
      <c r="D905" s="8">
        <v>29</v>
      </c>
      <c r="E905" t="str">
        <f t="shared" si="74"/>
        <v>26-35</v>
      </c>
      <c r="F905" t="s">
        <v>46</v>
      </c>
      <c r="G905" t="s">
        <v>39</v>
      </c>
      <c r="H905" s="8" t="s">
        <v>48</v>
      </c>
      <c r="I905" s="10">
        <v>7</v>
      </c>
      <c r="J905" t="str">
        <f t="shared" si="70"/>
        <v>Moderate</v>
      </c>
      <c r="K905">
        <v>3</v>
      </c>
      <c r="L905" t="s">
        <v>41</v>
      </c>
      <c r="M905">
        <v>3</v>
      </c>
      <c r="N905">
        <v>3</v>
      </c>
      <c r="O905">
        <v>2</v>
      </c>
      <c r="P905" t="s">
        <v>56</v>
      </c>
      <c r="Q905">
        <v>4</v>
      </c>
      <c r="R905" s="11">
        <v>1329</v>
      </c>
      <c r="S905" s="14">
        <v>82</v>
      </c>
      <c r="T905" s="13">
        <v>6623</v>
      </c>
      <c r="U905" s="13">
        <f t="shared" si="71"/>
        <v>79476</v>
      </c>
      <c r="V905" s="14">
        <v>4204</v>
      </c>
      <c r="W905">
        <v>1</v>
      </c>
      <c r="X905" s="8" t="s">
        <v>38</v>
      </c>
      <c r="Y905" s="15">
        <v>0.11</v>
      </c>
      <c r="Z905">
        <v>3</v>
      </c>
      <c r="AA905">
        <v>2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 t="str">
        <f t="shared" si="72"/>
        <v>0-3</v>
      </c>
      <c r="AI905">
        <v>1</v>
      </c>
      <c r="AJ905" t="str">
        <f t="shared" si="73"/>
        <v>0-2</v>
      </c>
      <c r="AK905">
        <v>0</v>
      </c>
    </row>
    <row r="906" spans="1:37" x14ac:dyDescent="0.25">
      <c r="A906" s="8">
        <v>905</v>
      </c>
      <c r="B906" t="s">
        <v>44</v>
      </c>
      <c r="C906" t="s">
        <v>37</v>
      </c>
      <c r="D906" s="8">
        <v>48</v>
      </c>
      <c r="E906" t="str">
        <f t="shared" si="74"/>
        <v>46-55</v>
      </c>
      <c r="F906" t="s">
        <v>46</v>
      </c>
      <c r="G906" t="s">
        <v>39</v>
      </c>
      <c r="H906" s="8" t="s">
        <v>48</v>
      </c>
      <c r="I906" s="10">
        <v>1</v>
      </c>
      <c r="J906" t="str">
        <f t="shared" si="70"/>
        <v>Near</v>
      </c>
      <c r="K906">
        <v>3</v>
      </c>
      <c r="L906" t="s">
        <v>41</v>
      </c>
      <c r="M906">
        <v>4</v>
      </c>
      <c r="N906">
        <v>2</v>
      </c>
      <c r="O906">
        <v>5</v>
      </c>
      <c r="P906" t="s">
        <v>61</v>
      </c>
      <c r="Q906">
        <v>4</v>
      </c>
      <c r="R906" s="11">
        <v>715</v>
      </c>
      <c r="S906" s="14">
        <v>76</v>
      </c>
      <c r="T906" s="13">
        <v>18265</v>
      </c>
      <c r="U906" s="13">
        <f t="shared" si="71"/>
        <v>219180</v>
      </c>
      <c r="V906" s="14">
        <v>8733</v>
      </c>
      <c r="W906">
        <v>6</v>
      </c>
      <c r="X906" s="8" t="s">
        <v>46</v>
      </c>
      <c r="Y906" s="15">
        <v>0.12</v>
      </c>
      <c r="Z906">
        <v>3</v>
      </c>
      <c r="AA906">
        <v>3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 t="str">
        <f t="shared" si="72"/>
        <v>0-3</v>
      </c>
      <c r="AI906">
        <v>0</v>
      </c>
      <c r="AJ906" t="str">
        <f t="shared" si="73"/>
        <v>0-2</v>
      </c>
      <c r="AK906">
        <v>0</v>
      </c>
    </row>
    <row r="907" spans="1:37" x14ac:dyDescent="0.25">
      <c r="A907" s="8">
        <v>906</v>
      </c>
      <c r="B907" t="s">
        <v>52</v>
      </c>
      <c r="C907" t="s">
        <v>54</v>
      </c>
      <c r="D907" s="8">
        <v>29</v>
      </c>
      <c r="E907" t="str">
        <f t="shared" si="74"/>
        <v>26-35</v>
      </c>
      <c r="F907" t="s">
        <v>46</v>
      </c>
      <c r="G907" t="s">
        <v>39</v>
      </c>
      <c r="H907" s="8" t="s">
        <v>48</v>
      </c>
      <c r="I907" s="10">
        <v>1</v>
      </c>
      <c r="J907" t="str">
        <f t="shared" si="70"/>
        <v>Near</v>
      </c>
      <c r="K907">
        <v>3</v>
      </c>
      <c r="L907" t="s">
        <v>41</v>
      </c>
      <c r="M907">
        <v>4</v>
      </c>
      <c r="N907">
        <v>2</v>
      </c>
      <c r="O907">
        <v>4</v>
      </c>
      <c r="P907" t="s">
        <v>61</v>
      </c>
      <c r="Q907">
        <v>4</v>
      </c>
      <c r="R907" s="11">
        <v>694</v>
      </c>
      <c r="S907" s="14">
        <v>87</v>
      </c>
      <c r="T907" s="13">
        <v>16124</v>
      </c>
      <c r="U907" s="13">
        <f t="shared" si="71"/>
        <v>193488</v>
      </c>
      <c r="V907" s="14">
        <v>3423</v>
      </c>
      <c r="W907">
        <v>3</v>
      </c>
      <c r="X907" s="8" t="s">
        <v>46</v>
      </c>
      <c r="Y907" s="15">
        <v>0.14000000000000001</v>
      </c>
      <c r="Z907">
        <v>3</v>
      </c>
      <c r="AA907">
        <v>2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 t="str">
        <f t="shared" si="72"/>
        <v>4-7</v>
      </c>
      <c r="AI907">
        <v>1</v>
      </c>
      <c r="AJ907" t="str">
        <f t="shared" si="73"/>
        <v>0-2</v>
      </c>
      <c r="AK907">
        <v>7</v>
      </c>
    </row>
    <row r="908" spans="1:37" x14ac:dyDescent="0.25">
      <c r="A908" s="8">
        <v>907</v>
      </c>
      <c r="B908" t="s">
        <v>52</v>
      </c>
      <c r="C908" t="s">
        <v>45</v>
      </c>
      <c r="D908" s="8">
        <v>34</v>
      </c>
      <c r="E908" t="str">
        <f t="shared" si="74"/>
        <v>26-35</v>
      </c>
      <c r="F908" t="s">
        <v>46</v>
      </c>
      <c r="G908" t="s">
        <v>39</v>
      </c>
      <c r="H908" s="8" t="s">
        <v>48</v>
      </c>
      <c r="I908" s="10">
        <v>20</v>
      </c>
      <c r="J908" t="str">
        <f t="shared" si="70"/>
        <v>Far</v>
      </c>
      <c r="K908">
        <v>3</v>
      </c>
      <c r="L908" t="s">
        <v>63</v>
      </c>
      <c r="M908">
        <v>3</v>
      </c>
      <c r="N908">
        <v>4</v>
      </c>
      <c r="O908">
        <v>1</v>
      </c>
      <c r="P908" t="s">
        <v>49</v>
      </c>
      <c r="Q908">
        <v>3</v>
      </c>
      <c r="R908" s="11">
        <v>1320</v>
      </c>
      <c r="S908" s="14">
        <v>89</v>
      </c>
      <c r="T908" s="13">
        <v>2585</v>
      </c>
      <c r="U908" s="13">
        <f t="shared" si="71"/>
        <v>31020</v>
      </c>
      <c r="V908" s="14">
        <v>21643</v>
      </c>
      <c r="W908">
        <v>0</v>
      </c>
      <c r="X908" s="8" t="s">
        <v>46</v>
      </c>
      <c r="Y908" s="15">
        <v>0.17</v>
      </c>
      <c r="Z908">
        <v>3</v>
      </c>
      <c r="AA908">
        <v>4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 t="str">
        <f t="shared" si="72"/>
        <v>0-3</v>
      </c>
      <c r="AI908">
        <v>0</v>
      </c>
      <c r="AJ908" t="str">
        <f t="shared" si="73"/>
        <v>0-2</v>
      </c>
      <c r="AK908">
        <v>0</v>
      </c>
    </row>
    <row r="909" spans="1:37" x14ac:dyDescent="0.25">
      <c r="A909" s="8">
        <v>908</v>
      </c>
      <c r="B909" t="s">
        <v>44</v>
      </c>
      <c r="C909" t="s">
        <v>45</v>
      </c>
      <c r="D909" s="8">
        <v>44</v>
      </c>
      <c r="E909" t="str">
        <f t="shared" si="74"/>
        <v>36-45</v>
      </c>
      <c r="F909" t="s">
        <v>46</v>
      </c>
      <c r="G909" t="s">
        <v>39</v>
      </c>
      <c r="H909" s="8" t="s">
        <v>40</v>
      </c>
      <c r="I909" s="10">
        <v>5</v>
      </c>
      <c r="J909" t="str">
        <f t="shared" si="70"/>
        <v>Near</v>
      </c>
      <c r="K909">
        <v>3</v>
      </c>
      <c r="L909" t="s">
        <v>62</v>
      </c>
      <c r="M909">
        <v>2</v>
      </c>
      <c r="N909">
        <v>3</v>
      </c>
      <c r="O909">
        <v>5</v>
      </c>
      <c r="P909" t="s">
        <v>59</v>
      </c>
      <c r="Q909">
        <v>2</v>
      </c>
      <c r="R909" s="11">
        <v>1099</v>
      </c>
      <c r="S909" s="14">
        <v>88</v>
      </c>
      <c r="T909" s="13">
        <v>18213</v>
      </c>
      <c r="U909" s="13">
        <f t="shared" si="71"/>
        <v>218556</v>
      </c>
      <c r="V909" s="14">
        <v>8751</v>
      </c>
      <c r="W909">
        <v>7</v>
      </c>
      <c r="X909" s="8" t="s">
        <v>46</v>
      </c>
      <c r="Y909" s="15">
        <v>0.11</v>
      </c>
      <c r="Z909">
        <v>3</v>
      </c>
      <c r="AA909">
        <v>3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 t="str">
        <f t="shared" si="72"/>
        <v>8-11</v>
      </c>
      <c r="AI909">
        <v>3</v>
      </c>
      <c r="AJ909" t="str">
        <f t="shared" si="73"/>
        <v>3-5</v>
      </c>
      <c r="AK909">
        <v>10</v>
      </c>
    </row>
    <row r="910" spans="1:37" x14ac:dyDescent="0.25">
      <c r="A910" s="8">
        <v>909</v>
      </c>
      <c r="B910" t="s">
        <v>44</v>
      </c>
      <c r="C910" t="s">
        <v>54</v>
      </c>
      <c r="D910" s="8">
        <v>33</v>
      </c>
      <c r="E910" t="str">
        <f t="shared" si="74"/>
        <v>26-35</v>
      </c>
      <c r="F910" t="s">
        <v>46</v>
      </c>
      <c r="G910" t="s">
        <v>39</v>
      </c>
      <c r="H910" s="8" t="s">
        <v>40</v>
      </c>
      <c r="I910" s="10">
        <v>10</v>
      </c>
      <c r="J910" t="str">
        <f t="shared" si="70"/>
        <v>Moderate</v>
      </c>
      <c r="K910">
        <v>5</v>
      </c>
      <c r="L910" t="s">
        <v>62</v>
      </c>
      <c r="M910">
        <v>4</v>
      </c>
      <c r="N910">
        <v>4</v>
      </c>
      <c r="O910">
        <v>3</v>
      </c>
      <c r="P910" t="s">
        <v>42</v>
      </c>
      <c r="Q910">
        <v>3</v>
      </c>
      <c r="R910" s="11">
        <v>536</v>
      </c>
      <c r="S910" s="14">
        <v>82</v>
      </c>
      <c r="T910" s="13">
        <v>8380</v>
      </c>
      <c r="U910" s="13">
        <f t="shared" si="71"/>
        <v>100560</v>
      </c>
      <c r="V910" s="14">
        <v>21708</v>
      </c>
      <c r="W910">
        <v>0</v>
      </c>
      <c r="X910" s="8" t="s">
        <v>38</v>
      </c>
      <c r="Y910" s="15">
        <v>0.14000000000000001</v>
      </c>
      <c r="Z910">
        <v>3</v>
      </c>
      <c r="AA910">
        <v>4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 t="str">
        <f t="shared" si="72"/>
        <v>8-11</v>
      </c>
      <c r="AI910">
        <v>0</v>
      </c>
      <c r="AJ910" t="str">
        <f t="shared" si="73"/>
        <v>0-2</v>
      </c>
      <c r="AK910">
        <v>8</v>
      </c>
    </row>
    <row r="911" spans="1:37" x14ac:dyDescent="0.25">
      <c r="A911" s="8">
        <v>910</v>
      </c>
      <c r="B911" t="s">
        <v>52</v>
      </c>
      <c r="C911" t="s">
        <v>37</v>
      </c>
      <c r="D911" s="8">
        <v>19</v>
      </c>
      <c r="E911" t="str">
        <f t="shared" si="74"/>
        <v>18-25</v>
      </c>
      <c r="F911" t="s">
        <v>46</v>
      </c>
      <c r="G911" t="s">
        <v>39</v>
      </c>
      <c r="H911" s="8" t="s">
        <v>48</v>
      </c>
      <c r="I911" s="10">
        <v>25</v>
      </c>
      <c r="J911" t="str">
        <f t="shared" si="70"/>
        <v>Far</v>
      </c>
      <c r="K911">
        <v>3</v>
      </c>
      <c r="L911" t="s">
        <v>41</v>
      </c>
      <c r="M911">
        <v>2</v>
      </c>
      <c r="N911">
        <v>4</v>
      </c>
      <c r="O911">
        <v>1</v>
      </c>
      <c r="P911" t="s">
        <v>49</v>
      </c>
      <c r="Q911">
        <v>4</v>
      </c>
      <c r="R911" s="11">
        <v>265</v>
      </c>
      <c r="S911" s="14">
        <v>57</v>
      </c>
      <c r="T911" s="13">
        <v>2994</v>
      </c>
      <c r="U911" s="13">
        <f t="shared" si="71"/>
        <v>35928</v>
      </c>
      <c r="V911" s="14">
        <v>21221</v>
      </c>
      <c r="W911">
        <v>1</v>
      </c>
      <c r="X911" s="8" t="s">
        <v>38</v>
      </c>
      <c r="Y911" s="15">
        <v>0.12</v>
      </c>
      <c r="Z911">
        <v>3</v>
      </c>
      <c r="AA911">
        <v>4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 t="str">
        <f t="shared" si="72"/>
        <v>0-3</v>
      </c>
      <c r="AI911">
        <v>0</v>
      </c>
      <c r="AJ911" t="str">
        <f t="shared" si="73"/>
        <v>0-2</v>
      </c>
      <c r="AK911">
        <v>1</v>
      </c>
    </row>
    <row r="912" spans="1:37" x14ac:dyDescent="0.25">
      <c r="A912" s="8">
        <v>911</v>
      </c>
      <c r="B912" t="s">
        <v>44</v>
      </c>
      <c r="C912" t="s">
        <v>45</v>
      </c>
      <c r="D912" s="8">
        <v>23</v>
      </c>
      <c r="E912" t="str">
        <f t="shared" si="74"/>
        <v>18-25</v>
      </c>
      <c r="F912" t="s">
        <v>46</v>
      </c>
      <c r="G912" t="s">
        <v>39</v>
      </c>
      <c r="H912" s="8" t="s">
        <v>48</v>
      </c>
      <c r="I912" s="10">
        <v>1</v>
      </c>
      <c r="J912" t="str">
        <f t="shared" si="70"/>
        <v>Near</v>
      </c>
      <c r="K912">
        <v>2</v>
      </c>
      <c r="L912" t="s">
        <v>41</v>
      </c>
      <c r="M912">
        <v>4</v>
      </c>
      <c r="N912">
        <v>3</v>
      </c>
      <c r="O912">
        <v>1</v>
      </c>
      <c r="P912" t="s">
        <v>49</v>
      </c>
      <c r="Q912">
        <v>3</v>
      </c>
      <c r="R912" s="11">
        <v>373</v>
      </c>
      <c r="S912" s="14">
        <v>47</v>
      </c>
      <c r="T912" s="13">
        <v>1223</v>
      </c>
      <c r="U912" s="13">
        <f t="shared" si="71"/>
        <v>14676</v>
      </c>
      <c r="V912" s="14">
        <v>16901</v>
      </c>
      <c r="W912">
        <v>1</v>
      </c>
      <c r="X912" s="8" t="s">
        <v>46</v>
      </c>
      <c r="Y912" s="15">
        <v>0.22</v>
      </c>
      <c r="Z912">
        <v>4</v>
      </c>
      <c r="AA912">
        <v>4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 t="str">
        <f t="shared" si="72"/>
        <v>0-3</v>
      </c>
      <c r="AI912">
        <v>0</v>
      </c>
      <c r="AJ912" t="str">
        <f t="shared" si="73"/>
        <v>0-2</v>
      </c>
      <c r="AK912">
        <v>1</v>
      </c>
    </row>
    <row r="913" spans="1:37" x14ac:dyDescent="0.25">
      <c r="A913" s="8">
        <v>912</v>
      </c>
      <c r="B913" t="s">
        <v>44</v>
      </c>
      <c r="C913" t="s">
        <v>37</v>
      </c>
      <c r="D913" s="8">
        <v>25</v>
      </c>
      <c r="E913" t="str">
        <f t="shared" si="74"/>
        <v>26-35</v>
      </c>
      <c r="F913" t="s">
        <v>38</v>
      </c>
      <c r="G913" t="s">
        <v>47</v>
      </c>
      <c r="H913" s="8" t="s">
        <v>40</v>
      </c>
      <c r="I913" s="10">
        <v>24</v>
      </c>
      <c r="J913" t="str">
        <f t="shared" si="70"/>
        <v>Far</v>
      </c>
      <c r="K913">
        <v>1</v>
      </c>
      <c r="L913" t="s">
        <v>41</v>
      </c>
      <c r="M913">
        <v>3</v>
      </c>
      <c r="N913">
        <v>1</v>
      </c>
      <c r="O913">
        <v>1</v>
      </c>
      <c r="P913" t="s">
        <v>60</v>
      </c>
      <c r="Q913">
        <v>4</v>
      </c>
      <c r="R913" s="11">
        <v>599</v>
      </c>
      <c r="S913" s="14">
        <v>73</v>
      </c>
      <c r="T913" s="13">
        <v>1118</v>
      </c>
      <c r="U913" s="13">
        <f t="shared" si="71"/>
        <v>13416</v>
      </c>
      <c r="V913" s="14">
        <v>8040</v>
      </c>
      <c r="W913">
        <v>1</v>
      </c>
      <c r="X913" s="8" t="s">
        <v>38</v>
      </c>
      <c r="Y913" s="15">
        <v>0.14000000000000001</v>
      </c>
      <c r="Z913">
        <v>3</v>
      </c>
      <c r="AA913">
        <v>4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 t="str">
        <f t="shared" si="72"/>
        <v>0-3</v>
      </c>
      <c r="AI913">
        <v>1</v>
      </c>
      <c r="AJ913" t="str">
        <f t="shared" si="73"/>
        <v>0-2</v>
      </c>
      <c r="AK913">
        <v>0</v>
      </c>
    </row>
    <row r="914" spans="1:37" x14ac:dyDescent="0.25">
      <c r="A914" s="8">
        <v>913</v>
      </c>
      <c r="B914" t="s">
        <v>44</v>
      </c>
      <c r="C914" t="s">
        <v>37</v>
      </c>
      <c r="D914" s="8">
        <v>26</v>
      </c>
      <c r="E914" t="str">
        <f t="shared" si="74"/>
        <v>26-35</v>
      </c>
      <c r="F914" t="s">
        <v>46</v>
      </c>
      <c r="G914" t="s">
        <v>39</v>
      </c>
      <c r="H914" s="8" t="s">
        <v>48</v>
      </c>
      <c r="I914" s="10">
        <v>4</v>
      </c>
      <c r="J914" t="str">
        <f t="shared" si="70"/>
        <v>Near</v>
      </c>
      <c r="K914">
        <v>2</v>
      </c>
      <c r="L914" t="s">
        <v>41</v>
      </c>
      <c r="M914">
        <v>3</v>
      </c>
      <c r="N914">
        <v>3</v>
      </c>
      <c r="O914">
        <v>1</v>
      </c>
      <c r="P914" t="s">
        <v>49</v>
      </c>
      <c r="Q914">
        <v>4</v>
      </c>
      <c r="R914" s="11">
        <v>583</v>
      </c>
      <c r="S914" s="14">
        <v>53</v>
      </c>
      <c r="T914" s="13">
        <v>2875</v>
      </c>
      <c r="U914" s="13">
        <f t="shared" si="71"/>
        <v>34500</v>
      </c>
      <c r="V914" s="14">
        <v>9973</v>
      </c>
      <c r="W914">
        <v>1</v>
      </c>
      <c r="X914" s="8" t="s">
        <v>38</v>
      </c>
      <c r="Y914" s="15">
        <v>0.2</v>
      </c>
      <c r="Z914">
        <v>4</v>
      </c>
      <c r="AA914">
        <v>2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 t="str">
        <f t="shared" si="72"/>
        <v>4-7</v>
      </c>
      <c r="AI914">
        <v>2</v>
      </c>
      <c r="AJ914" t="str">
        <f t="shared" si="73"/>
        <v>0-2</v>
      </c>
      <c r="AK914">
        <v>2</v>
      </c>
    </row>
    <row r="915" spans="1:37" x14ac:dyDescent="0.25">
      <c r="A915" s="8">
        <v>914</v>
      </c>
      <c r="B915" t="s">
        <v>52</v>
      </c>
      <c r="C915" t="s">
        <v>37</v>
      </c>
      <c r="D915" s="8">
        <v>45</v>
      </c>
      <c r="E915" t="str">
        <f t="shared" si="74"/>
        <v>36-45</v>
      </c>
      <c r="F915" t="s">
        <v>38</v>
      </c>
      <c r="G915" t="s">
        <v>39</v>
      </c>
      <c r="H915" s="8" t="s">
        <v>40</v>
      </c>
      <c r="I915" s="10">
        <v>2</v>
      </c>
      <c r="J915" t="str">
        <f t="shared" si="70"/>
        <v>Near</v>
      </c>
      <c r="K915">
        <v>3</v>
      </c>
      <c r="L915" t="s">
        <v>62</v>
      </c>
      <c r="M915">
        <v>1</v>
      </c>
      <c r="N915">
        <v>1</v>
      </c>
      <c r="O915">
        <v>5</v>
      </c>
      <c r="P915" t="s">
        <v>59</v>
      </c>
      <c r="Q915">
        <v>2</v>
      </c>
      <c r="R915" s="11">
        <v>1449</v>
      </c>
      <c r="S915" s="14">
        <v>94</v>
      </c>
      <c r="T915" s="13">
        <v>18824</v>
      </c>
      <c r="U915" s="13">
        <f t="shared" si="71"/>
        <v>225888</v>
      </c>
      <c r="V915" s="14">
        <v>2493</v>
      </c>
      <c r="W915">
        <v>2</v>
      </c>
      <c r="X915" s="8" t="s">
        <v>38</v>
      </c>
      <c r="Y915" s="15">
        <v>0.16</v>
      </c>
      <c r="Z915">
        <v>3</v>
      </c>
      <c r="AA915">
        <v>1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 t="str">
        <f t="shared" si="72"/>
        <v>8-11</v>
      </c>
      <c r="AI915">
        <v>1</v>
      </c>
      <c r="AJ915" t="str">
        <f t="shared" si="73"/>
        <v>0-2</v>
      </c>
      <c r="AK915">
        <v>11</v>
      </c>
    </row>
    <row r="916" spans="1:37" x14ac:dyDescent="0.25">
      <c r="A916" s="8">
        <v>915</v>
      </c>
      <c r="B916" t="s">
        <v>44</v>
      </c>
      <c r="C916" t="s">
        <v>54</v>
      </c>
      <c r="D916" s="8">
        <v>55</v>
      </c>
      <c r="E916" t="str">
        <f t="shared" si="74"/>
        <v>46-55</v>
      </c>
      <c r="F916" t="s">
        <v>46</v>
      </c>
      <c r="G916" t="s">
        <v>58</v>
      </c>
      <c r="H916" s="8" t="s">
        <v>48</v>
      </c>
      <c r="I916" s="10">
        <v>8</v>
      </c>
      <c r="J916" t="str">
        <f t="shared" si="70"/>
        <v>Moderate</v>
      </c>
      <c r="K916">
        <v>1</v>
      </c>
      <c r="L916" t="s">
        <v>53</v>
      </c>
      <c r="M916">
        <v>4</v>
      </c>
      <c r="N916">
        <v>2</v>
      </c>
      <c r="O916">
        <v>4</v>
      </c>
      <c r="P916" t="s">
        <v>56</v>
      </c>
      <c r="Q916">
        <v>2</v>
      </c>
      <c r="R916" s="11">
        <v>177</v>
      </c>
      <c r="S916" s="14">
        <v>37</v>
      </c>
      <c r="T916" s="13">
        <v>13577</v>
      </c>
      <c r="U916" s="13">
        <f t="shared" si="71"/>
        <v>162924</v>
      </c>
      <c r="V916" s="14">
        <v>25592</v>
      </c>
      <c r="W916">
        <v>1</v>
      </c>
      <c r="X916" s="8" t="s">
        <v>38</v>
      </c>
      <c r="Y916" s="15">
        <v>0.15</v>
      </c>
      <c r="Z916">
        <v>3</v>
      </c>
      <c r="AA916">
        <v>4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 t="str">
        <f t="shared" si="72"/>
        <v>8-11</v>
      </c>
      <c r="AI916">
        <v>15</v>
      </c>
      <c r="AJ916" t="str">
        <f t="shared" si="73"/>
        <v>12-15</v>
      </c>
      <c r="AK916">
        <v>0</v>
      </c>
    </row>
    <row r="917" spans="1:37" x14ac:dyDescent="0.25">
      <c r="A917" s="8">
        <v>916</v>
      </c>
      <c r="B917" t="s">
        <v>52</v>
      </c>
      <c r="C917" t="s">
        <v>37</v>
      </c>
      <c r="D917" s="8">
        <v>21</v>
      </c>
      <c r="E917" t="str">
        <f t="shared" si="74"/>
        <v>18-25</v>
      </c>
      <c r="F917" t="s">
        <v>38</v>
      </c>
      <c r="G917" t="s">
        <v>47</v>
      </c>
      <c r="H917" s="8" t="s">
        <v>48</v>
      </c>
      <c r="I917" s="10">
        <v>10</v>
      </c>
      <c r="J917" t="str">
        <f t="shared" si="70"/>
        <v>Moderate</v>
      </c>
      <c r="K917">
        <v>2</v>
      </c>
      <c r="L917" t="s">
        <v>41</v>
      </c>
      <c r="M917">
        <v>1</v>
      </c>
      <c r="N917">
        <v>2</v>
      </c>
      <c r="O917">
        <v>1</v>
      </c>
      <c r="P917" t="s">
        <v>51</v>
      </c>
      <c r="Q917">
        <v>3</v>
      </c>
      <c r="R917" s="11">
        <v>251</v>
      </c>
      <c r="S917" s="14">
        <v>45</v>
      </c>
      <c r="T917" s="13">
        <v>2625</v>
      </c>
      <c r="U917" s="13">
        <f t="shared" si="71"/>
        <v>31500</v>
      </c>
      <c r="V917" s="14">
        <v>25308</v>
      </c>
      <c r="W917">
        <v>1</v>
      </c>
      <c r="X917" s="8" t="s">
        <v>46</v>
      </c>
      <c r="Y917" s="15">
        <v>0.2</v>
      </c>
      <c r="Z917">
        <v>4</v>
      </c>
      <c r="AA917">
        <v>3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 t="str">
        <f t="shared" si="72"/>
        <v>0-3</v>
      </c>
      <c r="AI917">
        <v>2</v>
      </c>
      <c r="AJ917" t="str">
        <f t="shared" si="73"/>
        <v>0-2</v>
      </c>
      <c r="AK917">
        <v>2</v>
      </c>
    </row>
    <row r="918" spans="1:37" x14ac:dyDescent="0.25">
      <c r="A918" s="8">
        <v>917</v>
      </c>
      <c r="B918" t="s">
        <v>52</v>
      </c>
      <c r="C918" t="s">
        <v>45</v>
      </c>
      <c r="D918" s="8">
        <v>46</v>
      </c>
      <c r="E918" t="str">
        <f t="shared" si="74"/>
        <v>46-55</v>
      </c>
      <c r="F918" t="s">
        <v>46</v>
      </c>
      <c r="G918" t="s">
        <v>39</v>
      </c>
      <c r="H918" s="8" t="s">
        <v>40</v>
      </c>
      <c r="I918" s="10">
        <v>4</v>
      </c>
      <c r="J918" t="str">
        <f t="shared" si="70"/>
        <v>Near</v>
      </c>
      <c r="K918">
        <v>2</v>
      </c>
      <c r="L918" t="s">
        <v>62</v>
      </c>
      <c r="M918">
        <v>4</v>
      </c>
      <c r="N918">
        <v>2</v>
      </c>
      <c r="O918">
        <v>5</v>
      </c>
      <c r="P918" t="s">
        <v>59</v>
      </c>
      <c r="Q918">
        <v>2</v>
      </c>
      <c r="R918" s="11">
        <v>168</v>
      </c>
      <c r="S918" s="14">
        <v>33</v>
      </c>
      <c r="T918" s="13">
        <v>18789</v>
      </c>
      <c r="U918" s="13">
        <f t="shared" si="71"/>
        <v>225468</v>
      </c>
      <c r="V918" s="14">
        <v>9946</v>
      </c>
      <c r="W918">
        <v>2</v>
      </c>
      <c r="X918" s="8" t="s">
        <v>46</v>
      </c>
      <c r="Y918" s="15">
        <v>0.14000000000000001</v>
      </c>
      <c r="Z918">
        <v>3</v>
      </c>
      <c r="AA918">
        <v>3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 t="str">
        <f t="shared" si="72"/>
        <v>4-7</v>
      </c>
      <c r="AI918">
        <v>0</v>
      </c>
      <c r="AJ918" t="str">
        <f t="shared" si="73"/>
        <v>0-2</v>
      </c>
      <c r="AK918">
        <v>8</v>
      </c>
    </row>
    <row r="919" spans="1:37" x14ac:dyDescent="0.25">
      <c r="A919" s="8">
        <v>918</v>
      </c>
      <c r="B919" t="s">
        <v>52</v>
      </c>
      <c r="C919" t="s">
        <v>37</v>
      </c>
      <c r="D919" s="8">
        <v>34</v>
      </c>
      <c r="E919" t="str">
        <f t="shared" si="74"/>
        <v>26-35</v>
      </c>
      <c r="F919" t="s">
        <v>46</v>
      </c>
      <c r="G919" t="s">
        <v>39</v>
      </c>
      <c r="H919" s="8" t="s">
        <v>40</v>
      </c>
      <c r="I919" s="10">
        <v>2</v>
      </c>
      <c r="J919" t="str">
        <f t="shared" si="70"/>
        <v>Near</v>
      </c>
      <c r="K919">
        <v>3</v>
      </c>
      <c r="L919" t="s">
        <v>62</v>
      </c>
      <c r="M919">
        <v>3</v>
      </c>
      <c r="N919">
        <v>3</v>
      </c>
      <c r="O919">
        <v>2</v>
      </c>
      <c r="P919" t="s">
        <v>42</v>
      </c>
      <c r="Q919">
        <v>1</v>
      </c>
      <c r="R919" s="11">
        <v>131</v>
      </c>
      <c r="S919" s="14">
        <v>86</v>
      </c>
      <c r="T919" s="13">
        <v>4538</v>
      </c>
      <c r="U919" s="13">
        <f t="shared" si="71"/>
        <v>54456</v>
      </c>
      <c r="V919" s="14">
        <v>6039</v>
      </c>
      <c r="W919">
        <v>0</v>
      </c>
      <c r="X919" s="8" t="s">
        <v>38</v>
      </c>
      <c r="Y919" s="15">
        <v>0.12</v>
      </c>
      <c r="Z919">
        <v>3</v>
      </c>
      <c r="AA919">
        <v>4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 t="str">
        <f t="shared" si="72"/>
        <v>0-3</v>
      </c>
      <c r="AI919">
        <v>0</v>
      </c>
      <c r="AJ919" t="str">
        <f t="shared" si="73"/>
        <v>0-2</v>
      </c>
      <c r="AK919">
        <v>2</v>
      </c>
    </row>
    <row r="920" spans="1:37" x14ac:dyDescent="0.25">
      <c r="A920" s="8">
        <v>919</v>
      </c>
      <c r="B920" t="s">
        <v>44</v>
      </c>
      <c r="C920" t="s">
        <v>54</v>
      </c>
      <c r="D920" s="8">
        <v>51</v>
      </c>
      <c r="E920" t="str">
        <f t="shared" si="74"/>
        <v>46-55</v>
      </c>
      <c r="F920" t="s">
        <v>46</v>
      </c>
      <c r="G920" t="s">
        <v>47</v>
      </c>
      <c r="H920" s="8" t="s">
        <v>40</v>
      </c>
      <c r="I920" s="10">
        <v>9</v>
      </c>
      <c r="J920" t="str">
        <f t="shared" si="70"/>
        <v>Moderate</v>
      </c>
      <c r="K920">
        <v>3</v>
      </c>
      <c r="L920" t="s">
        <v>41</v>
      </c>
      <c r="M920">
        <v>4</v>
      </c>
      <c r="N920">
        <v>3</v>
      </c>
      <c r="O920">
        <v>5</v>
      </c>
      <c r="P920" t="s">
        <v>59</v>
      </c>
      <c r="Q920">
        <v>2</v>
      </c>
      <c r="R920" s="11">
        <v>237</v>
      </c>
      <c r="S920" s="14">
        <v>83</v>
      </c>
      <c r="T920" s="13">
        <v>19847</v>
      </c>
      <c r="U920" s="13">
        <f t="shared" si="71"/>
        <v>238164</v>
      </c>
      <c r="V920" s="14">
        <v>19196</v>
      </c>
      <c r="W920">
        <v>4</v>
      </c>
      <c r="X920" s="8" t="s">
        <v>38</v>
      </c>
      <c r="Y920" s="15">
        <v>0.24</v>
      </c>
      <c r="Z920">
        <v>4</v>
      </c>
      <c r="AA920">
        <v>1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 t="str">
        <f t="shared" si="72"/>
        <v>8-11</v>
      </c>
      <c r="AI920">
        <v>11</v>
      </c>
      <c r="AJ920" t="str">
        <f t="shared" si="73"/>
        <v>9-11</v>
      </c>
      <c r="AK920">
        <v>10</v>
      </c>
    </row>
    <row r="921" spans="1:37" x14ac:dyDescent="0.25">
      <c r="A921" s="8">
        <v>920</v>
      </c>
      <c r="B921" t="s">
        <v>44</v>
      </c>
      <c r="C921" t="s">
        <v>37</v>
      </c>
      <c r="D921" s="8">
        <v>59</v>
      </c>
      <c r="E921" t="str">
        <f t="shared" si="74"/>
        <v>55+</v>
      </c>
      <c r="F921" t="s">
        <v>46</v>
      </c>
      <c r="G921" t="s">
        <v>39</v>
      </c>
      <c r="H921" s="8" t="s">
        <v>48</v>
      </c>
      <c r="I921" s="10">
        <v>18</v>
      </c>
      <c r="J921" t="str">
        <f t="shared" si="70"/>
        <v>Far</v>
      </c>
      <c r="K921">
        <v>4</v>
      </c>
      <c r="L921" t="s">
        <v>53</v>
      </c>
      <c r="M921">
        <v>4</v>
      </c>
      <c r="N921">
        <v>3</v>
      </c>
      <c r="O921">
        <v>3</v>
      </c>
      <c r="P921" t="s">
        <v>55</v>
      </c>
      <c r="Q921">
        <v>4</v>
      </c>
      <c r="R921" s="11">
        <v>1429</v>
      </c>
      <c r="S921" s="14">
        <v>67</v>
      </c>
      <c r="T921" s="13">
        <v>10512</v>
      </c>
      <c r="U921" s="13">
        <f t="shared" si="71"/>
        <v>126144</v>
      </c>
      <c r="V921" s="14">
        <v>20002</v>
      </c>
      <c r="W921">
        <v>6</v>
      </c>
      <c r="X921" s="8" t="s">
        <v>46</v>
      </c>
      <c r="Y921" s="15">
        <v>0.12</v>
      </c>
      <c r="Z921">
        <v>3</v>
      </c>
      <c r="AA921">
        <v>4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 t="str">
        <f t="shared" si="72"/>
        <v>4-7</v>
      </c>
      <c r="AI921">
        <v>5</v>
      </c>
      <c r="AJ921" t="str">
        <f t="shared" si="73"/>
        <v>3-5</v>
      </c>
      <c r="AK921">
        <v>4</v>
      </c>
    </row>
    <row r="922" spans="1:37" x14ac:dyDescent="0.25">
      <c r="A922" s="8">
        <v>921</v>
      </c>
      <c r="B922" t="s">
        <v>52</v>
      </c>
      <c r="C922" t="s">
        <v>54</v>
      </c>
      <c r="D922" s="8">
        <v>34</v>
      </c>
      <c r="E922" t="str">
        <f t="shared" si="74"/>
        <v>26-35</v>
      </c>
      <c r="F922" t="s">
        <v>46</v>
      </c>
      <c r="G922" t="s">
        <v>47</v>
      </c>
      <c r="H922" s="8" t="s">
        <v>48</v>
      </c>
      <c r="I922" s="10">
        <v>19</v>
      </c>
      <c r="J922" t="str">
        <f t="shared" si="70"/>
        <v>Far</v>
      </c>
      <c r="K922">
        <v>3</v>
      </c>
      <c r="L922" t="s">
        <v>53</v>
      </c>
      <c r="M922">
        <v>3</v>
      </c>
      <c r="N922">
        <v>3</v>
      </c>
      <c r="O922">
        <v>2</v>
      </c>
      <c r="P922" t="s">
        <v>51</v>
      </c>
      <c r="Q922">
        <v>2</v>
      </c>
      <c r="R922" s="11">
        <v>135</v>
      </c>
      <c r="S922" s="14">
        <v>46</v>
      </c>
      <c r="T922" s="13">
        <v>4444</v>
      </c>
      <c r="U922" s="13">
        <f t="shared" si="71"/>
        <v>53328</v>
      </c>
      <c r="V922" s="14">
        <v>22534</v>
      </c>
      <c r="W922">
        <v>4</v>
      </c>
      <c r="X922" s="8" t="s">
        <v>46</v>
      </c>
      <c r="Y922" s="15">
        <v>0.13</v>
      </c>
      <c r="Z922">
        <v>3</v>
      </c>
      <c r="AA922">
        <v>3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 t="str">
        <f t="shared" si="72"/>
        <v>8-11</v>
      </c>
      <c r="AI922">
        <v>5</v>
      </c>
      <c r="AJ922" t="str">
        <f t="shared" si="73"/>
        <v>3-5</v>
      </c>
      <c r="AK922">
        <v>10</v>
      </c>
    </row>
    <row r="923" spans="1:37" x14ac:dyDescent="0.25">
      <c r="A923" s="8">
        <v>922</v>
      </c>
      <c r="B923" t="s">
        <v>44</v>
      </c>
      <c r="C923" t="s">
        <v>37</v>
      </c>
      <c r="D923" s="8">
        <v>28</v>
      </c>
      <c r="E923" t="str">
        <f t="shared" si="74"/>
        <v>26-35</v>
      </c>
      <c r="F923" t="s">
        <v>46</v>
      </c>
      <c r="G923" t="s">
        <v>47</v>
      </c>
      <c r="H923" s="8" t="s">
        <v>48</v>
      </c>
      <c r="I923" s="10">
        <v>1</v>
      </c>
      <c r="J923" t="str">
        <f t="shared" si="70"/>
        <v>Near</v>
      </c>
      <c r="K923">
        <v>4</v>
      </c>
      <c r="L923" t="s">
        <v>53</v>
      </c>
      <c r="M923">
        <v>4</v>
      </c>
      <c r="N923">
        <v>3</v>
      </c>
      <c r="O923">
        <v>1</v>
      </c>
      <c r="P923" t="s">
        <v>51</v>
      </c>
      <c r="Q923">
        <v>3</v>
      </c>
      <c r="R923" s="11">
        <v>791</v>
      </c>
      <c r="S923" s="14">
        <v>44</v>
      </c>
      <c r="T923" s="13">
        <v>2154</v>
      </c>
      <c r="U923" s="13">
        <f t="shared" si="71"/>
        <v>25848</v>
      </c>
      <c r="V923" s="14">
        <v>6842</v>
      </c>
      <c r="W923">
        <v>0</v>
      </c>
      <c r="X923" s="8" t="s">
        <v>38</v>
      </c>
      <c r="Y923" s="15">
        <v>0.11</v>
      </c>
      <c r="Z923">
        <v>3</v>
      </c>
      <c r="AA923">
        <v>3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 t="str">
        <f t="shared" si="72"/>
        <v>0-3</v>
      </c>
      <c r="AI923">
        <v>0</v>
      </c>
      <c r="AJ923" t="str">
        <f t="shared" si="73"/>
        <v>0-2</v>
      </c>
      <c r="AK923">
        <v>2</v>
      </c>
    </row>
    <row r="924" spans="1:37" x14ac:dyDescent="0.25">
      <c r="A924" s="8">
        <v>923</v>
      </c>
      <c r="B924" t="s">
        <v>44</v>
      </c>
      <c r="C924" t="s">
        <v>54</v>
      </c>
      <c r="D924" s="8">
        <v>44</v>
      </c>
      <c r="E924" t="str">
        <f t="shared" si="74"/>
        <v>36-45</v>
      </c>
      <c r="F924" t="s">
        <v>46</v>
      </c>
      <c r="G924" t="s">
        <v>39</v>
      </c>
      <c r="H924" s="8" t="s">
        <v>48</v>
      </c>
      <c r="I924" s="10">
        <v>4</v>
      </c>
      <c r="J924" t="str">
        <f t="shared" si="70"/>
        <v>Near</v>
      </c>
      <c r="K924">
        <v>2</v>
      </c>
      <c r="L924" t="s">
        <v>41</v>
      </c>
      <c r="M924">
        <v>3</v>
      </c>
      <c r="N924">
        <v>4</v>
      </c>
      <c r="O924">
        <v>5</v>
      </c>
      <c r="P924" t="s">
        <v>59</v>
      </c>
      <c r="Q924">
        <v>1</v>
      </c>
      <c r="R924" s="11">
        <v>1199</v>
      </c>
      <c r="S924" s="14">
        <v>92</v>
      </c>
      <c r="T924" s="13">
        <v>19190</v>
      </c>
      <c r="U924" s="13">
        <f t="shared" si="71"/>
        <v>230280</v>
      </c>
      <c r="V924" s="14">
        <v>17477</v>
      </c>
      <c r="W924">
        <v>1</v>
      </c>
      <c r="X924" s="8" t="s">
        <v>46</v>
      </c>
      <c r="Y924" s="15">
        <v>0.14000000000000001</v>
      </c>
      <c r="Z924">
        <v>3</v>
      </c>
      <c r="AA924">
        <v>4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 t="str">
        <f t="shared" si="72"/>
        <v>8-11</v>
      </c>
      <c r="AI924">
        <v>14</v>
      </c>
      <c r="AJ924" t="str">
        <f t="shared" si="73"/>
        <v>12-15</v>
      </c>
      <c r="AK924">
        <v>13</v>
      </c>
    </row>
    <row r="925" spans="1:37" x14ac:dyDescent="0.25">
      <c r="A925" s="8">
        <v>924</v>
      </c>
      <c r="B925" t="s">
        <v>44</v>
      </c>
      <c r="C925" t="s">
        <v>45</v>
      </c>
      <c r="D925" s="8">
        <v>34</v>
      </c>
      <c r="E925" t="str">
        <f t="shared" si="74"/>
        <v>26-35</v>
      </c>
      <c r="F925" t="s">
        <v>46</v>
      </c>
      <c r="G925" t="s">
        <v>47</v>
      </c>
      <c r="H925" s="8" t="s">
        <v>64</v>
      </c>
      <c r="I925" s="10">
        <v>11</v>
      </c>
      <c r="J925" t="str">
        <f t="shared" si="70"/>
        <v>Moderate</v>
      </c>
      <c r="K925">
        <v>3</v>
      </c>
      <c r="L925" t="s">
        <v>41</v>
      </c>
      <c r="M925">
        <v>3</v>
      </c>
      <c r="N925">
        <v>2</v>
      </c>
      <c r="O925">
        <v>2</v>
      </c>
      <c r="P925" t="s">
        <v>64</v>
      </c>
      <c r="Q925">
        <v>2</v>
      </c>
      <c r="R925" s="11">
        <v>648</v>
      </c>
      <c r="S925" s="14">
        <v>56</v>
      </c>
      <c r="T925" s="13">
        <v>4490</v>
      </c>
      <c r="U925" s="13">
        <f t="shared" si="71"/>
        <v>53880</v>
      </c>
      <c r="V925" s="14">
        <v>21833</v>
      </c>
      <c r="W925">
        <v>4</v>
      </c>
      <c r="X925" s="8" t="s">
        <v>46</v>
      </c>
      <c r="Y925" s="15">
        <v>0.11</v>
      </c>
      <c r="Z925">
        <v>3</v>
      </c>
      <c r="AA925">
        <v>4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 t="str">
        <f t="shared" si="72"/>
        <v>8-11</v>
      </c>
      <c r="AI925">
        <v>1</v>
      </c>
      <c r="AJ925" t="str">
        <f t="shared" si="73"/>
        <v>0-2</v>
      </c>
      <c r="AK925">
        <v>8</v>
      </c>
    </row>
    <row r="926" spans="1:37" x14ac:dyDescent="0.25">
      <c r="A926" s="8">
        <v>925</v>
      </c>
      <c r="B926" t="s">
        <v>44</v>
      </c>
      <c r="C926" t="s">
        <v>45</v>
      </c>
      <c r="D926" s="8">
        <v>35</v>
      </c>
      <c r="E926" t="str">
        <f t="shared" si="74"/>
        <v>26-35</v>
      </c>
      <c r="F926" t="s">
        <v>46</v>
      </c>
      <c r="G926" t="s">
        <v>39</v>
      </c>
      <c r="H926" s="8" t="s">
        <v>48</v>
      </c>
      <c r="I926" s="10">
        <v>6</v>
      </c>
      <c r="J926" t="str">
        <f t="shared" si="70"/>
        <v>Moderate</v>
      </c>
      <c r="K926">
        <v>1</v>
      </c>
      <c r="L926" t="s">
        <v>41</v>
      </c>
      <c r="M926">
        <v>3</v>
      </c>
      <c r="N926">
        <v>3</v>
      </c>
      <c r="O926">
        <v>1</v>
      </c>
      <c r="P926" t="s">
        <v>49</v>
      </c>
      <c r="Q926">
        <v>3</v>
      </c>
      <c r="R926" s="11">
        <v>735</v>
      </c>
      <c r="S926" s="14">
        <v>66</v>
      </c>
      <c r="T926" s="13">
        <v>3506</v>
      </c>
      <c r="U926" s="13">
        <f t="shared" si="71"/>
        <v>42072</v>
      </c>
      <c r="V926" s="14">
        <v>6020</v>
      </c>
      <c r="W926">
        <v>0</v>
      </c>
      <c r="X926" s="8" t="s">
        <v>38</v>
      </c>
      <c r="Y926" s="15">
        <v>0.14000000000000001</v>
      </c>
      <c r="Z926">
        <v>3</v>
      </c>
      <c r="AA926">
        <v>4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 t="str">
        <f t="shared" si="72"/>
        <v>0-3</v>
      </c>
      <c r="AI926">
        <v>2</v>
      </c>
      <c r="AJ926" t="str">
        <f t="shared" si="73"/>
        <v>0-2</v>
      </c>
      <c r="AK926">
        <v>2</v>
      </c>
    </row>
    <row r="927" spans="1:37" x14ac:dyDescent="0.25">
      <c r="A927" s="8">
        <v>926</v>
      </c>
      <c r="B927" t="s">
        <v>52</v>
      </c>
      <c r="C927" t="s">
        <v>45</v>
      </c>
      <c r="D927" s="8">
        <v>42</v>
      </c>
      <c r="E927" t="str">
        <f t="shared" si="74"/>
        <v>36-45</v>
      </c>
      <c r="F927" t="s">
        <v>46</v>
      </c>
      <c r="G927" t="s">
        <v>39</v>
      </c>
      <c r="H927" s="8" t="s">
        <v>48</v>
      </c>
      <c r="I927" s="10">
        <v>7</v>
      </c>
      <c r="J927" t="str">
        <f t="shared" si="70"/>
        <v>Moderate</v>
      </c>
      <c r="K927">
        <v>4</v>
      </c>
      <c r="L927" t="s">
        <v>53</v>
      </c>
      <c r="M927">
        <v>2</v>
      </c>
      <c r="N927">
        <v>4</v>
      </c>
      <c r="O927">
        <v>2</v>
      </c>
      <c r="P927" t="s">
        <v>49</v>
      </c>
      <c r="Q927">
        <v>2</v>
      </c>
      <c r="R927" s="11">
        <v>603</v>
      </c>
      <c r="S927" s="14">
        <v>78</v>
      </c>
      <c r="T927" s="13">
        <v>2372</v>
      </c>
      <c r="U927" s="13">
        <f t="shared" si="71"/>
        <v>28464</v>
      </c>
      <c r="V927" s="14">
        <v>5628</v>
      </c>
      <c r="W927">
        <v>6</v>
      </c>
      <c r="X927" s="8" t="s">
        <v>38</v>
      </c>
      <c r="Y927" s="15">
        <v>0.16</v>
      </c>
      <c r="Z927">
        <v>3</v>
      </c>
      <c r="AA927">
        <v>4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 t="str">
        <f t="shared" si="72"/>
        <v>0-3</v>
      </c>
      <c r="AI927">
        <v>0</v>
      </c>
      <c r="AJ927" t="str">
        <f t="shared" si="73"/>
        <v>0-2</v>
      </c>
      <c r="AK927">
        <v>0</v>
      </c>
    </row>
    <row r="928" spans="1:37" x14ac:dyDescent="0.25">
      <c r="A928" s="8">
        <v>927</v>
      </c>
      <c r="B928" t="s">
        <v>52</v>
      </c>
      <c r="C928" t="s">
        <v>37</v>
      </c>
      <c r="D928" s="8">
        <v>43</v>
      </c>
      <c r="E928" t="str">
        <f t="shared" si="74"/>
        <v>36-45</v>
      </c>
      <c r="F928" t="s">
        <v>46</v>
      </c>
      <c r="G928" t="s">
        <v>39</v>
      </c>
      <c r="H928" s="8" t="s">
        <v>40</v>
      </c>
      <c r="I928" s="10">
        <v>4</v>
      </c>
      <c r="J928" t="str">
        <f t="shared" si="70"/>
        <v>Near</v>
      </c>
      <c r="K928">
        <v>4</v>
      </c>
      <c r="L928" t="s">
        <v>62</v>
      </c>
      <c r="M928">
        <v>4</v>
      </c>
      <c r="N928">
        <v>2</v>
      </c>
      <c r="O928">
        <v>3</v>
      </c>
      <c r="P928" t="s">
        <v>42</v>
      </c>
      <c r="Q928">
        <v>4</v>
      </c>
      <c r="R928" s="11">
        <v>531</v>
      </c>
      <c r="S928" s="14">
        <v>56</v>
      </c>
      <c r="T928" s="13">
        <v>10231</v>
      </c>
      <c r="U928" s="13">
        <f t="shared" si="71"/>
        <v>122772</v>
      </c>
      <c r="V928" s="14">
        <v>20364</v>
      </c>
      <c r="W928">
        <v>3</v>
      </c>
      <c r="X928" s="8" t="s">
        <v>46</v>
      </c>
      <c r="Y928" s="15">
        <v>0.14000000000000001</v>
      </c>
      <c r="Z928">
        <v>3</v>
      </c>
      <c r="AA928">
        <v>4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 t="str">
        <f t="shared" si="72"/>
        <v>4-7</v>
      </c>
      <c r="AI928">
        <v>15</v>
      </c>
      <c r="AJ928" t="str">
        <f t="shared" si="73"/>
        <v>12-15</v>
      </c>
      <c r="AK928">
        <v>17</v>
      </c>
    </row>
    <row r="929" spans="1:37" x14ac:dyDescent="0.25">
      <c r="A929" s="8">
        <v>928</v>
      </c>
      <c r="B929" t="s">
        <v>52</v>
      </c>
      <c r="C929" t="s">
        <v>37</v>
      </c>
      <c r="D929" s="8">
        <v>36</v>
      </c>
      <c r="E929" t="str">
        <f t="shared" si="74"/>
        <v>36-45</v>
      </c>
      <c r="F929" t="s">
        <v>46</v>
      </c>
      <c r="G929" t="s">
        <v>39</v>
      </c>
      <c r="H929" s="8" t="s">
        <v>48</v>
      </c>
      <c r="I929" s="10">
        <v>2</v>
      </c>
      <c r="J929" t="str">
        <f t="shared" si="70"/>
        <v>Near</v>
      </c>
      <c r="K929">
        <v>4</v>
      </c>
      <c r="L929" t="s">
        <v>41</v>
      </c>
      <c r="M929">
        <v>3</v>
      </c>
      <c r="N929">
        <v>3</v>
      </c>
      <c r="O929">
        <v>2</v>
      </c>
      <c r="P929" t="s">
        <v>55</v>
      </c>
      <c r="Q929">
        <v>2</v>
      </c>
      <c r="R929" s="11">
        <v>429</v>
      </c>
      <c r="S929" s="14">
        <v>53</v>
      </c>
      <c r="T929" s="13">
        <v>5410</v>
      </c>
      <c r="U929" s="13">
        <f t="shared" si="71"/>
        <v>64920</v>
      </c>
      <c r="V929" s="14">
        <v>2323</v>
      </c>
      <c r="W929">
        <v>9</v>
      </c>
      <c r="X929" s="8" t="s">
        <v>38</v>
      </c>
      <c r="Y929" s="15">
        <v>0.11</v>
      </c>
      <c r="Z929">
        <v>3</v>
      </c>
      <c r="AA929">
        <v>4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 t="str">
        <f t="shared" si="72"/>
        <v>12-15</v>
      </c>
      <c r="AI929">
        <v>5</v>
      </c>
      <c r="AJ929" t="str">
        <f t="shared" si="73"/>
        <v>3-5</v>
      </c>
      <c r="AK929">
        <v>12</v>
      </c>
    </row>
    <row r="930" spans="1:37" x14ac:dyDescent="0.25">
      <c r="A930" s="8">
        <v>929</v>
      </c>
      <c r="B930" t="s">
        <v>52</v>
      </c>
      <c r="C930" t="s">
        <v>45</v>
      </c>
      <c r="D930" s="8">
        <v>44</v>
      </c>
      <c r="E930" t="str">
        <f t="shared" si="74"/>
        <v>36-45</v>
      </c>
      <c r="F930" t="s">
        <v>38</v>
      </c>
      <c r="G930" t="s">
        <v>39</v>
      </c>
      <c r="H930" s="8" t="s">
        <v>48</v>
      </c>
      <c r="I930" s="10">
        <v>15</v>
      </c>
      <c r="J930" t="str">
        <f t="shared" si="70"/>
        <v>Moderate</v>
      </c>
      <c r="K930">
        <v>3</v>
      </c>
      <c r="L930" t="s">
        <v>53</v>
      </c>
      <c r="M930">
        <v>1</v>
      </c>
      <c r="N930">
        <v>3</v>
      </c>
      <c r="O930">
        <v>3</v>
      </c>
      <c r="P930" t="s">
        <v>56</v>
      </c>
      <c r="Q930">
        <v>4</v>
      </c>
      <c r="R930" s="11">
        <v>621</v>
      </c>
      <c r="S930" s="14">
        <v>73</v>
      </c>
      <c r="T930" s="13">
        <v>7978</v>
      </c>
      <c r="U930" s="13">
        <f t="shared" si="71"/>
        <v>95736</v>
      </c>
      <c r="V930" s="14">
        <v>14075</v>
      </c>
      <c r="W930">
        <v>1</v>
      </c>
      <c r="X930" s="8" t="s">
        <v>46</v>
      </c>
      <c r="Y930" s="15">
        <v>0.11</v>
      </c>
      <c r="Z930">
        <v>3</v>
      </c>
      <c r="AA930">
        <v>4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 t="str">
        <f t="shared" si="72"/>
        <v>4-7</v>
      </c>
      <c r="AI930">
        <v>0</v>
      </c>
      <c r="AJ930" t="str">
        <f t="shared" si="73"/>
        <v>0-2</v>
      </c>
      <c r="AK930">
        <v>5</v>
      </c>
    </row>
    <row r="931" spans="1:37" x14ac:dyDescent="0.25">
      <c r="A931" s="8">
        <v>930</v>
      </c>
      <c r="B931" t="s">
        <v>44</v>
      </c>
      <c r="C931" t="s">
        <v>45</v>
      </c>
      <c r="D931" s="8">
        <v>28</v>
      </c>
      <c r="E931" t="str">
        <f t="shared" si="74"/>
        <v>26-35</v>
      </c>
      <c r="F931" t="s">
        <v>46</v>
      </c>
      <c r="G931" t="s">
        <v>47</v>
      </c>
      <c r="H931" s="8" t="s">
        <v>48</v>
      </c>
      <c r="I931" s="10">
        <v>2</v>
      </c>
      <c r="J931" t="str">
        <f t="shared" si="70"/>
        <v>Near</v>
      </c>
      <c r="K931">
        <v>3</v>
      </c>
      <c r="L931" t="s">
        <v>41</v>
      </c>
      <c r="M931">
        <v>4</v>
      </c>
      <c r="N931">
        <v>2</v>
      </c>
      <c r="O931">
        <v>1</v>
      </c>
      <c r="P931" t="s">
        <v>51</v>
      </c>
      <c r="Q931">
        <v>4</v>
      </c>
      <c r="R931" s="11">
        <v>193</v>
      </c>
      <c r="S931" s="14">
        <v>52</v>
      </c>
      <c r="T931" s="13">
        <v>3867</v>
      </c>
      <c r="U931" s="13">
        <f t="shared" si="71"/>
        <v>46404</v>
      </c>
      <c r="V931" s="14">
        <v>14222</v>
      </c>
      <c r="W931">
        <v>1</v>
      </c>
      <c r="X931" s="8" t="s">
        <v>38</v>
      </c>
      <c r="Y931" s="15">
        <v>0.12</v>
      </c>
      <c r="Z931">
        <v>3</v>
      </c>
      <c r="AA931">
        <v>2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 t="str">
        <f t="shared" si="72"/>
        <v>0-3</v>
      </c>
      <c r="AI931">
        <v>2</v>
      </c>
      <c r="AJ931" t="str">
        <f t="shared" si="73"/>
        <v>0-2</v>
      </c>
      <c r="AK931">
        <v>2</v>
      </c>
    </row>
    <row r="932" spans="1:37" x14ac:dyDescent="0.25">
      <c r="A932" s="8">
        <v>931</v>
      </c>
      <c r="B932" t="s">
        <v>52</v>
      </c>
      <c r="C932" t="s">
        <v>37</v>
      </c>
      <c r="D932" s="8">
        <v>51</v>
      </c>
      <c r="E932" t="str">
        <f t="shared" si="74"/>
        <v>46-55</v>
      </c>
      <c r="F932" t="s">
        <v>46</v>
      </c>
      <c r="G932" t="s">
        <v>47</v>
      </c>
      <c r="H932" s="8" t="s">
        <v>48</v>
      </c>
      <c r="I932" s="10">
        <v>6</v>
      </c>
      <c r="J932" t="str">
        <f t="shared" si="70"/>
        <v>Moderate</v>
      </c>
      <c r="K932">
        <v>2</v>
      </c>
      <c r="L932" t="s">
        <v>53</v>
      </c>
      <c r="M932">
        <v>2</v>
      </c>
      <c r="N932">
        <v>2</v>
      </c>
      <c r="O932">
        <v>1</v>
      </c>
      <c r="P932" t="s">
        <v>51</v>
      </c>
      <c r="Q932">
        <v>3</v>
      </c>
      <c r="R932" s="11">
        <v>968</v>
      </c>
      <c r="S932" s="14">
        <v>40</v>
      </c>
      <c r="T932" s="13">
        <v>2838</v>
      </c>
      <c r="U932" s="13">
        <f t="shared" si="71"/>
        <v>34056</v>
      </c>
      <c r="V932" s="14">
        <v>4257</v>
      </c>
      <c r="W932">
        <v>0</v>
      </c>
      <c r="X932" s="8" t="s">
        <v>46</v>
      </c>
      <c r="Y932" s="15">
        <v>0.14000000000000001</v>
      </c>
      <c r="Z932">
        <v>3</v>
      </c>
      <c r="AA932">
        <v>2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 t="str">
        <f t="shared" si="72"/>
        <v>0-3</v>
      </c>
      <c r="AI932">
        <v>7</v>
      </c>
      <c r="AJ932" t="str">
        <f t="shared" si="73"/>
        <v>6-8</v>
      </c>
      <c r="AK932">
        <v>7</v>
      </c>
    </row>
    <row r="933" spans="1:37" x14ac:dyDescent="0.25">
      <c r="A933" s="8">
        <v>932</v>
      </c>
      <c r="B933" t="s">
        <v>52</v>
      </c>
      <c r="C933" t="s">
        <v>37</v>
      </c>
      <c r="D933" s="8">
        <v>30</v>
      </c>
      <c r="E933" t="str">
        <f t="shared" si="74"/>
        <v>26-35</v>
      </c>
      <c r="F933" t="s">
        <v>46</v>
      </c>
      <c r="G933" t="s">
        <v>58</v>
      </c>
      <c r="H933" s="8" t="s">
        <v>48</v>
      </c>
      <c r="I933" s="10">
        <v>9</v>
      </c>
      <c r="J933" t="str">
        <f t="shared" si="70"/>
        <v>Moderate</v>
      </c>
      <c r="K933">
        <v>2</v>
      </c>
      <c r="L933" t="s">
        <v>53</v>
      </c>
      <c r="M933">
        <v>3</v>
      </c>
      <c r="N933">
        <v>3</v>
      </c>
      <c r="O933">
        <v>2</v>
      </c>
      <c r="P933" t="s">
        <v>55</v>
      </c>
      <c r="Q933">
        <v>3</v>
      </c>
      <c r="R933" s="11">
        <v>879</v>
      </c>
      <c r="S933" s="14">
        <v>72</v>
      </c>
      <c r="T933" s="13">
        <v>4695</v>
      </c>
      <c r="U933" s="13">
        <f t="shared" si="71"/>
        <v>56340</v>
      </c>
      <c r="V933" s="14">
        <v>12858</v>
      </c>
      <c r="W933">
        <v>7</v>
      </c>
      <c r="X933" s="8" t="s">
        <v>38</v>
      </c>
      <c r="Y933" s="15">
        <v>0.18</v>
      </c>
      <c r="Z933">
        <v>3</v>
      </c>
      <c r="AA933">
        <v>3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 t="str">
        <f t="shared" si="72"/>
        <v>4-7</v>
      </c>
      <c r="AI933">
        <v>1</v>
      </c>
      <c r="AJ933" t="str">
        <f t="shared" si="73"/>
        <v>0-2</v>
      </c>
      <c r="AK933">
        <v>7</v>
      </c>
    </row>
    <row r="934" spans="1:37" x14ac:dyDescent="0.25">
      <c r="A934" s="8">
        <v>933</v>
      </c>
      <c r="B934" t="s">
        <v>52</v>
      </c>
      <c r="C934" t="s">
        <v>54</v>
      </c>
      <c r="D934" s="8">
        <v>29</v>
      </c>
      <c r="E934" t="str">
        <f t="shared" si="74"/>
        <v>26-35</v>
      </c>
      <c r="F934" t="s">
        <v>38</v>
      </c>
      <c r="G934" t="s">
        <v>39</v>
      </c>
      <c r="H934" s="8" t="s">
        <v>48</v>
      </c>
      <c r="I934" s="10">
        <v>7</v>
      </c>
      <c r="J934" t="str">
        <f t="shared" si="70"/>
        <v>Moderate</v>
      </c>
      <c r="K934">
        <v>3</v>
      </c>
      <c r="L934" t="s">
        <v>63</v>
      </c>
      <c r="M934">
        <v>2</v>
      </c>
      <c r="N934">
        <v>3</v>
      </c>
      <c r="O934">
        <v>1</v>
      </c>
      <c r="P934" t="s">
        <v>51</v>
      </c>
      <c r="Q934">
        <v>3</v>
      </c>
      <c r="R934" s="11">
        <v>806</v>
      </c>
      <c r="S934" s="14">
        <v>39</v>
      </c>
      <c r="T934" s="13">
        <v>3339</v>
      </c>
      <c r="U934" s="13">
        <f t="shared" si="71"/>
        <v>40068</v>
      </c>
      <c r="V934" s="14">
        <v>17285</v>
      </c>
      <c r="W934">
        <v>3</v>
      </c>
      <c r="X934" s="8" t="s">
        <v>38</v>
      </c>
      <c r="Y934" s="15">
        <v>0.13</v>
      </c>
      <c r="Z934">
        <v>3</v>
      </c>
      <c r="AA934">
        <v>1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 t="str">
        <f t="shared" si="72"/>
        <v>4-7</v>
      </c>
      <c r="AI934">
        <v>7</v>
      </c>
      <c r="AJ934" t="str">
        <f t="shared" si="73"/>
        <v>6-8</v>
      </c>
      <c r="AK934">
        <v>7</v>
      </c>
    </row>
    <row r="935" spans="1:37" x14ac:dyDescent="0.25">
      <c r="A935" s="8">
        <v>934</v>
      </c>
      <c r="B935" t="s">
        <v>44</v>
      </c>
      <c r="C935" t="s">
        <v>37</v>
      </c>
      <c r="D935" s="8">
        <v>28</v>
      </c>
      <c r="E935" t="str">
        <f t="shared" si="74"/>
        <v>26-35</v>
      </c>
      <c r="F935" t="s">
        <v>46</v>
      </c>
      <c r="G935" t="s">
        <v>39</v>
      </c>
      <c r="H935" s="8" t="s">
        <v>48</v>
      </c>
      <c r="I935" s="10">
        <v>1</v>
      </c>
      <c r="J935" t="str">
        <f t="shared" si="70"/>
        <v>Near</v>
      </c>
      <c r="K935">
        <v>3</v>
      </c>
      <c r="L935" t="s">
        <v>63</v>
      </c>
      <c r="M935">
        <v>4</v>
      </c>
      <c r="N935">
        <v>3</v>
      </c>
      <c r="O935">
        <v>1</v>
      </c>
      <c r="P935" t="s">
        <v>49</v>
      </c>
      <c r="Q935">
        <v>1</v>
      </c>
      <c r="R935" s="11">
        <v>640</v>
      </c>
      <c r="S935" s="14">
        <v>84</v>
      </c>
      <c r="T935" s="13">
        <v>2080</v>
      </c>
      <c r="U935" s="13">
        <f t="shared" si="71"/>
        <v>24960</v>
      </c>
      <c r="V935" s="14">
        <v>4732</v>
      </c>
      <c r="W935">
        <v>2</v>
      </c>
      <c r="X935" s="8" t="s">
        <v>46</v>
      </c>
      <c r="Y935" s="15">
        <v>0.11</v>
      </c>
      <c r="Z935">
        <v>3</v>
      </c>
      <c r="AA935">
        <v>2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 t="str">
        <f t="shared" si="72"/>
        <v>0-3</v>
      </c>
      <c r="AI935">
        <v>1</v>
      </c>
      <c r="AJ935" t="str">
        <f t="shared" si="73"/>
        <v>0-2</v>
      </c>
      <c r="AK935">
        <v>2</v>
      </c>
    </row>
    <row r="936" spans="1:37" x14ac:dyDescent="0.25">
      <c r="A936" s="8">
        <v>935</v>
      </c>
      <c r="B936" t="s">
        <v>52</v>
      </c>
      <c r="C936" t="s">
        <v>37</v>
      </c>
      <c r="D936" s="8">
        <v>25</v>
      </c>
      <c r="E936" t="str">
        <f t="shared" si="74"/>
        <v>26-35</v>
      </c>
      <c r="F936" t="s">
        <v>46</v>
      </c>
      <c r="G936" t="s">
        <v>39</v>
      </c>
      <c r="H936" s="8" t="s">
        <v>48</v>
      </c>
      <c r="I936" s="10">
        <v>1</v>
      </c>
      <c r="J936" t="str">
        <f t="shared" si="70"/>
        <v>Near</v>
      </c>
      <c r="K936">
        <v>3</v>
      </c>
      <c r="L936" t="s">
        <v>53</v>
      </c>
      <c r="M936">
        <v>4</v>
      </c>
      <c r="N936">
        <v>3</v>
      </c>
      <c r="O936">
        <v>1</v>
      </c>
      <c r="P936" t="s">
        <v>49</v>
      </c>
      <c r="Q936">
        <v>2</v>
      </c>
      <c r="R936" s="11">
        <v>266</v>
      </c>
      <c r="S936" s="14">
        <v>40</v>
      </c>
      <c r="T936" s="13">
        <v>2096</v>
      </c>
      <c r="U936" s="13">
        <f t="shared" si="71"/>
        <v>25152</v>
      </c>
      <c r="V936" s="14">
        <v>18830</v>
      </c>
      <c r="W936">
        <v>1</v>
      </c>
      <c r="X936" s="8" t="s">
        <v>46</v>
      </c>
      <c r="Y936" s="15">
        <v>0.18</v>
      </c>
      <c r="Z936">
        <v>3</v>
      </c>
      <c r="AA936">
        <v>4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 t="str">
        <f t="shared" si="72"/>
        <v>0-3</v>
      </c>
      <c r="AI936">
        <v>2</v>
      </c>
      <c r="AJ936" t="str">
        <f t="shared" si="73"/>
        <v>0-2</v>
      </c>
      <c r="AK936">
        <v>1</v>
      </c>
    </row>
    <row r="937" spans="1:37" x14ac:dyDescent="0.25">
      <c r="A937" s="8">
        <v>936</v>
      </c>
      <c r="B937" t="s">
        <v>44</v>
      </c>
      <c r="C937" t="s">
        <v>45</v>
      </c>
      <c r="D937" s="8">
        <v>32</v>
      </c>
      <c r="E937" t="str">
        <f t="shared" si="74"/>
        <v>26-35</v>
      </c>
      <c r="F937" t="s">
        <v>46</v>
      </c>
      <c r="G937" t="s">
        <v>39</v>
      </c>
      <c r="H937" s="8" t="s">
        <v>40</v>
      </c>
      <c r="I937" s="10">
        <v>8</v>
      </c>
      <c r="J937" t="str">
        <f t="shared" si="70"/>
        <v>Moderate</v>
      </c>
      <c r="K937">
        <v>3</v>
      </c>
      <c r="L937" t="s">
        <v>53</v>
      </c>
      <c r="M937">
        <v>3</v>
      </c>
      <c r="N937">
        <v>4</v>
      </c>
      <c r="O937">
        <v>2</v>
      </c>
      <c r="P937" t="s">
        <v>42</v>
      </c>
      <c r="Q937">
        <v>4</v>
      </c>
      <c r="R937" s="11">
        <v>604</v>
      </c>
      <c r="S937" s="14">
        <v>56</v>
      </c>
      <c r="T937" s="13">
        <v>6209</v>
      </c>
      <c r="U937" s="13">
        <f t="shared" si="71"/>
        <v>74508</v>
      </c>
      <c r="V937" s="14">
        <v>11693</v>
      </c>
      <c r="W937">
        <v>1</v>
      </c>
      <c r="X937" s="8" t="s">
        <v>46</v>
      </c>
      <c r="Y937" s="15">
        <v>0.15</v>
      </c>
      <c r="Z937">
        <v>3</v>
      </c>
      <c r="AA937">
        <v>3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 t="str">
        <f t="shared" si="72"/>
        <v>4-7</v>
      </c>
      <c r="AI937">
        <v>0</v>
      </c>
      <c r="AJ937" t="str">
        <f t="shared" si="73"/>
        <v>0-2</v>
      </c>
      <c r="AK937">
        <v>8</v>
      </c>
    </row>
    <row r="938" spans="1:37" x14ac:dyDescent="0.25">
      <c r="A938" s="8">
        <v>937</v>
      </c>
      <c r="B938" t="s">
        <v>52</v>
      </c>
      <c r="C938" t="s">
        <v>37</v>
      </c>
      <c r="D938" s="8">
        <v>45</v>
      </c>
      <c r="E938" t="str">
        <f t="shared" si="74"/>
        <v>36-45</v>
      </c>
      <c r="F938" t="s">
        <v>46</v>
      </c>
      <c r="G938" t="s">
        <v>47</v>
      </c>
      <c r="H938" s="8" t="s">
        <v>48</v>
      </c>
      <c r="I938" s="10">
        <v>25</v>
      </c>
      <c r="J938" t="str">
        <f t="shared" si="70"/>
        <v>Far</v>
      </c>
      <c r="K938">
        <v>3</v>
      </c>
      <c r="L938" t="s">
        <v>53</v>
      </c>
      <c r="M938">
        <v>2</v>
      </c>
      <c r="N938">
        <v>3</v>
      </c>
      <c r="O938">
        <v>5</v>
      </c>
      <c r="P938" t="s">
        <v>59</v>
      </c>
      <c r="Q938">
        <v>2</v>
      </c>
      <c r="R938" s="11">
        <v>364</v>
      </c>
      <c r="S938" s="14">
        <v>83</v>
      </c>
      <c r="T938" s="13">
        <v>18061</v>
      </c>
      <c r="U938" s="13">
        <f t="shared" si="71"/>
        <v>216732</v>
      </c>
      <c r="V938" s="14">
        <v>13035</v>
      </c>
      <c r="W938">
        <v>3</v>
      </c>
      <c r="X938" s="8" t="s">
        <v>46</v>
      </c>
      <c r="Y938" s="15">
        <v>0.22</v>
      </c>
      <c r="Z938">
        <v>4</v>
      </c>
      <c r="AA938">
        <v>3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 t="str">
        <f t="shared" si="72"/>
        <v>0-3</v>
      </c>
      <c r="AI938">
        <v>0</v>
      </c>
      <c r="AJ938" t="str">
        <f t="shared" si="73"/>
        <v>0-2</v>
      </c>
      <c r="AK938">
        <v>0</v>
      </c>
    </row>
    <row r="939" spans="1:37" x14ac:dyDescent="0.25">
      <c r="A939" s="8">
        <v>938</v>
      </c>
      <c r="B939" t="s">
        <v>52</v>
      </c>
      <c r="C939" t="s">
        <v>54</v>
      </c>
      <c r="D939" s="8">
        <v>39</v>
      </c>
      <c r="E939" t="str">
        <f t="shared" si="74"/>
        <v>36-45</v>
      </c>
      <c r="F939" t="s">
        <v>46</v>
      </c>
      <c r="G939" t="s">
        <v>39</v>
      </c>
      <c r="H939" s="8" t="s">
        <v>48</v>
      </c>
      <c r="I939" s="10">
        <v>13</v>
      </c>
      <c r="J939" t="str">
        <f t="shared" si="70"/>
        <v>Moderate</v>
      </c>
      <c r="K939">
        <v>4</v>
      </c>
      <c r="L939" t="s">
        <v>53</v>
      </c>
      <c r="M939">
        <v>3</v>
      </c>
      <c r="N939">
        <v>2</v>
      </c>
      <c r="O939">
        <v>4</v>
      </c>
      <c r="P939" t="s">
        <v>59</v>
      </c>
      <c r="Q939">
        <v>2</v>
      </c>
      <c r="R939" s="11">
        <v>412</v>
      </c>
      <c r="S939" s="14">
        <v>94</v>
      </c>
      <c r="T939" s="13">
        <v>17123</v>
      </c>
      <c r="U939" s="13">
        <f t="shared" si="71"/>
        <v>205476</v>
      </c>
      <c r="V939" s="14">
        <v>17334</v>
      </c>
      <c r="W939">
        <v>6</v>
      </c>
      <c r="X939" s="8" t="s">
        <v>38</v>
      </c>
      <c r="Y939" s="15">
        <v>0.13</v>
      </c>
      <c r="Z939">
        <v>3</v>
      </c>
      <c r="AA939">
        <v>4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 t="str">
        <f t="shared" si="72"/>
        <v>8-11</v>
      </c>
      <c r="AI939">
        <v>15</v>
      </c>
      <c r="AJ939" t="str">
        <f t="shared" si="73"/>
        <v>12-15</v>
      </c>
      <c r="AK939">
        <v>2</v>
      </c>
    </row>
    <row r="940" spans="1:37" x14ac:dyDescent="0.25">
      <c r="A940" s="8">
        <v>939</v>
      </c>
      <c r="B940" t="s">
        <v>44</v>
      </c>
      <c r="C940" t="s">
        <v>54</v>
      </c>
      <c r="D940" s="8">
        <v>58</v>
      </c>
      <c r="E940" t="str">
        <f t="shared" si="74"/>
        <v>55+</v>
      </c>
      <c r="F940" t="s">
        <v>46</v>
      </c>
      <c r="G940" t="s">
        <v>39</v>
      </c>
      <c r="H940" s="8" t="s">
        <v>48</v>
      </c>
      <c r="I940" s="10">
        <v>23</v>
      </c>
      <c r="J940" t="str">
        <f t="shared" si="70"/>
        <v>Far</v>
      </c>
      <c r="K940">
        <v>4</v>
      </c>
      <c r="L940" t="s">
        <v>41</v>
      </c>
      <c r="M940">
        <v>1</v>
      </c>
      <c r="N940">
        <v>3</v>
      </c>
      <c r="O940">
        <v>1</v>
      </c>
      <c r="P940" t="s">
        <v>49</v>
      </c>
      <c r="Q940">
        <v>3</v>
      </c>
      <c r="R940" s="11">
        <v>848</v>
      </c>
      <c r="S940" s="14">
        <v>88</v>
      </c>
      <c r="T940" s="13">
        <v>2372</v>
      </c>
      <c r="U940" s="13">
        <f t="shared" si="71"/>
        <v>28464</v>
      </c>
      <c r="V940" s="14">
        <v>26076</v>
      </c>
      <c r="W940">
        <v>1</v>
      </c>
      <c r="X940" s="8" t="s">
        <v>46</v>
      </c>
      <c r="Y940" s="15">
        <v>0.12</v>
      </c>
      <c r="Z940">
        <v>3</v>
      </c>
      <c r="AA940">
        <v>4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 t="str">
        <f t="shared" si="72"/>
        <v>0-3</v>
      </c>
      <c r="AI940">
        <v>2</v>
      </c>
      <c r="AJ940" t="str">
        <f t="shared" si="73"/>
        <v>0-2</v>
      </c>
      <c r="AK940">
        <v>2</v>
      </c>
    </row>
    <row r="941" spans="1:37" x14ac:dyDescent="0.25">
      <c r="A941" s="8">
        <v>940</v>
      </c>
      <c r="B941" t="s">
        <v>44</v>
      </c>
      <c r="C941" t="s">
        <v>45</v>
      </c>
      <c r="D941" s="8">
        <v>32</v>
      </c>
      <c r="E941" t="str">
        <f t="shared" si="74"/>
        <v>26-35</v>
      </c>
      <c r="F941" t="s">
        <v>38</v>
      </c>
      <c r="G941" t="s">
        <v>39</v>
      </c>
      <c r="H941" s="8" t="s">
        <v>48</v>
      </c>
      <c r="I941" s="10">
        <v>7</v>
      </c>
      <c r="J941" t="str">
        <f t="shared" si="70"/>
        <v>Moderate</v>
      </c>
      <c r="K941">
        <v>2</v>
      </c>
      <c r="L941" t="s">
        <v>41</v>
      </c>
      <c r="M941">
        <v>4</v>
      </c>
      <c r="N941">
        <v>3</v>
      </c>
      <c r="O941">
        <v>2</v>
      </c>
      <c r="P941" t="s">
        <v>51</v>
      </c>
      <c r="Q941">
        <v>3</v>
      </c>
      <c r="R941" s="11">
        <v>1089</v>
      </c>
      <c r="S941" s="14">
        <v>79</v>
      </c>
      <c r="T941" s="13">
        <v>4883</v>
      </c>
      <c r="U941" s="13">
        <f t="shared" si="71"/>
        <v>58596</v>
      </c>
      <c r="V941" s="14">
        <v>22845</v>
      </c>
      <c r="W941">
        <v>1</v>
      </c>
      <c r="X941" s="8" t="s">
        <v>46</v>
      </c>
      <c r="Y941" s="15">
        <v>0.18</v>
      </c>
      <c r="Z941">
        <v>3</v>
      </c>
      <c r="AA941">
        <v>1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 t="str">
        <f t="shared" si="72"/>
        <v>4-7</v>
      </c>
      <c r="AI941">
        <v>1</v>
      </c>
      <c r="AJ941" t="str">
        <f t="shared" si="73"/>
        <v>0-2</v>
      </c>
      <c r="AK941">
        <v>1</v>
      </c>
    </row>
    <row r="942" spans="1:37" x14ac:dyDescent="0.25">
      <c r="A942" s="8">
        <v>941</v>
      </c>
      <c r="B942" t="s">
        <v>44</v>
      </c>
      <c r="C942" t="s">
        <v>37</v>
      </c>
      <c r="D942" s="8">
        <v>39</v>
      </c>
      <c r="E942" t="str">
        <f t="shared" si="74"/>
        <v>36-45</v>
      </c>
      <c r="F942" t="s">
        <v>38</v>
      </c>
      <c r="G942" t="s">
        <v>39</v>
      </c>
      <c r="H942" s="8" t="s">
        <v>48</v>
      </c>
      <c r="I942" s="10">
        <v>23</v>
      </c>
      <c r="J942" t="str">
        <f t="shared" si="70"/>
        <v>Far</v>
      </c>
      <c r="K942">
        <v>3</v>
      </c>
      <c r="L942" t="s">
        <v>53</v>
      </c>
      <c r="M942">
        <v>3</v>
      </c>
      <c r="N942">
        <v>3</v>
      </c>
      <c r="O942">
        <v>1</v>
      </c>
      <c r="P942" t="s">
        <v>49</v>
      </c>
      <c r="Q942">
        <v>1</v>
      </c>
      <c r="R942" s="11">
        <v>360</v>
      </c>
      <c r="S942" s="14">
        <v>93</v>
      </c>
      <c r="T942" s="13">
        <v>3904</v>
      </c>
      <c r="U942" s="13">
        <f t="shared" si="71"/>
        <v>46848</v>
      </c>
      <c r="V942" s="14">
        <v>22154</v>
      </c>
      <c r="W942">
        <v>0</v>
      </c>
      <c r="X942" s="8" t="s">
        <v>46</v>
      </c>
      <c r="Y942" s="15">
        <v>0.13</v>
      </c>
      <c r="Z942">
        <v>3</v>
      </c>
      <c r="AA942">
        <v>1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 t="str">
        <f t="shared" si="72"/>
        <v>0-3</v>
      </c>
      <c r="AI942">
        <v>0</v>
      </c>
      <c r="AJ942" t="str">
        <f t="shared" si="73"/>
        <v>0-2</v>
      </c>
      <c r="AK942">
        <v>3</v>
      </c>
    </row>
    <row r="943" spans="1:37" x14ac:dyDescent="0.25">
      <c r="A943" s="8">
        <v>942</v>
      </c>
      <c r="B943" t="s">
        <v>52</v>
      </c>
      <c r="C943" t="s">
        <v>45</v>
      </c>
      <c r="D943" s="8">
        <v>30</v>
      </c>
      <c r="E943" t="str">
        <f t="shared" si="74"/>
        <v>26-35</v>
      </c>
      <c r="F943" t="s">
        <v>46</v>
      </c>
      <c r="G943" t="s">
        <v>39</v>
      </c>
      <c r="H943" s="8" t="s">
        <v>48</v>
      </c>
      <c r="I943" s="10">
        <v>6</v>
      </c>
      <c r="J943" t="str">
        <f t="shared" si="70"/>
        <v>Moderate</v>
      </c>
      <c r="K943">
        <v>3</v>
      </c>
      <c r="L943" t="s">
        <v>63</v>
      </c>
      <c r="M943">
        <v>1</v>
      </c>
      <c r="N943">
        <v>2</v>
      </c>
      <c r="O943">
        <v>2</v>
      </c>
      <c r="P943" t="s">
        <v>51</v>
      </c>
      <c r="Q943">
        <v>4</v>
      </c>
      <c r="R943" s="11">
        <v>1138</v>
      </c>
      <c r="S943" s="14">
        <v>48</v>
      </c>
      <c r="T943" s="13">
        <v>4627</v>
      </c>
      <c r="U943" s="13">
        <f t="shared" si="71"/>
        <v>55524</v>
      </c>
      <c r="V943" s="14">
        <v>23631</v>
      </c>
      <c r="W943">
        <v>0</v>
      </c>
      <c r="X943" s="8" t="s">
        <v>46</v>
      </c>
      <c r="Y943" s="15">
        <v>0.12</v>
      </c>
      <c r="Z943">
        <v>3</v>
      </c>
      <c r="AA943">
        <v>1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 t="str">
        <f t="shared" si="72"/>
        <v>0-3</v>
      </c>
      <c r="AI943">
        <v>6</v>
      </c>
      <c r="AJ943" t="str">
        <f t="shared" si="73"/>
        <v>6-8</v>
      </c>
      <c r="AK943">
        <v>7</v>
      </c>
    </row>
    <row r="944" spans="1:37" x14ac:dyDescent="0.25">
      <c r="A944" s="8">
        <v>943</v>
      </c>
      <c r="B944" t="s">
        <v>52</v>
      </c>
      <c r="C944" t="s">
        <v>45</v>
      </c>
      <c r="D944" s="8">
        <v>36</v>
      </c>
      <c r="E944" t="str">
        <f t="shared" si="74"/>
        <v>36-45</v>
      </c>
      <c r="F944" t="s">
        <v>46</v>
      </c>
      <c r="G944" t="s">
        <v>39</v>
      </c>
      <c r="H944" s="8" t="s">
        <v>48</v>
      </c>
      <c r="I944" s="10">
        <v>10</v>
      </c>
      <c r="J944" t="str">
        <f t="shared" si="70"/>
        <v>Moderate</v>
      </c>
      <c r="K944">
        <v>4</v>
      </c>
      <c r="L944" t="s">
        <v>63</v>
      </c>
      <c r="M944">
        <v>4</v>
      </c>
      <c r="N944">
        <v>3</v>
      </c>
      <c r="O944">
        <v>3</v>
      </c>
      <c r="P944" t="s">
        <v>56</v>
      </c>
      <c r="Q944">
        <v>3</v>
      </c>
      <c r="R944" s="11">
        <v>325</v>
      </c>
      <c r="S944" s="14">
        <v>63</v>
      </c>
      <c r="T944" s="13">
        <v>7094</v>
      </c>
      <c r="U944" s="13">
        <f t="shared" si="71"/>
        <v>85128</v>
      </c>
      <c r="V944" s="14">
        <v>5747</v>
      </c>
      <c r="W944">
        <v>3</v>
      </c>
      <c r="X944" s="8" t="s">
        <v>46</v>
      </c>
      <c r="Y944" s="15">
        <v>0.12</v>
      </c>
      <c r="Z944">
        <v>3</v>
      </c>
      <c r="AA944">
        <v>1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 t="str">
        <f t="shared" si="72"/>
        <v>4-7</v>
      </c>
      <c r="AI944">
        <v>1</v>
      </c>
      <c r="AJ944" t="str">
        <f t="shared" si="73"/>
        <v>0-2</v>
      </c>
      <c r="AK944">
        <v>7</v>
      </c>
    </row>
    <row r="945" spans="1:37" x14ac:dyDescent="0.25">
      <c r="A945" s="8">
        <v>944</v>
      </c>
      <c r="B945" t="s">
        <v>52</v>
      </c>
      <c r="C945" t="s">
        <v>37</v>
      </c>
      <c r="D945" s="8">
        <v>46</v>
      </c>
      <c r="E945" t="str">
        <f t="shared" si="74"/>
        <v>46-55</v>
      </c>
      <c r="F945" t="s">
        <v>46</v>
      </c>
      <c r="G945" t="s">
        <v>39</v>
      </c>
      <c r="H945" s="8" t="s">
        <v>64</v>
      </c>
      <c r="I945" s="10">
        <v>1</v>
      </c>
      <c r="J945" t="str">
        <f t="shared" si="70"/>
        <v>Near</v>
      </c>
      <c r="K945">
        <v>2</v>
      </c>
      <c r="L945" t="s">
        <v>41</v>
      </c>
      <c r="M945">
        <v>4</v>
      </c>
      <c r="N945">
        <v>3</v>
      </c>
      <c r="O945">
        <v>1</v>
      </c>
      <c r="P945" t="s">
        <v>64</v>
      </c>
      <c r="Q945">
        <v>1</v>
      </c>
      <c r="R945" s="11">
        <v>991</v>
      </c>
      <c r="S945" s="14">
        <v>44</v>
      </c>
      <c r="T945" s="13">
        <v>3423</v>
      </c>
      <c r="U945" s="13">
        <f t="shared" si="71"/>
        <v>41076</v>
      </c>
      <c r="V945" s="14">
        <v>22957</v>
      </c>
      <c r="W945">
        <v>6</v>
      </c>
      <c r="X945" s="8" t="s">
        <v>46</v>
      </c>
      <c r="Y945" s="15">
        <v>0.12</v>
      </c>
      <c r="Z945">
        <v>3</v>
      </c>
      <c r="AA945">
        <v>3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 t="str">
        <f t="shared" si="72"/>
        <v>4-7</v>
      </c>
      <c r="AI945">
        <v>5</v>
      </c>
      <c r="AJ945" t="str">
        <f t="shared" si="73"/>
        <v>3-5</v>
      </c>
      <c r="AK945">
        <v>7</v>
      </c>
    </row>
    <row r="946" spans="1:37" x14ac:dyDescent="0.25">
      <c r="A946" s="8">
        <v>945</v>
      </c>
      <c r="B946" t="s">
        <v>52</v>
      </c>
      <c r="C946" t="s">
        <v>45</v>
      </c>
      <c r="D946" s="8">
        <v>28</v>
      </c>
      <c r="E946" t="str">
        <f t="shared" si="74"/>
        <v>26-35</v>
      </c>
      <c r="F946" t="s">
        <v>46</v>
      </c>
      <c r="G946" t="s">
        <v>58</v>
      </c>
      <c r="H946" s="8" t="s">
        <v>48</v>
      </c>
      <c r="I946" s="10">
        <v>1</v>
      </c>
      <c r="J946" t="str">
        <f t="shared" si="70"/>
        <v>Near</v>
      </c>
      <c r="K946">
        <v>3</v>
      </c>
      <c r="L946" t="s">
        <v>41</v>
      </c>
      <c r="M946">
        <v>3</v>
      </c>
      <c r="N946">
        <v>1</v>
      </c>
      <c r="O946">
        <v>2</v>
      </c>
      <c r="P946" t="s">
        <v>51</v>
      </c>
      <c r="Q946">
        <v>4</v>
      </c>
      <c r="R946" s="11">
        <v>1476</v>
      </c>
      <c r="S946" s="14">
        <v>55</v>
      </c>
      <c r="T946" s="13">
        <v>6674</v>
      </c>
      <c r="U946" s="13">
        <f t="shared" si="71"/>
        <v>80088</v>
      </c>
      <c r="V946" s="14">
        <v>16392</v>
      </c>
      <c r="W946">
        <v>0</v>
      </c>
      <c r="X946" s="8" t="s">
        <v>46</v>
      </c>
      <c r="Y946" s="15">
        <v>0.11</v>
      </c>
      <c r="Z946">
        <v>3</v>
      </c>
      <c r="AA946">
        <v>1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 t="str">
        <f t="shared" si="72"/>
        <v>8-11</v>
      </c>
      <c r="AI946">
        <v>7</v>
      </c>
      <c r="AJ946" t="str">
        <f t="shared" si="73"/>
        <v>6-8</v>
      </c>
      <c r="AK946">
        <v>5</v>
      </c>
    </row>
    <row r="947" spans="1:37" x14ac:dyDescent="0.25">
      <c r="A947" s="8">
        <v>946</v>
      </c>
      <c r="B947" t="s">
        <v>52</v>
      </c>
      <c r="C947" t="s">
        <v>45</v>
      </c>
      <c r="D947" s="8">
        <v>50</v>
      </c>
      <c r="E947" t="str">
        <f t="shared" si="74"/>
        <v>46-55</v>
      </c>
      <c r="F947" t="s">
        <v>46</v>
      </c>
      <c r="G947" t="s">
        <v>39</v>
      </c>
      <c r="H947" s="8" t="s">
        <v>48</v>
      </c>
      <c r="I947" s="10">
        <v>28</v>
      </c>
      <c r="J947" t="str">
        <f t="shared" si="70"/>
        <v>Far</v>
      </c>
      <c r="K947">
        <v>3</v>
      </c>
      <c r="L947" t="s">
        <v>41</v>
      </c>
      <c r="M947">
        <v>4</v>
      </c>
      <c r="N947">
        <v>3</v>
      </c>
      <c r="O947">
        <v>4</v>
      </c>
      <c r="P947" t="s">
        <v>61</v>
      </c>
      <c r="Q947">
        <v>1</v>
      </c>
      <c r="R947" s="11">
        <v>1322</v>
      </c>
      <c r="S947" s="14">
        <v>43</v>
      </c>
      <c r="T947" s="13">
        <v>16880</v>
      </c>
      <c r="U947" s="13">
        <f t="shared" si="71"/>
        <v>202560</v>
      </c>
      <c r="V947" s="14">
        <v>22422</v>
      </c>
      <c r="W947">
        <v>4</v>
      </c>
      <c r="X947" s="8" t="s">
        <v>38</v>
      </c>
      <c r="Y947" s="15">
        <v>0.11</v>
      </c>
      <c r="Z947">
        <v>3</v>
      </c>
      <c r="AA947">
        <v>2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 t="str">
        <f t="shared" si="72"/>
        <v>0-3</v>
      </c>
      <c r="AI947">
        <v>1</v>
      </c>
      <c r="AJ947" t="str">
        <f t="shared" si="73"/>
        <v>0-2</v>
      </c>
      <c r="AK947">
        <v>2</v>
      </c>
    </row>
    <row r="948" spans="1:37" x14ac:dyDescent="0.25">
      <c r="A948" s="8">
        <v>947</v>
      </c>
      <c r="B948" t="s">
        <v>44</v>
      </c>
      <c r="C948" t="s">
        <v>37</v>
      </c>
      <c r="D948" s="8">
        <v>40</v>
      </c>
      <c r="E948" t="str">
        <f t="shared" si="74"/>
        <v>36-45</v>
      </c>
      <c r="F948" t="s">
        <v>38</v>
      </c>
      <c r="G948" t="s">
        <v>39</v>
      </c>
      <c r="H948" s="8" t="s">
        <v>40</v>
      </c>
      <c r="I948" s="10">
        <v>25</v>
      </c>
      <c r="J948" t="str">
        <f t="shared" si="70"/>
        <v>Far</v>
      </c>
      <c r="K948">
        <v>4</v>
      </c>
      <c r="L948" t="s">
        <v>62</v>
      </c>
      <c r="M948">
        <v>4</v>
      </c>
      <c r="N948">
        <v>2</v>
      </c>
      <c r="O948">
        <v>3</v>
      </c>
      <c r="P948" t="s">
        <v>42</v>
      </c>
      <c r="Q948">
        <v>2</v>
      </c>
      <c r="R948" s="11">
        <v>299</v>
      </c>
      <c r="S948" s="14">
        <v>57</v>
      </c>
      <c r="T948" s="13">
        <v>9094</v>
      </c>
      <c r="U948" s="13">
        <f t="shared" si="71"/>
        <v>109128</v>
      </c>
      <c r="V948" s="14">
        <v>17235</v>
      </c>
      <c r="W948">
        <v>2</v>
      </c>
      <c r="X948" s="8" t="s">
        <v>38</v>
      </c>
      <c r="Y948" s="15">
        <v>0.12</v>
      </c>
      <c r="Z948">
        <v>3</v>
      </c>
      <c r="AA948">
        <v>3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 t="str">
        <f t="shared" si="72"/>
        <v>4-7</v>
      </c>
      <c r="AI948">
        <v>1</v>
      </c>
      <c r="AJ948" t="str">
        <f t="shared" si="73"/>
        <v>0-2</v>
      </c>
      <c r="AK948">
        <v>0</v>
      </c>
    </row>
    <row r="949" spans="1:37" x14ac:dyDescent="0.25">
      <c r="A949" s="8">
        <v>948</v>
      </c>
      <c r="B949" t="s">
        <v>44</v>
      </c>
      <c r="C949" t="s">
        <v>37</v>
      </c>
      <c r="D949" s="8">
        <v>52</v>
      </c>
      <c r="E949" t="str">
        <f t="shared" si="74"/>
        <v>46-55</v>
      </c>
      <c r="F949" t="s">
        <v>38</v>
      </c>
      <c r="G949" t="s">
        <v>39</v>
      </c>
      <c r="H949" s="8" t="s">
        <v>40</v>
      </c>
      <c r="I949" s="10">
        <v>5</v>
      </c>
      <c r="J949" t="str">
        <f t="shared" si="70"/>
        <v>Near</v>
      </c>
      <c r="K949">
        <v>3</v>
      </c>
      <c r="L949" t="s">
        <v>41</v>
      </c>
      <c r="M949">
        <v>2</v>
      </c>
      <c r="N949">
        <v>3</v>
      </c>
      <c r="O949">
        <v>3</v>
      </c>
      <c r="P949" t="s">
        <v>42</v>
      </c>
      <c r="Q949">
        <v>2</v>
      </c>
      <c r="R949" s="11">
        <v>1030</v>
      </c>
      <c r="S949" s="14">
        <v>64</v>
      </c>
      <c r="T949" s="13">
        <v>8446</v>
      </c>
      <c r="U949" s="13">
        <f t="shared" si="71"/>
        <v>101352</v>
      </c>
      <c r="V949" s="14">
        <v>21534</v>
      </c>
      <c r="W949">
        <v>9</v>
      </c>
      <c r="X949" s="8" t="s">
        <v>38</v>
      </c>
      <c r="Y949" s="15">
        <v>0.19</v>
      </c>
      <c r="Z949">
        <v>3</v>
      </c>
      <c r="AA949">
        <v>3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 t="str">
        <f t="shared" si="72"/>
        <v>4-7</v>
      </c>
      <c r="AI949">
        <v>7</v>
      </c>
      <c r="AJ949" t="str">
        <f t="shared" si="73"/>
        <v>6-8</v>
      </c>
      <c r="AK949">
        <v>7</v>
      </c>
    </row>
    <row r="950" spans="1:37" x14ac:dyDescent="0.25">
      <c r="A950" s="8">
        <v>949</v>
      </c>
      <c r="B950" t="s">
        <v>52</v>
      </c>
      <c r="C950" t="s">
        <v>45</v>
      </c>
      <c r="D950" s="8">
        <v>30</v>
      </c>
      <c r="E950" t="str">
        <f t="shared" si="74"/>
        <v>26-35</v>
      </c>
      <c r="F950" t="s">
        <v>46</v>
      </c>
      <c r="G950" t="s">
        <v>39</v>
      </c>
      <c r="H950" s="8" t="s">
        <v>48</v>
      </c>
      <c r="I950" s="10">
        <v>17</v>
      </c>
      <c r="J950" t="str">
        <f t="shared" si="70"/>
        <v>Far</v>
      </c>
      <c r="K950">
        <v>4</v>
      </c>
      <c r="L950" t="s">
        <v>53</v>
      </c>
      <c r="M950">
        <v>2</v>
      </c>
      <c r="N950">
        <v>3</v>
      </c>
      <c r="O950">
        <v>3</v>
      </c>
      <c r="P950" t="s">
        <v>59</v>
      </c>
      <c r="Q950">
        <v>1</v>
      </c>
      <c r="R950" s="11">
        <v>634</v>
      </c>
      <c r="S950" s="14">
        <v>95</v>
      </c>
      <c r="T950" s="13">
        <v>11916</v>
      </c>
      <c r="U950" s="13">
        <f t="shared" si="71"/>
        <v>142992</v>
      </c>
      <c r="V950" s="14">
        <v>25927</v>
      </c>
      <c r="W950">
        <v>1</v>
      </c>
      <c r="X950" s="8" t="s">
        <v>38</v>
      </c>
      <c r="Y950" s="15">
        <v>0.23</v>
      </c>
      <c r="Z950">
        <v>4</v>
      </c>
      <c r="AA950">
        <v>4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 t="str">
        <f t="shared" si="72"/>
        <v>0-3</v>
      </c>
      <c r="AI950">
        <v>0</v>
      </c>
      <c r="AJ950" t="str">
        <f t="shared" si="73"/>
        <v>0-2</v>
      </c>
      <c r="AK950">
        <v>8</v>
      </c>
    </row>
    <row r="951" spans="1:37" x14ac:dyDescent="0.25">
      <c r="A951" s="8">
        <v>950</v>
      </c>
      <c r="B951" t="s">
        <v>44</v>
      </c>
      <c r="C951" t="s">
        <v>37</v>
      </c>
      <c r="D951" s="8">
        <v>39</v>
      </c>
      <c r="E951" t="str">
        <f t="shared" si="74"/>
        <v>36-45</v>
      </c>
      <c r="F951" t="s">
        <v>46</v>
      </c>
      <c r="G951" t="s">
        <v>39</v>
      </c>
      <c r="H951" s="8" t="s">
        <v>48</v>
      </c>
      <c r="I951" s="10">
        <v>18</v>
      </c>
      <c r="J951" t="str">
        <f t="shared" si="70"/>
        <v>Far</v>
      </c>
      <c r="K951">
        <v>2</v>
      </c>
      <c r="L951" t="s">
        <v>41</v>
      </c>
      <c r="M951">
        <v>1</v>
      </c>
      <c r="N951">
        <v>3</v>
      </c>
      <c r="O951">
        <v>2</v>
      </c>
      <c r="P951" t="s">
        <v>55</v>
      </c>
      <c r="Q951">
        <v>3</v>
      </c>
      <c r="R951" s="11">
        <v>524</v>
      </c>
      <c r="S951" s="14">
        <v>32</v>
      </c>
      <c r="T951" s="13">
        <v>4534</v>
      </c>
      <c r="U951" s="13">
        <f t="shared" si="71"/>
        <v>54408</v>
      </c>
      <c r="V951" s="14">
        <v>13352</v>
      </c>
      <c r="W951">
        <v>0</v>
      </c>
      <c r="X951" s="8" t="s">
        <v>46</v>
      </c>
      <c r="Y951" s="15">
        <v>0.11</v>
      </c>
      <c r="Z951">
        <v>3</v>
      </c>
      <c r="AA951">
        <v>1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 t="str">
        <f t="shared" si="72"/>
        <v>4-7</v>
      </c>
      <c r="AI951">
        <v>1</v>
      </c>
      <c r="AJ951" t="str">
        <f t="shared" si="73"/>
        <v>0-2</v>
      </c>
      <c r="AK951">
        <v>7</v>
      </c>
    </row>
    <row r="952" spans="1:37" x14ac:dyDescent="0.25">
      <c r="A952" s="8">
        <v>951</v>
      </c>
      <c r="B952" t="s">
        <v>52</v>
      </c>
      <c r="C952" t="s">
        <v>54</v>
      </c>
      <c r="D952" s="8">
        <v>31</v>
      </c>
      <c r="E952" t="str">
        <f t="shared" si="74"/>
        <v>26-35</v>
      </c>
      <c r="F952" t="s">
        <v>46</v>
      </c>
      <c r="G952" t="s">
        <v>58</v>
      </c>
      <c r="H952" s="8" t="s">
        <v>40</v>
      </c>
      <c r="I952" s="10">
        <v>2</v>
      </c>
      <c r="J952" t="str">
        <f t="shared" si="70"/>
        <v>Near</v>
      </c>
      <c r="K952">
        <v>4</v>
      </c>
      <c r="L952" t="s">
        <v>41</v>
      </c>
      <c r="M952">
        <v>4</v>
      </c>
      <c r="N952">
        <v>3</v>
      </c>
      <c r="O952">
        <v>3</v>
      </c>
      <c r="P952" t="s">
        <v>42</v>
      </c>
      <c r="Q952">
        <v>3</v>
      </c>
      <c r="R952" s="11">
        <v>587</v>
      </c>
      <c r="S952" s="14">
        <v>57</v>
      </c>
      <c r="T952" s="13">
        <v>9852</v>
      </c>
      <c r="U952" s="13">
        <f t="shared" si="71"/>
        <v>118224</v>
      </c>
      <c r="V952" s="14">
        <v>8935</v>
      </c>
      <c r="W952">
        <v>1</v>
      </c>
      <c r="X952" s="8" t="s">
        <v>38</v>
      </c>
      <c r="Y952" s="15">
        <v>0.19</v>
      </c>
      <c r="Z952">
        <v>3</v>
      </c>
      <c r="AA952">
        <v>1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 t="str">
        <f t="shared" si="72"/>
        <v>8-11</v>
      </c>
      <c r="AI952">
        <v>9</v>
      </c>
      <c r="AJ952" t="str">
        <f t="shared" si="73"/>
        <v>9-11</v>
      </c>
      <c r="AK952">
        <v>6</v>
      </c>
    </row>
    <row r="953" spans="1:37" x14ac:dyDescent="0.25">
      <c r="A953" s="8">
        <v>952</v>
      </c>
      <c r="B953" t="s">
        <v>44</v>
      </c>
      <c r="C953" t="s">
        <v>37</v>
      </c>
      <c r="D953" s="8">
        <v>41</v>
      </c>
      <c r="E953" t="str">
        <f t="shared" si="74"/>
        <v>36-45</v>
      </c>
      <c r="F953" t="s">
        <v>46</v>
      </c>
      <c r="G953" t="s">
        <v>58</v>
      </c>
      <c r="H953" s="8" t="s">
        <v>40</v>
      </c>
      <c r="I953" s="10">
        <v>10</v>
      </c>
      <c r="J953" t="str">
        <f t="shared" si="70"/>
        <v>Moderate</v>
      </c>
      <c r="K953">
        <v>2</v>
      </c>
      <c r="L953" t="s">
        <v>53</v>
      </c>
      <c r="M953">
        <v>3</v>
      </c>
      <c r="N953">
        <v>1</v>
      </c>
      <c r="O953">
        <v>2</v>
      </c>
      <c r="P953" t="s">
        <v>42</v>
      </c>
      <c r="Q953">
        <v>2</v>
      </c>
      <c r="R953" s="11">
        <v>256</v>
      </c>
      <c r="S953" s="14">
        <v>40</v>
      </c>
      <c r="T953" s="13">
        <v>6151</v>
      </c>
      <c r="U953" s="13">
        <f t="shared" si="71"/>
        <v>73812</v>
      </c>
      <c r="V953" s="14">
        <v>22074</v>
      </c>
      <c r="W953">
        <v>1</v>
      </c>
      <c r="X953" s="8" t="s">
        <v>46</v>
      </c>
      <c r="Y953" s="15">
        <v>0.13</v>
      </c>
      <c r="Z953">
        <v>3</v>
      </c>
      <c r="AA953">
        <v>1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 t="str">
        <f t="shared" si="72"/>
        <v>0-3</v>
      </c>
      <c r="AI953">
        <v>11</v>
      </c>
      <c r="AJ953" t="str">
        <f t="shared" si="73"/>
        <v>9-11</v>
      </c>
      <c r="AK953">
        <v>9</v>
      </c>
    </row>
    <row r="954" spans="1:37" x14ac:dyDescent="0.25">
      <c r="A954" s="8">
        <v>953</v>
      </c>
      <c r="B954" t="s">
        <v>52</v>
      </c>
      <c r="C954" t="s">
        <v>37</v>
      </c>
      <c r="D954" s="8">
        <v>31</v>
      </c>
      <c r="E954" t="str">
        <f t="shared" si="74"/>
        <v>26-35</v>
      </c>
      <c r="F954" t="s">
        <v>38</v>
      </c>
      <c r="G954" t="s">
        <v>47</v>
      </c>
      <c r="H954" s="8" t="s">
        <v>40</v>
      </c>
      <c r="I954" s="10">
        <v>1</v>
      </c>
      <c r="J954" t="str">
        <f t="shared" si="70"/>
        <v>Near</v>
      </c>
      <c r="K954">
        <v>3</v>
      </c>
      <c r="L954" t="s">
        <v>41</v>
      </c>
      <c r="M954">
        <v>4</v>
      </c>
      <c r="N954">
        <v>3</v>
      </c>
      <c r="O954">
        <v>1</v>
      </c>
      <c r="P954" t="s">
        <v>60</v>
      </c>
      <c r="Q954">
        <v>2</v>
      </c>
      <c r="R954" s="11">
        <v>1060</v>
      </c>
      <c r="S954" s="14">
        <v>54</v>
      </c>
      <c r="T954" s="13">
        <v>2302</v>
      </c>
      <c r="U954" s="13">
        <f t="shared" si="71"/>
        <v>27624</v>
      </c>
      <c r="V954" s="14">
        <v>8319</v>
      </c>
      <c r="W954">
        <v>1</v>
      </c>
      <c r="X954" s="8" t="s">
        <v>38</v>
      </c>
      <c r="Y954" s="15">
        <v>0.11</v>
      </c>
      <c r="Z954">
        <v>3</v>
      </c>
      <c r="AA954">
        <v>1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 t="str">
        <f t="shared" si="72"/>
        <v>0-3</v>
      </c>
      <c r="AI954">
        <v>2</v>
      </c>
      <c r="AJ954" t="str">
        <f t="shared" si="73"/>
        <v>0-2</v>
      </c>
      <c r="AK954">
        <v>2</v>
      </c>
    </row>
    <row r="955" spans="1:37" x14ac:dyDescent="0.25">
      <c r="A955" s="8">
        <v>954</v>
      </c>
      <c r="B955" t="s">
        <v>44</v>
      </c>
      <c r="C955" t="s">
        <v>45</v>
      </c>
      <c r="D955" s="8">
        <v>44</v>
      </c>
      <c r="E955" t="str">
        <f t="shared" si="74"/>
        <v>36-45</v>
      </c>
      <c r="F955" t="s">
        <v>38</v>
      </c>
      <c r="G955" t="s">
        <v>39</v>
      </c>
      <c r="H955" s="8" t="s">
        <v>48</v>
      </c>
      <c r="I955" s="10">
        <v>3</v>
      </c>
      <c r="J955" t="str">
        <f t="shared" si="70"/>
        <v>Near</v>
      </c>
      <c r="K955">
        <v>3</v>
      </c>
      <c r="L955" t="s">
        <v>41</v>
      </c>
      <c r="M955">
        <v>1</v>
      </c>
      <c r="N955">
        <v>3</v>
      </c>
      <c r="O955">
        <v>1</v>
      </c>
      <c r="P955" t="s">
        <v>51</v>
      </c>
      <c r="Q955">
        <v>1</v>
      </c>
      <c r="R955" s="11">
        <v>935</v>
      </c>
      <c r="S955" s="14">
        <v>89</v>
      </c>
      <c r="T955" s="13">
        <v>2362</v>
      </c>
      <c r="U955" s="13">
        <f t="shared" si="71"/>
        <v>28344</v>
      </c>
      <c r="V955" s="14">
        <v>14669</v>
      </c>
      <c r="W955">
        <v>4</v>
      </c>
      <c r="X955" s="8" t="s">
        <v>46</v>
      </c>
      <c r="Y955" s="15">
        <v>0.12</v>
      </c>
      <c r="Z955">
        <v>3</v>
      </c>
      <c r="AA955">
        <v>3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 t="str">
        <f t="shared" si="72"/>
        <v>0-3</v>
      </c>
      <c r="AI955">
        <v>1</v>
      </c>
      <c r="AJ955" t="str">
        <f t="shared" si="73"/>
        <v>0-2</v>
      </c>
      <c r="AK955">
        <v>2</v>
      </c>
    </row>
    <row r="956" spans="1:37" x14ac:dyDescent="0.25">
      <c r="A956" s="8">
        <v>955</v>
      </c>
      <c r="B956" t="s">
        <v>44</v>
      </c>
      <c r="C956" t="s">
        <v>45</v>
      </c>
      <c r="D956" s="8">
        <v>42</v>
      </c>
      <c r="E956" t="str">
        <f t="shared" si="74"/>
        <v>36-45</v>
      </c>
      <c r="F956" t="s">
        <v>46</v>
      </c>
      <c r="G956" t="s">
        <v>58</v>
      </c>
      <c r="H956" s="8" t="s">
        <v>48</v>
      </c>
      <c r="I956" s="10">
        <v>2</v>
      </c>
      <c r="J956" t="str">
        <f t="shared" si="70"/>
        <v>Near</v>
      </c>
      <c r="K956">
        <v>1</v>
      </c>
      <c r="L956" t="s">
        <v>41</v>
      </c>
      <c r="M956">
        <v>3</v>
      </c>
      <c r="N956">
        <v>3</v>
      </c>
      <c r="O956">
        <v>4</v>
      </c>
      <c r="P956" t="s">
        <v>59</v>
      </c>
      <c r="Q956">
        <v>3</v>
      </c>
      <c r="R956" s="11">
        <v>495</v>
      </c>
      <c r="S956" s="14">
        <v>37</v>
      </c>
      <c r="T956" s="13">
        <v>17861</v>
      </c>
      <c r="U956" s="13">
        <f t="shared" si="71"/>
        <v>214332</v>
      </c>
      <c r="V956" s="14">
        <v>26582</v>
      </c>
      <c r="W956">
        <v>0</v>
      </c>
      <c r="X956" s="8" t="s">
        <v>38</v>
      </c>
      <c r="Y956" s="15">
        <v>0.13</v>
      </c>
      <c r="Z956">
        <v>3</v>
      </c>
      <c r="AA956">
        <v>4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 t="str">
        <f t="shared" si="72"/>
        <v>8-11</v>
      </c>
      <c r="AI956">
        <v>2</v>
      </c>
      <c r="AJ956" t="str">
        <f t="shared" si="73"/>
        <v>0-2</v>
      </c>
      <c r="AK956">
        <v>10</v>
      </c>
    </row>
    <row r="957" spans="1:37" x14ac:dyDescent="0.25">
      <c r="A957" s="8">
        <v>956</v>
      </c>
      <c r="B957" t="s">
        <v>52</v>
      </c>
      <c r="C957" t="s">
        <v>45</v>
      </c>
      <c r="D957" s="8">
        <v>55</v>
      </c>
      <c r="E957" t="str">
        <f t="shared" si="74"/>
        <v>46-55</v>
      </c>
      <c r="F957" t="s">
        <v>46</v>
      </c>
      <c r="G957" t="s">
        <v>39</v>
      </c>
      <c r="H957" s="8" t="s">
        <v>48</v>
      </c>
      <c r="I957" s="10">
        <v>2</v>
      </c>
      <c r="J957" t="str">
        <f t="shared" si="70"/>
        <v>Near</v>
      </c>
      <c r="K957">
        <v>2</v>
      </c>
      <c r="L957" t="s">
        <v>53</v>
      </c>
      <c r="M957">
        <v>4</v>
      </c>
      <c r="N957">
        <v>1</v>
      </c>
      <c r="O957">
        <v>5</v>
      </c>
      <c r="P957" t="s">
        <v>59</v>
      </c>
      <c r="Q957">
        <v>3</v>
      </c>
      <c r="R957" s="11">
        <v>282</v>
      </c>
      <c r="S957" s="14">
        <v>58</v>
      </c>
      <c r="T957" s="13">
        <v>19187</v>
      </c>
      <c r="U957" s="13">
        <f t="shared" si="71"/>
        <v>230244</v>
      </c>
      <c r="V957" s="14">
        <v>6992</v>
      </c>
      <c r="W957">
        <v>4</v>
      </c>
      <c r="X957" s="8" t="s">
        <v>46</v>
      </c>
      <c r="Y957" s="15">
        <v>0.14000000000000001</v>
      </c>
      <c r="Z957">
        <v>3</v>
      </c>
      <c r="AA957">
        <v>4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 t="str">
        <f t="shared" si="72"/>
        <v>8-11</v>
      </c>
      <c r="AI957">
        <v>9</v>
      </c>
      <c r="AJ957" t="str">
        <f t="shared" si="73"/>
        <v>9-11</v>
      </c>
      <c r="AK957">
        <v>11</v>
      </c>
    </row>
    <row r="958" spans="1:37" x14ac:dyDescent="0.25">
      <c r="A958" s="8">
        <v>957</v>
      </c>
      <c r="B958" t="s">
        <v>44</v>
      </c>
      <c r="C958" t="s">
        <v>37</v>
      </c>
      <c r="D958" s="8">
        <v>56</v>
      </c>
      <c r="E958" t="str">
        <f t="shared" si="74"/>
        <v>55+</v>
      </c>
      <c r="F958" t="s">
        <v>46</v>
      </c>
      <c r="G958" t="s">
        <v>39</v>
      </c>
      <c r="H958" s="8" t="s">
        <v>64</v>
      </c>
      <c r="I958" s="10">
        <v>8</v>
      </c>
      <c r="J958" t="str">
        <f t="shared" si="70"/>
        <v>Moderate</v>
      </c>
      <c r="K958">
        <v>4</v>
      </c>
      <c r="L958" t="s">
        <v>41</v>
      </c>
      <c r="M958">
        <v>4</v>
      </c>
      <c r="N958">
        <v>3</v>
      </c>
      <c r="O958">
        <v>5</v>
      </c>
      <c r="P958" t="s">
        <v>59</v>
      </c>
      <c r="Q958">
        <v>2</v>
      </c>
      <c r="R958" s="11">
        <v>206</v>
      </c>
      <c r="S958" s="14">
        <v>99</v>
      </c>
      <c r="T958" s="13">
        <v>19717</v>
      </c>
      <c r="U958" s="13">
        <f t="shared" si="71"/>
        <v>236604</v>
      </c>
      <c r="V958" s="14">
        <v>4022</v>
      </c>
      <c r="W958">
        <v>6</v>
      </c>
      <c r="X958" s="8" t="s">
        <v>46</v>
      </c>
      <c r="Y958" s="15">
        <v>0.14000000000000001</v>
      </c>
      <c r="Z958">
        <v>3</v>
      </c>
      <c r="AA958">
        <v>1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 t="str">
        <f t="shared" si="72"/>
        <v>0-3</v>
      </c>
      <c r="AI958">
        <v>7</v>
      </c>
      <c r="AJ958" t="str">
        <f t="shared" si="73"/>
        <v>6-8</v>
      </c>
      <c r="AK958">
        <v>7</v>
      </c>
    </row>
    <row r="959" spans="1:37" x14ac:dyDescent="0.25">
      <c r="A959" s="8">
        <v>958</v>
      </c>
      <c r="B959" t="s">
        <v>44</v>
      </c>
      <c r="C959" t="s">
        <v>54</v>
      </c>
      <c r="D959" s="8">
        <v>40</v>
      </c>
      <c r="E959" t="str">
        <f t="shared" si="74"/>
        <v>36-45</v>
      </c>
      <c r="F959" t="s">
        <v>46</v>
      </c>
      <c r="G959" t="s">
        <v>58</v>
      </c>
      <c r="H959" s="8" t="s">
        <v>48</v>
      </c>
      <c r="I959" s="10">
        <v>16</v>
      </c>
      <c r="J959" t="str">
        <f t="shared" si="70"/>
        <v>Far</v>
      </c>
      <c r="K959">
        <v>2</v>
      </c>
      <c r="L959" t="s">
        <v>41</v>
      </c>
      <c r="M959">
        <v>3</v>
      </c>
      <c r="N959">
        <v>3</v>
      </c>
      <c r="O959">
        <v>1</v>
      </c>
      <c r="P959" t="s">
        <v>49</v>
      </c>
      <c r="Q959">
        <v>3</v>
      </c>
      <c r="R959" s="11">
        <v>458</v>
      </c>
      <c r="S959" s="14">
        <v>74</v>
      </c>
      <c r="T959" s="13">
        <v>3544</v>
      </c>
      <c r="U959" s="13">
        <f t="shared" si="71"/>
        <v>42528</v>
      </c>
      <c r="V959" s="14">
        <v>8532</v>
      </c>
      <c r="W959">
        <v>9</v>
      </c>
      <c r="X959" s="8" t="s">
        <v>46</v>
      </c>
      <c r="Y959" s="15">
        <v>0.16</v>
      </c>
      <c r="Z959">
        <v>3</v>
      </c>
      <c r="AA959">
        <v>2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 t="str">
        <f t="shared" si="72"/>
        <v>0-3</v>
      </c>
      <c r="AI959">
        <v>0</v>
      </c>
      <c r="AJ959" t="str">
        <f t="shared" si="73"/>
        <v>0-2</v>
      </c>
      <c r="AK959">
        <v>0</v>
      </c>
    </row>
    <row r="960" spans="1:37" x14ac:dyDescent="0.25">
      <c r="A960" s="8">
        <v>959</v>
      </c>
      <c r="B960" t="s">
        <v>44</v>
      </c>
      <c r="C960" t="s">
        <v>54</v>
      </c>
      <c r="D960" s="8">
        <v>34</v>
      </c>
      <c r="E960" t="str">
        <f t="shared" si="74"/>
        <v>26-35</v>
      </c>
      <c r="F960" t="s">
        <v>46</v>
      </c>
      <c r="G960" t="s">
        <v>39</v>
      </c>
      <c r="H960" s="8" t="s">
        <v>48</v>
      </c>
      <c r="I960" s="10">
        <v>9</v>
      </c>
      <c r="J960" t="str">
        <f t="shared" si="70"/>
        <v>Moderate</v>
      </c>
      <c r="K960">
        <v>3</v>
      </c>
      <c r="L960" t="s">
        <v>41</v>
      </c>
      <c r="M960">
        <v>4</v>
      </c>
      <c r="N960">
        <v>3</v>
      </c>
      <c r="O960">
        <v>3</v>
      </c>
      <c r="P960" t="s">
        <v>56</v>
      </c>
      <c r="Q960">
        <v>4</v>
      </c>
      <c r="R960" s="11">
        <v>943</v>
      </c>
      <c r="S960" s="14">
        <v>86</v>
      </c>
      <c r="T960" s="13">
        <v>8500</v>
      </c>
      <c r="U960" s="13">
        <f t="shared" si="71"/>
        <v>102000</v>
      </c>
      <c r="V960" s="14">
        <v>5494</v>
      </c>
      <c r="W960">
        <v>0</v>
      </c>
      <c r="X960" s="8" t="s">
        <v>46</v>
      </c>
      <c r="Y960" s="15">
        <v>0.11</v>
      </c>
      <c r="Z960">
        <v>3</v>
      </c>
      <c r="AA960">
        <v>4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 t="str">
        <f t="shared" si="72"/>
        <v>4-7</v>
      </c>
      <c r="AI960">
        <v>1</v>
      </c>
      <c r="AJ960" t="str">
        <f t="shared" si="73"/>
        <v>0-2</v>
      </c>
      <c r="AK960">
        <v>6</v>
      </c>
    </row>
    <row r="961" spans="1:37" x14ac:dyDescent="0.25">
      <c r="A961" s="8">
        <v>960</v>
      </c>
      <c r="B961" t="s">
        <v>44</v>
      </c>
      <c r="C961" t="s">
        <v>37</v>
      </c>
      <c r="D961" s="8">
        <v>40</v>
      </c>
      <c r="E961" t="str">
        <f t="shared" si="74"/>
        <v>36-45</v>
      </c>
      <c r="F961" t="s">
        <v>46</v>
      </c>
      <c r="G961" t="s">
        <v>39</v>
      </c>
      <c r="H961" s="8" t="s">
        <v>48</v>
      </c>
      <c r="I961" s="10">
        <v>2</v>
      </c>
      <c r="J961" t="str">
        <f t="shared" si="70"/>
        <v>Near</v>
      </c>
      <c r="K961">
        <v>3</v>
      </c>
      <c r="L961" t="s">
        <v>41</v>
      </c>
      <c r="M961">
        <v>3</v>
      </c>
      <c r="N961">
        <v>3</v>
      </c>
      <c r="O961">
        <v>2</v>
      </c>
      <c r="P961" t="s">
        <v>49</v>
      </c>
      <c r="Q961">
        <v>4</v>
      </c>
      <c r="R961" s="11">
        <v>523</v>
      </c>
      <c r="S961" s="14">
        <v>98</v>
      </c>
      <c r="T961" s="13">
        <v>4661</v>
      </c>
      <c r="U961" s="13">
        <f t="shared" si="71"/>
        <v>55932</v>
      </c>
      <c r="V961" s="14">
        <v>22455</v>
      </c>
      <c r="W961">
        <v>1</v>
      </c>
      <c r="X961" s="8" t="s">
        <v>46</v>
      </c>
      <c r="Y961" s="15">
        <v>0.13</v>
      </c>
      <c r="Z961">
        <v>3</v>
      </c>
      <c r="AA961">
        <v>3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 t="str">
        <f t="shared" si="72"/>
        <v>8-11</v>
      </c>
      <c r="AI961">
        <v>8</v>
      </c>
      <c r="AJ961" t="str">
        <f t="shared" si="73"/>
        <v>6-8</v>
      </c>
      <c r="AK961">
        <v>8</v>
      </c>
    </row>
    <row r="962" spans="1:37" x14ac:dyDescent="0.25">
      <c r="A962" s="8">
        <v>961</v>
      </c>
      <c r="B962" t="s">
        <v>52</v>
      </c>
      <c r="C962" t="s">
        <v>54</v>
      </c>
      <c r="D962" s="8">
        <v>41</v>
      </c>
      <c r="E962" t="str">
        <f t="shared" si="74"/>
        <v>36-45</v>
      </c>
      <c r="F962" t="s">
        <v>46</v>
      </c>
      <c r="G962" t="s">
        <v>47</v>
      </c>
      <c r="H962" s="8" t="s">
        <v>40</v>
      </c>
      <c r="I962" s="10">
        <v>1</v>
      </c>
      <c r="J962" t="str">
        <f t="shared" si="70"/>
        <v>Near</v>
      </c>
      <c r="K962">
        <v>3</v>
      </c>
      <c r="L962" t="s">
        <v>62</v>
      </c>
      <c r="M962">
        <v>3</v>
      </c>
      <c r="N962">
        <v>3</v>
      </c>
      <c r="O962">
        <v>2</v>
      </c>
      <c r="P962" t="s">
        <v>42</v>
      </c>
      <c r="Q962">
        <v>1</v>
      </c>
      <c r="R962" s="11">
        <v>1018</v>
      </c>
      <c r="S962" s="14">
        <v>66</v>
      </c>
      <c r="T962" s="13">
        <v>4103</v>
      </c>
      <c r="U962" s="13">
        <f t="shared" si="71"/>
        <v>49236</v>
      </c>
      <c r="V962" s="14">
        <v>4297</v>
      </c>
      <c r="W962">
        <v>0</v>
      </c>
      <c r="X962" s="8" t="s">
        <v>46</v>
      </c>
      <c r="Y962" s="15">
        <v>0.17</v>
      </c>
      <c r="Z962">
        <v>3</v>
      </c>
      <c r="AA962">
        <v>4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 t="str">
        <f t="shared" si="72"/>
        <v>0-3</v>
      </c>
      <c r="AI962">
        <v>1</v>
      </c>
      <c r="AJ962" t="str">
        <f t="shared" si="73"/>
        <v>0-2</v>
      </c>
      <c r="AK962">
        <v>7</v>
      </c>
    </row>
    <row r="963" spans="1:37" x14ac:dyDescent="0.25">
      <c r="A963" s="8">
        <v>962</v>
      </c>
      <c r="B963" t="s">
        <v>44</v>
      </c>
      <c r="C963" t="s">
        <v>37</v>
      </c>
      <c r="D963" s="8">
        <v>35</v>
      </c>
      <c r="E963" t="str">
        <f t="shared" si="74"/>
        <v>26-35</v>
      </c>
      <c r="F963" t="s">
        <v>46</v>
      </c>
      <c r="G963" t="s">
        <v>47</v>
      </c>
      <c r="H963" s="8" t="s">
        <v>48</v>
      </c>
      <c r="I963" s="10">
        <v>4</v>
      </c>
      <c r="J963" t="str">
        <f t="shared" ref="J963:J1026" si="75">IF(I963&lt;=5,"Near",IF(I963&lt;=15,"Moderate",IF(I963&gt;15,"Far")))</f>
        <v>Near</v>
      </c>
      <c r="K963">
        <v>4</v>
      </c>
      <c r="L963" t="s">
        <v>41</v>
      </c>
      <c r="M963">
        <v>3</v>
      </c>
      <c r="N963">
        <v>3</v>
      </c>
      <c r="O963">
        <v>2</v>
      </c>
      <c r="P963" t="s">
        <v>49</v>
      </c>
      <c r="Q963">
        <v>3</v>
      </c>
      <c r="R963" s="11">
        <v>482</v>
      </c>
      <c r="S963" s="14">
        <v>87</v>
      </c>
      <c r="T963" s="13">
        <v>4249</v>
      </c>
      <c r="U963" s="13">
        <f t="shared" ref="U963:U1026" si="76">T963*12</f>
        <v>50988</v>
      </c>
      <c r="V963" s="14">
        <v>2690</v>
      </c>
      <c r="W963">
        <v>1</v>
      </c>
      <c r="X963" s="8" t="s">
        <v>38</v>
      </c>
      <c r="Y963" s="15">
        <v>0.11</v>
      </c>
      <c r="Z963">
        <v>3</v>
      </c>
      <c r="AA963">
        <v>2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 t="str">
        <f t="shared" ref="AH963:AH1026" si="77">IF(AG:AG&lt;=3,"0-3", IF(AG:AG&lt;=7,"4-7", IF(AG:AG&lt;=11,"8-11", IF(AG:AG&lt;=15,"12-15","16-19"))))</f>
        <v>4-7</v>
      </c>
      <c r="AI963">
        <v>1</v>
      </c>
      <c r="AJ963" t="str">
        <f t="shared" ref="AJ963:AJ1026" si="78">IF(AI:AI&lt;=2,"0-2",IF(AI:AI&lt;=5,"3-5", IF(AI:AI&lt;=8,"6-8", IF(AI:AI&lt;=11,"9-11","12-15"))))</f>
        <v>0-2</v>
      </c>
      <c r="AK963">
        <v>1</v>
      </c>
    </row>
    <row r="964" spans="1:37" x14ac:dyDescent="0.25">
      <c r="A964" s="8">
        <v>963</v>
      </c>
      <c r="B964" t="s">
        <v>44</v>
      </c>
      <c r="C964" t="s">
        <v>54</v>
      </c>
      <c r="D964" s="8">
        <v>51</v>
      </c>
      <c r="E964" t="str">
        <f t="shared" ref="E964:E1027" si="79">IF(D964&lt;25,"18-25",IF(D964&lt;=35,"26-35",IF(D964&lt;=45,"36-45",IF(D964&lt;=55,"46-55",IF(D964&gt;55,"55+")))))</f>
        <v>46-55</v>
      </c>
      <c r="F964" t="s">
        <v>46</v>
      </c>
      <c r="G964" t="s">
        <v>39</v>
      </c>
      <c r="H964" s="8" t="s">
        <v>64</v>
      </c>
      <c r="I964" s="10">
        <v>5</v>
      </c>
      <c r="J964" t="str">
        <f t="shared" si="75"/>
        <v>Near</v>
      </c>
      <c r="K964">
        <v>3</v>
      </c>
      <c r="L964" t="s">
        <v>41</v>
      </c>
      <c r="M964">
        <v>3</v>
      </c>
      <c r="N964">
        <v>3</v>
      </c>
      <c r="O964">
        <v>4</v>
      </c>
      <c r="P964" t="s">
        <v>59</v>
      </c>
      <c r="Q964">
        <v>2</v>
      </c>
      <c r="R964" s="11">
        <v>770</v>
      </c>
      <c r="S964" s="14">
        <v>84</v>
      </c>
      <c r="T964" s="13">
        <v>14026</v>
      </c>
      <c r="U964" s="13">
        <f t="shared" si="76"/>
        <v>168312</v>
      </c>
      <c r="V964" s="14">
        <v>17588</v>
      </c>
      <c r="W964">
        <v>1</v>
      </c>
      <c r="X964" s="8" t="s">
        <v>38</v>
      </c>
      <c r="Y964" s="15">
        <v>0.11</v>
      </c>
      <c r="Z964">
        <v>3</v>
      </c>
      <c r="AA964">
        <v>2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 t="str">
        <f t="shared" si="77"/>
        <v>8-11</v>
      </c>
      <c r="AI964">
        <v>0</v>
      </c>
      <c r="AJ964" t="str">
        <f t="shared" si="78"/>
        <v>0-2</v>
      </c>
      <c r="AK964">
        <v>10</v>
      </c>
    </row>
    <row r="965" spans="1:37" x14ac:dyDescent="0.25">
      <c r="A965" s="8">
        <v>964</v>
      </c>
      <c r="B965" t="s">
        <v>52</v>
      </c>
      <c r="C965" t="s">
        <v>54</v>
      </c>
      <c r="D965" s="8">
        <v>38</v>
      </c>
      <c r="E965" t="str">
        <f t="shared" si="79"/>
        <v>36-45</v>
      </c>
      <c r="F965" t="s">
        <v>46</v>
      </c>
      <c r="G965" t="s">
        <v>39</v>
      </c>
      <c r="H965" s="8" t="s">
        <v>40</v>
      </c>
      <c r="I965" s="10">
        <v>2</v>
      </c>
      <c r="J965" t="str">
        <f t="shared" si="75"/>
        <v>Near</v>
      </c>
      <c r="K965">
        <v>2</v>
      </c>
      <c r="L965" t="s">
        <v>41</v>
      </c>
      <c r="M965">
        <v>2</v>
      </c>
      <c r="N965">
        <v>3</v>
      </c>
      <c r="O965">
        <v>2</v>
      </c>
      <c r="P965" t="s">
        <v>42</v>
      </c>
      <c r="Q965">
        <v>1</v>
      </c>
      <c r="R965" s="11">
        <v>1009</v>
      </c>
      <c r="S965" s="14">
        <v>31</v>
      </c>
      <c r="T965" s="13">
        <v>6893</v>
      </c>
      <c r="U965" s="13">
        <f t="shared" si="76"/>
        <v>82716</v>
      </c>
      <c r="V965" s="14">
        <v>19461</v>
      </c>
      <c r="W965">
        <v>3</v>
      </c>
      <c r="X965" s="8" t="s">
        <v>46</v>
      </c>
      <c r="Y965" s="15">
        <v>0.15</v>
      </c>
      <c r="Z965">
        <v>3</v>
      </c>
      <c r="AA965">
        <v>4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 t="str">
        <f t="shared" si="77"/>
        <v>4-7</v>
      </c>
      <c r="AI965">
        <v>1</v>
      </c>
      <c r="AJ965" t="str">
        <f t="shared" si="78"/>
        <v>0-2</v>
      </c>
      <c r="AK965">
        <v>7</v>
      </c>
    </row>
    <row r="966" spans="1:37" x14ac:dyDescent="0.25">
      <c r="A966" s="8">
        <v>965</v>
      </c>
      <c r="B966" t="s">
        <v>52</v>
      </c>
      <c r="C966" t="s">
        <v>37</v>
      </c>
      <c r="D966" s="8">
        <v>34</v>
      </c>
      <c r="E966" t="str">
        <f t="shared" si="79"/>
        <v>26-35</v>
      </c>
      <c r="F966" t="s">
        <v>46</v>
      </c>
      <c r="G966" t="s">
        <v>39</v>
      </c>
      <c r="H966" s="8" t="s">
        <v>40</v>
      </c>
      <c r="I966" s="10">
        <v>15</v>
      </c>
      <c r="J966" t="str">
        <f t="shared" si="75"/>
        <v>Moderate</v>
      </c>
      <c r="K966">
        <v>2</v>
      </c>
      <c r="L966" t="s">
        <v>53</v>
      </c>
      <c r="M966">
        <v>3</v>
      </c>
      <c r="N966">
        <v>3</v>
      </c>
      <c r="O966">
        <v>2</v>
      </c>
      <c r="P966" t="s">
        <v>42</v>
      </c>
      <c r="Q966">
        <v>1</v>
      </c>
      <c r="R966" s="11">
        <v>507</v>
      </c>
      <c r="S966" s="14">
        <v>66</v>
      </c>
      <c r="T966" s="13">
        <v>6125</v>
      </c>
      <c r="U966" s="13">
        <f t="shared" si="76"/>
        <v>73500</v>
      </c>
      <c r="V966" s="14">
        <v>23553</v>
      </c>
      <c r="W966">
        <v>1</v>
      </c>
      <c r="X966" s="8" t="s">
        <v>46</v>
      </c>
      <c r="Y966" s="15">
        <v>0.12</v>
      </c>
      <c r="Z966">
        <v>3</v>
      </c>
      <c r="AA966">
        <v>4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 t="str">
        <f t="shared" si="77"/>
        <v>8-11</v>
      </c>
      <c r="AI966">
        <v>9</v>
      </c>
      <c r="AJ966" t="str">
        <f t="shared" si="78"/>
        <v>9-11</v>
      </c>
      <c r="AK966">
        <v>6</v>
      </c>
    </row>
    <row r="967" spans="1:37" x14ac:dyDescent="0.25">
      <c r="A967" s="8">
        <v>966</v>
      </c>
      <c r="B967" t="s">
        <v>44</v>
      </c>
      <c r="C967" t="s">
        <v>45</v>
      </c>
      <c r="D967" s="8">
        <v>25</v>
      </c>
      <c r="E967" t="str">
        <f t="shared" si="79"/>
        <v>26-35</v>
      </c>
      <c r="F967" t="s">
        <v>46</v>
      </c>
      <c r="G967" t="s">
        <v>39</v>
      </c>
      <c r="H967" s="8" t="s">
        <v>48</v>
      </c>
      <c r="I967" s="10">
        <v>19</v>
      </c>
      <c r="J967" t="str">
        <f t="shared" si="75"/>
        <v>Far</v>
      </c>
      <c r="K967">
        <v>1</v>
      </c>
      <c r="L967" t="s">
        <v>53</v>
      </c>
      <c r="M967">
        <v>4</v>
      </c>
      <c r="N967">
        <v>3</v>
      </c>
      <c r="O967">
        <v>1</v>
      </c>
      <c r="P967" t="s">
        <v>51</v>
      </c>
      <c r="Q967">
        <v>4</v>
      </c>
      <c r="R967" s="11">
        <v>882</v>
      </c>
      <c r="S967" s="14">
        <v>67</v>
      </c>
      <c r="T967" s="13">
        <v>3669</v>
      </c>
      <c r="U967" s="13">
        <f t="shared" si="76"/>
        <v>44028</v>
      </c>
      <c r="V967" s="14">
        <v>9075</v>
      </c>
      <c r="W967">
        <v>3</v>
      </c>
      <c r="X967" s="8" t="s">
        <v>46</v>
      </c>
      <c r="Y967" s="15">
        <v>0.11</v>
      </c>
      <c r="Z967">
        <v>3</v>
      </c>
      <c r="AA967">
        <v>3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 t="str">
        <f t="shared" si="77"/>
        <v>0-3</v>
      </c>
      <c r="AI967">
        <v>1</v>
      </c>
      <c r="AJ967" t="str">
        <f t="shared" si="78"/>
        <v>0-2</v>
      </c>
      <c r="AK967">
        <v>2</v>
      </c>
    </row>
    <row r="968" spans="1:37" x14ac:dyDescent="0.25">
      <c r="A968" s="8">
        <v>967</v>
      </c>
      <c r="B968" t="s">
        <v>52</v>
      </c>
      <c r="C968" t="s">
        <v>45</v>
      </c>
      <c r="D968" s="8">
        <v>58</v>
      </c>
      <c r="E968" t="str">
        <f t="shared" si="79"/>
        <v>55+</v>
      </c>
      <c r="F968" t="s">
        <v>38</v>
      </c>
      <c r="G968" t="s">
        <v>39</v>
      </c>
      <c r="H968" s="8" t="s">
        <v>48</v>
      </c>
      <c r="I968" s="10">
        <v>7</v>
      </c>
      <c r="J968" t="str">
        <f t="shared" si="75"/>
        <v>Moderate</v>
      </c>
      <c r="K968">
        <v>4</v>
      </c>
      <c r="L968" t="s">
        <v>53</v>
      </c>
      <c r="M968">
        <v>3</v>
      </c>
      <c r="N968">
        <v>2</v>
      </c>
      <c r="O968">
        <v>3</v>
      </c>
      <c r="P968" t="s">
        <v>55</v>
      </c>
      <c r="Q968">
        <v>1</v>
      </c>
      <c r="R968" s="11">
        <v>601</v>
      </c>
      <c r="S968" s="14">
        <v>53</v>
      </c>
      <c r="T968" s="13">
        <v>10008</v>
      </c>
      <c r="U968" s="13">
        <f t="shared" si="76"/>
        <v>120096</v>
      </c>
      <c r="V968" s="14">
        <v>12023</v>
      </c>
      <c r="W968">
        <v>7</v>
      </c>
      <c r="X968" s="8" t="s">
        <v>38</v>
      </c>
      <c r="Y968" s="15">
        <v>0.14000000000000001</v>
      </c>
      <c r="Z968">
        <v>3</v>
      </c>
      <c r="AA968">
        <v>4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 t="str">
        <f t="shared" si="77"/>
        <v>8-11</v>
      </c>
      <c r="AI968">
        <v>5</v>
      </c>
      <c r="AJ968" t="str">
        <f t="shared" si="78"/>
        <v>3-5</v>
      </c>
      <c r="AK968">
        <v>9</v>
      </c>
    </row>
    <row r="969" spans="1:37" x14ac:dyDescent="0.25">
      <c r="A969" s="8">
        <v>968</v>
      </c>
      <c r="B969" t="s">
        <v>44</v>
      </c>
      <c r="C969" t="s">
        <v>45</v>
      </c>
      <c r="D969" s="8">
        <v>40</v>
      </c>
      <c r="E969" t="str">
        <f t="shared" si="79"/>
        <v>36-45</v>
      </c>
      <c r="F969" t="s">
        <v>46</v>
      </c>
      <c r="G969" t="s">
        <v>39</v>
      </c>
      <c r="H969" s="8" t="s">
        <v>48</v>
      </c>
      <c r="I969" s="10">
        <v>1</v>
      </c>
      <c r="J969" t="str">
        <f t="shared" si="75"/>
        <v>Near</v>
      </c>
      <c r="K969">
        <v>4</v>
      </c>
      <c r="L969" t="s">
        <v>41</v>
      </c>
      <c r="M969">
        <v>2</v>
      </c>
      <c r="N969">
        <v>3</v>
      </c>
      <c r="O969">
        <v>1</v>
      </c>
      <c r="P969" t="s">
        <v>51</v>
      </c>
      <c r="Q969">
        <v>2</v>
      </c>
      <c r="R969" s="11">
        <v>329</v>
      </c>
      <c r="S969" s="14">
        <v>88</v>
      </c>
      <c r="T969" s="13">
        <v>2387</v>
      </c>
      <c r="U969" s="13">
        <f t="shared" si="76"/>
        <v>28644</v>
      </c>
      <c r="V969" s="14">
        <v>6762</v>
      </c>
      <c r="W969">
        <v>3</v>
      </c>
      <c r="X969" s="8" t="s">
        <v>46</v>
      </c>
      <c r="Y969" s="15">
        <v>0.22</v>
      </c>
      <c r="Z969">
        <v>4</v>
      </c>
      <c r="AA969">
        <v>3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 t="str">
        <f t="shared" si="77"/>
        <v>0-3</v>
      </c>
      <c r="AI969">
        <v>0</v>
      </c>
      <c r="AJ969" t="str">
        <f t="shared" si="78"/>
        <v>0-2</v>
      </c>
      <c r="AK969">
        <v>3</v>
      </c>
    </row>
    <row r="970" spans="1:37" x14ac:dyDescent="0.25">
      <c r="A970" s="8">
        <v>969</v>
      </c>
      <c r="B970" t="s">
        <v>52</v>
      </c>
      <c r="C970" t="s">
        <v>45</v>
      </c>
      <c r="D970" s="8">
        <v>36</v>
      </c>
      <c r="E970" t="str">
        <f t="shared" si="79"/>
        <v>36-45</v>
      </c>
      <c r="F970" t="s">
        <v>46</v>
      </c>
      <c r="G970" t="s">
        <v>47</v>
      </c>
      <c r="H970" s="8" t="s">
        <v>40</v>
      </c>
      <c r="I970" s="10">
        <v>7</v>
      </c>
      <c r="J970" t="str">
        <f t="shared" si="75"/>
        <v>Moderate</v>
      </c>
      <c r="K970">
        <v>3</v>
      </c>
      <c r="L970" t="s">
        <v>62</v>
      </c>
      <c r="M970">
        <v>1</v>
      </c>
      <c r="N970">
        <v>4</v>
      </c>
      <c r="O970">
        <v>2</v>
      </c>
      <c r="P970" t="s">
        <v>42</v>
      </c>
      <c r="Q970">
        <v>1</v>
      </c>
      <c r="R970" s="11">
        <v>607</v>
      </c>
      <c r="S970" s="14">
        <v>83</v>
      </c>
      <c r="T970" s="13">
        <v>4639</v>
      </c>
      <c r="U970" s="13">
        <f t="shared" si="76"/>
        <v>55668</v>
      </c>
      <c r="V970" s="14">
        <v>2261</v>
      </c>
      <c r="W970">
        <v>2</v>
      </c>
      <c r="X970" s="8" t="s">
        <v>46</v>
      </c>
      <c r="Y970" s="15">
        <v>0.16</v>
      </c>
      <c r="Z970">
        <v>3</v>
      </c>
      <c r="AA970">
        <v>4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 t="str">
        <f t="shared" si="77"/>
        <v>4-7</v>
      </c>
      <c r="AI970">
        <v>6</v>
      </c>
      <c r="AJ970" t="str">
        <f t="shared" si="78"/>
        <v>6-8</v>
      </c>
      <c r="AK970">
        <v>13</v>
      </c>
    </row>
    <row r="971" spans="1:37" x14ac:dyDescent="0.25">
      <c r="A971" s="8">
        <v>970</v>
      </c>
      <c r="B971" t="s">
        <v>44</v>
      </c>
      <c r="C971" t="s">
        <v>37</v>
      </c>
      <c r="D971" s="8">
        <v>48</v>
      </c>
      <c r="E971" t="str">
        <f t="shared" si="79"/>
        <v>46-55</v>
      </c>
      <c r="F971" t="s">
        <v>46</v>
      </c>
      <c r="G971" t="s">
        <v>39</v>
      </c>
      <c r="H971" s="8" t="s">
        <v>48</v>
      </c>
      <c r="I971" s="10">
        <v>4</v>
      </c>
      <c r="J971" t="str">
        <f t="shared" si="75"/>
        <v>Near</v>
      </c>
      <c r="K971">
        <v>3</v>
      </c>
      <c r="L971" t="s">
        <v>41</v>
      </c>
      <c r="M971">
        <v>4</v>
      </c>
      <c r="N971">
        <v>3</v>
      </c>
      <c r="O971">
        <v>3</v>
      </c>
      <c r="P971" t="s">
        <v>55</v>
      </c>
      <c r="Q971">
        <v>4</v>
      </c>
      <c r="R971" s="11">
        <v>855</v>
      </c>
      <c r="S971" s="14">
        <v>54</v>
      </c>
      <c r="T971" s="13">
        <v>7898</v>
      </c>
      <c r="U971" s="13">
        <f t="shared" si="76"/>
        <v>94776</v>
      </c>
      <c r="V971" s="14">
        <v>18706</v>
      </c>
      <c r="W971">
        <v>1</v>
      </c>
      <c r="X971" s="8" t="s">
        <v>46</v>
      </c>
      <c r="Y971" s="15">
        <v>0.11</v>
      </c>
      <c r="Z971">
        <v>3</v>
      </c>
      <c r="AA971">
        <v>3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 t="str">
        <f t="shared" si="77"/>
        <v>8-11</v>
      </c>
      <c r="AI971">
        <v>0</v>
      </c>
      <c r="AJ971" t="str">
        <f t="shared" si="78"/>
        <v>0-2</v>
      </c>
      <c r="AK971">
        <v>8</v>
      </c>
    </row>
    <row r="972" spans="1:37" x14ac:dyDescent="0.25">
      <c r="A972" s="8">
        <v>971</v>
      </c>
      <c r="B972" t="s">
        <v>52</v>
      </c>
      <c r="C972" t="s">
        <v>45</v>
      </c>
      <c r="D972" s="8">
        <v>27</v>
      </c>
      <c r="E972" t="str">
        <f t="shared" si="79"/>
        <v>26-35</v>
      </c>
      <c r="F972" t="s">
        <v>46</v>
      </c>
      <c r="G972" t="s">
        <v>39</v>
      </c>
      <c r="H972" s="8" t="s">
        <v>40</v>
      </c>
      <c r="I972" s="10">
        <v>11</v>
      </c>
      <c r="J972" t="str">
        <f t="shared" si="75"/>
        <v>Moderate</v>
      </c>
      <c r="K972">
        <v>3</v>
      </c>
      <c r="L972" t="s">
        <v>53</v>
      </c>
      <c r="M972">
        <v>3</v>
      </c>
      <c r="N972">
        <v>4</v>
      </c>
      <c r="O972">
        <v>1</v>
      </c>
      <c r="P972" t="s">
        <v>60</v>
      </c>
      <c r="Q972">
        <v>4</v>
      </c>
      <c r="R972" s="11">
        <v>1291</v>
      </c>
      <c r="S972" s="14">
        <v>98</v>
      </c>
      <c r="T972" s="13">
        <v>2534</v>
      </c>
      <c r="U972" s="13">
        <f t="shared" si="76"/>
        <v>30408</v>
      </c>
      <c r="V972" s="14">
        <v>6527</v>
      </c>
      <c r="W972">
        <v>8</v>
      </c>
      <c r="X972" s="8" t="s">
        <v>46</v>
      </c>
      <c r="Y972" s="15">
        <v>0.14000000000000001</v>
      </c>
      <c r="Z972">
        <v>3</v>
      </c>
      <c r="AA972">
        <v>2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 t="str">
        <f t="shared" si="77"/>
        <v>0-3</v>
      </c>
      <c r="AI972">
        <v>0</v>
      </c>
      <c r="AJ972" t="str">
        <f t="shared" si="78"/>
        <v>0-2</v>
      </c>
      <c r="AK972">
        <v>0</v>
      </c>
    </row>
    <row r="973" spans="1:37" x14ac:dyDescent="0.25">
      <c r="A973" s="8">
        <v>972</v>
      </c>
      <c r="B973" t="s">
        <v>52</v>
      </c>
      <c r="C973" t="s">
        <v>37</v>
      </c>
      <c r="D973" s="8">
        <v>51</v>
      </c>
      <c r="E973" t="str">
        <f t="shared" si="79"/>
        <v>46-55</v>
      </c>
      <c r="F973" t="s">
        <v>46</v>
      </c>
      <c r="G973" t="s">
        <v>39</v>
      </c>
      <c r="H973" s="8" t="s">
        <v>48</v>
      </c>
      <c r="I973" s="10">
        <v>11</v>
      </c>
      <c r="J973" t="str">
        <f t="shared" si="75"/>
        <v>Moderate</v>
      </c>
      <c r="K973">
        <v>2</v>
      </c>
      <c r="L973" t="s">
        <v>63</v>
      </c>
      <c r="M973">
        <v>4</v>
      </c>
      <c r="N973">
        <v>2</v>
      </c>
      <c r="O973">
        <v>4</v>
      </c>
      <c r="P973" t="s">
        <v>55</v>
      </c>
      <c r="Q973">
        <v>2</v>
      </c>
      <c r="R973" s="11">
        <v>1405</v>
      </c>
      <c r="S973" s="14">
        <v>82</v>
      </c>
      <c r="T973" s="13">
        <v>13142</v>
      </c>
      <c r="U973" s="13">
        <f t="shared" si="76"/>
        <v>157704</v>
      </c>
      <c r="V973" s="14">
        <v>24439</v>
      </c>
      <c r="W973">
        <v>3</v>
      </c>
      <c r="X973" s="8" t="s">
        <v>46</v>
      </c>
      <c r="Y973" s="15">
        <v>0.16</v>
      </c>
      <c r="Z973">
        <v>3</v>
      </c>
      <c r="AA973">
        <v>2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 t="str">
        <f t="shared" si="77"/>
        <v>0-3</v>
      </c>
      <c r="AI973">
        <v>0</v>
      </c>
      <c r="AJ973" t="str">
        <f t="shared" si="78"/>
        <v>0-2</v>
      </c>
      <c r="AK973">
        <v>3</v>
      </c>
    </row>
    <row r="974" spans="1:37" x14ac:dyDescent="0.25">
      <c r="A974" s="8">
        <v>973</v>
      </c>
      <c r="B974" t="s">
        <v>52</v>
      </c>
      <c r="C974" t="s">
        <v>37</v>
      </c>
      <c r="D974" s="8">
        <v>18</v>
      </c>
      <c r="E974" t="str">
        <f t="shared" si="79"/>
        <v>18-25</v>
      </c>
      <c r="F974" t="s">
        <v>46</v>
      </c>
      <c r="G974" t="s">
        <v>58</v>
      </c>
      <c r="H974" s="8" t="s">
        <v>48</v>
      </c>
      <c r="I974" s="10">
        <v>1</v>
      </c>
      <c r="J974" t="str">
        <f t="shared" si="75"/>
        <v>Near</v>
      </c>
      <c r="K974">
        <v>3</v>
      </c>
      <c r="L974" t="s">
        <v>41</v>
      </c>
      <c r="M974">
        <v>4</v>
      </c>
      <c r="N974">
        <v>3</v>
      </c>
      <c r="O974">
        <v>1</v>
      </c>
      <c r="P974" t="s">
        <v>51</v>
      </c>
      <c r="Q974">
        <v>4</v>
      </c>
      <c r="R974" s="11">
        <v>1124</v>
      </c>
      <c r="S974" s="14">
        <v>97</v>
      </c>
      <c r="T974" s="13">
        <v>1611</v>
      </c>
      <c r="U974" s="13">
        <f t="shared" si="76"/>
        <v>19332</v>
      </c>
      <c r="V974" s="14">
        <v>19305</v>
      </c>
      <c r="W974">
        <v>1</v>
      </c>
      <c r="X974" s="8" t="s">
        <v>46</v>
      </c>
      <c r="Y974" s="15">
        <v>0.15</v>
      </c>
      <c r="Z974">
        <v>3</v>
      </c>
      <c r="AA974">
        <v>3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 t="str">
        <f t="shared" si="77"/>
        <v>0-3</v>
      </c>
      <c r="AI974">
        <v>0</v>
      </c>
      <c r="AJ974" t="str">
        <f t="shared" si="78"/>
        <v>0-2</v>
      </c>
      <c r="AK974">
        <v>0</v>
      </c>
    </row>
    <row r="975" spans="1:37" x14ac:dyDescent="0.25">
      <c r="A975" s="8">
        <v>974</v>
      </c>
      <c r="B975" t="s">
        <v>52</v>
      </c>
      <c r="C975" t="s">
        <v>45</v>
      </c>
      <c r="D975" s="8">
        <v>35</v>
      </c>
      <c r="E975" t="str">
        <f t="shared" si="79"/>
        <v>26-35</v>
      </c>
      <c r="F975" t="s">
        <v>46</v>
      </c>
      <c r="G975" t="s">
        <v>39</v>
      </c>
      <c r="H975" s="8" t="s">
        <v>48</v>
      </c>
      <c r="I975" s="10">
        <v>1</v>
      </c>
      <c r="J975" t="str">
        <f t="shared" si="75"/>
        <v>Near</v>
      </c>
      <c r="K975">
        <v>3</v>
      </c>
      <c r="L975" t="s">
        <v>53</v>
      </c>
      <c r="M975">
        <v>4</v>
      </c>
      <c r="N975">
        <v>2</v>
      </c>
      <c r="O975">
        <v>2</v>
      </c>
      <c r="P975" t="s">
        <v>51</v>
      </c>
      <c r="Q975">
        <v>4</v>
      </c>
      <c r="R975" s="11">
        <v>817</v>
      </c>
      <c r="S975" s="14">
        <v>60</v>
      </c>
      <c r="T975" s="13">
        <v>5363</v>
      </c>
      <c r="U975" s="13">
        <f t="shared" si="76"/>
        <v>64356</v>
      </c>
      <c r="V975" s="14">
        <v>10846</v>
      </c>
      <c r="W975">
        <v>0</v>
      </c>
      <c r="X975" s="8" t="s">
        <v>46</v>
      </c>
      <c r="Y975" s="15">
        <v>0.12</v>
      </c>
      <c r="Z975">
        <v>3</v>
      </c>
      <c r="AA975">
        <v>2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 t="str">
        <f t="shared" si="77"/>
        <v>4-7</v>
      </c>
      <c r="AI975">
        <v>0</v>
      </c>
      <c r="AJ975" t="str">
        <f t="shared" si="78"/>
        <v>0-2</v>
      </c>
      <c r="AK975">
        <v>0</v>
      </c>
    </row>
    <row r="976" spans="1:37" x14ac:dyDescent="0.25">
      <c r="A976" s="8">
        <v>975</v>
      </c>
      <c r="B976" t="s">
        <v>44</v>
      </c>
      <c r="C976" t="s">
        <v>37</v>
      </c>
      <c r="D976" s="8">
        <v>27</v>
      </c>
      <c r="E976" t="str">
        <f t="shared" si="79"/>
        <v>26-35</v>
      </c>
      <c r="F976" t="s">
        <v>46</v>
      </c>
      <c r="G976" t="s">
        <v>47</v>
      </c>
      <c r="H976" s="8" t="s">
        <v>40</v>
      </c>
      <c r="I976" s="10">
        <v>2</v>
      </c>
      <c r="J976" t="str">
        <f t="shared" si="75"/>
        <v>Near</v>
      </c>
      <c r="K976">
        <v>1</v>
      </c>
      <c r="L976" t="s">
        <v>41</v>
      </c>
      <c r="M976">
        <v>4</v>
      </c>
      <c r="N976">
        <v>1</v>
      </c>
      <c r="O976">
        <v>2</v>
      </c>
      <c r="P976" t="s">
        <v>42</v>
      </c>
      <c r="Q976">
        <v>4</v>
      </c>
      <c r="R976" s="11">
        <v>793</v>
      </c>
      <c r="S976" s="14">
        <v>43</v>
      </c>
      <c r="T976" s="13">
        <v>5071</v>
      </c>
      <c r="U976" s="13">
        <f t="shared" si="76"/>
        <v>60852</v>
      </c>
      <c r="V976" s="14">
        <v>20392</v>
      </c>
      <c r="W976">
        <v>3</v>
      </c>
      <c r="X976" s="8" t="s">
        <v>46</v>
      </c>
      <c r="Y976" s="15">
        <v>0.2</v>
      </c>
      <c r="Z976">
        <v>4</v>
      </c>
      <c r="AA976">
        <v>2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 t="str">
        <f t="shared" si="77"/>
        <v>0-3</v>
      </c>
      <c r="AI976">
        <v>0</v>
      </c>
      <c r="AJ976" t="str">
        <f t="shared" si="78"/>
        <v>0-2</v>
      </c>
      <c r="AK976">
        <v>0</v>
      </c>
    </row>
    <row r="977" spans="1:37" x14ac:dyDescent="0.25">
      <c r="A977" s="8">
        <v>976</v>
      </c>
      <c r="B977" t="s">
        <v>44</v>
      </c>
      <c r="C977" t="s">
        <v>37</v>
      </c>
      <c r="D977" s="8">
        <v>55</v>
      </c>
      <c r="E977" t="str">
        <f t="shared" si="79"/>
        <v>46-55</v>
      </c>
      <c r="F977" t="s">
        <v>38</v>
      </c>
      <c r="G977" t="s">
        <v>39</v>
      </c>
      <c r="H977" s="8" t="s">
        <v>40</v>
      </c>
      <c r="I977" s="10">
        <v>13</v>
      </c>
      <c r="J977" t="str">
        <f t="shared" si="75"/>
        <v>Moderate</v>
      </c>
      <c r="K977">
        <v>4</v>
      </c>
      <c r="L977" t="s">
        <v>62</v>
      </c>
      <c r="M977">
        <v>1</v>
      </c>
      <c r="N977">
        <v>4</v>
      </c>
      <c r="O977">
        <v>4</v>
      </c>
      <c r="P977" t="s">
        <v>42</v>
      </c>
      <c r="Q977">
        <v>3</v>
      </c>
      <c r="R977" s="11">
        <v>267</v>
      </c>
      <c r="S977" s="14">
        <v>85</v>
      </c>
      <c r="T977" s="13">
        <v>13695</v>
      </c>
      <c r="U977" s="13">
        <f t="shared" si="76"/>
        <v>164340</v>
      </c>
      <c r="V977" s="14">
        <v>9277</v>
      </c>
      <c r="W977">
        <v>6</v>
      </c>
      <c r="X977" s="8" t="s">
        <v>38</v>
      </c>
      <c r="Y977" s="15">
        <v>0.17</v>
      </c>
      <c r="Z977">
        <v>3</v>
      </c>
      <c r="AA977">
        <v>3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 t="str">
        <f t="shared" si="77"/>
        <v>4-7</v>
      </c>
      <c r="AI977">
        <v>3</v>
      </c>
      <c r="AJ977" t="str">
        <f t="shared" si="78"/>
        <v>3-5</v>
      </c>
      <c r="AK977">
        <v>8</v>
      </c>
    </row>
    <row r="978" spans="1:37" x14ac:dyDescent="0.25">
      <c r="A978" s="8">
        <v>977</v>
      </c>
      <c r="B978" t="s">
        <v>44</v>
      </c>
      <c r="C978" t="s">
        <v>45</v>
      </c>
      <c r="D978" s="8">
        <v>56</v>
      </c>
      <c r="E978" t="str">
        <f t="shared" si="79"/>
        <v>55+</v>
      </c>
      <c r="F978" t="s">
        <v>46</v>
      </c>
      <c r="G978" t="s">
        <v>39</v>
      </c>
      <c r="H978" s="8" t="s">
        <v>48</v>
      </c>
      <c r="I978" s="10">
        <v>23</v>
      </c>
      <c r="J978" t="str">
        <f t="shared" si="75"/>
        <v>Far</v>
      </c>
      <c r="K978">
        <v>3</v>
      </c>
      <c r="L978" t="s">
        <v>41</v>
      </c>
      <c r="M978">
        <v>4</v>
      </c>
      <c r="N978">
        <v>3</v>
      </c>
      <c r="O978">
        <v>4</v>
      </c>
      <c r="P978" t="s">
        <v>55</v>
      </c>
      <c r="Q978">
        <v>2</v>
      </c>
      <c r="R978" s="11">
        <v>1369</v>
      </c>
      <c r="S978" s="14">
        <v>68</v>
      </c>
      <c r="T978" s="13">
        <v>13402</v>
      </c>
      <c r="U978" s="13">
        <f t="shared" si="76"/>
        <v>160824</v>
      </c>
      <c r="V978" s="14">
        <v>18235</v>
      </c>
      <c r="W978">
        <v>4</v>
      </c>
      <c r="X978" s="8" t="s">
        <v>38</v>
      </c>
      <c r="Y978" s="15">
        <v>0.12</v>
      </c>
      <c r="Z978">
        <v>3</v>
      </c>
      <c r="AA978">
        <v>1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 t="str">
        <f t="shared" si="77"/>
        <v>16-19</v>
      </c>
      <c r="AI978">
        <v>15</v>
      </c>
      <c r="AJ978" t="str">
        <f t="shared" si="78"/>
        <v>12-15</v>
      </c>
      <c r="AK978">
        <v>9</v>
      </c>
    </row>
    <row r="979" spans="1:37" x14ac:dyDescent="0.25">
      <c r="A979" s="8">
        <v>978</v>
      </c>
      <c r="B979" t="s">
        <v>52</v>
      </c>
      <c r="C979" t="s">
        <v>54</v>
      </c>
      <c r="D979" s="8">
        <v>34</v>
      </c>
      <c r="E979" t="str">
        <f t="shared" si="79"/>
        <v>26-35</v>
      </c>
      <c r="F979" t="s">
        <v>46</v>
      </c>
      <c r="G979" t="s">
        <v>58</v>
      </c>
      <c r="H979" s="8" t="s">
        <v>48</v>
      </c>
      <c r="I979" s="10">
        <v>26</v>
      </c>
      <c r="J979" t="str">
        <f t="shared" si="75"/>
        <v>Far</v>
      </c>
      <c r="K979">
        <v>1</v>
      </c>
      <c r="L979" t="s">
        <v>63</v>
      </c>
      <c r="M979">
        <v>1</v>
      </c>
      <c r="N979">
        <v>2</v>
      </c>
      <c r="O979">
        <v>1</v>
      </c>
      <c r="P979" t="s">
        <v>49</v>
      </c>
      <c r="Q979">
        <v>3</v>
      </c>
      <c r="R979" s="11">
        <v>999</v>
      </c>
      <c r="S979" s="14">
        <v>92</v>
      </c>
      <c r="T979" s="13">
        <v>2029</v>
      </c>
      <c r="U979" s="13">
        <f t="shared" si="76"/>
        <v>24348</v>
      </c>
      <c r="V979" s="14">
        <v>15891</v>
      </c>
      <c r="W979">
        <v>1</v>
      </c>
      <c r="X979" s="8" t="s">
        <v>46</v>
      </c>
      <c r="Y979" s="15">
        <v>0.2</v>
      </c>
      <c r="Z979">
        <v>4</v>
      </c>
      <c r="AA979">
        <v>3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 t="str">
        <f t="shared" si="77"/>
        <v>4-7</v>
      </c>
      <c r="AI979">
        <v>0</v>
      </c>
      <c r="AJ979" t="str">
        <f t="shared" si="78"/>
        <v>0-2</v>
      </c>
      <c r="AK979">
        <v>0</v>
      </c>
    </row>
    <row r="980" spans="1:37" x14ac:dyDescent="0.25">
      <c r="A980" s="8">
        <v>979</v>
      </c>
      <c r="B980" t="s">
        <v>52</v>
      </c>
      <c r="C980" t="s">
        <v>54</v>
      </c>
      <c r="D980" s="8">
        <v>40</v>
      </c>
      <c r="E980" t="str">
        <f t="shared" si="79"/>
        <v>36-45</v>
      </c>
      <c r="F980" t="s">
        <v>46</v>
      </c>
      <c r="G980" t="s">
        <v>39</v>
      </c>
      <c r="H980" s="8" t="s">
        <v>48</v>
      </c>
      <c r="I980" s="10">
        <v>2</v>
      </c>
      <c r="J980" t="str">
        <f t="shared" si="75"/>
        <v>Near</v>
      </c>
      <c r="K980">
        <v>1</v>
      </c>
      <c r="L980" t="s">
        <v>53</v>
      </c>
      <c r="M980">
        <v>2</v>
      </c>
      <c r="N980">
        <v>4</v>
      </c>
      <c r="O980">
        <v>2</v>
      </c>
      <c r="P980" t="s">
        <v>56</v>
      </c>
      <c r="Q980">
        <v>3</v>
      </c>
      <c r="R980" s="11">
        <v>1202</v>
      </c>
      <c r="S980" s="14">
        <v>89</v>
      </c>
      <c r="T980" s="13">
        <v>6377</v>
      </c>
      <c r="U980" s="13">
        <f t="shared" si="76"/>
        <v>76524</v>
      </c>
      <c r="V980" s="14">
        <v>13888</v>
      </c>
      <c r="W980">
        <v>5</v>
      </c>
      <c r="X980" s="8" t="s">
        <v>46</v>
      </c>
      <c r="Y980" s="15">
        <v>0.2</v>
      </c>
      <c r="Z980">
        <v>4</v>
      </c>
      <c r="AA980">
        <v>2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 t="str">
        <f t="shared" si="77"/>
        <v>8-11</v>
      </c>
      <c r="AI980">
        <v>11</v>
      </c>
      <c r="AJ980" t="str">
        <f t="shared" si="78"/>
        <v>9-11</v>
      </c>
      <c r="AK980">
        <v>8</v>
      </c>
    </row>
    <row r="981" spans="1:37" x14ac:dyDescent="0.25">
      <c r="A981" s="8">
        <v>980</v>
      </c>
      <c r="B981" t="s">
        <v>44</v>
      </c>
      <c r="C981" t="s">
        <v>45</v>
      </c>
      <c r="D981" s="8">
        <v>34</v>
      </c>
      <c r="E981" t="str">
        <f t="shared" si="79"/>
        <v>26-35</v>
      </c>
      <c r="F981" t="s">
        <v>46</v>
      </c>
      <c r="G981" t="s">
        <v>39</v>
      </c>
      <c r="H981" s="8" t="s">
        <v>48</v>
      </c>
      <c r="I981" s="10">
        <v>29</v>
      </c>
      <c r="J981" t="str">
        <f t="shared" si="75"/>
        <v>Far</v>
      </c>
      <c r="K981">
        <v>3</v>
      </c>
      <c r="L981" t="s">
        <v>53</v>
      </c>
      <c r="M981">
        <v>2</v>
      </c>
      <c r="N981">
        <v>3</v>
      </c>
      <c r="O981">
        <v>2</v>
      </c>
      <c r="P981" t="s">
        <v>51</v>
      </c>
      <c r="Q981">
        <v>3</v>
      </c>
      <c r="R981" s="11">
        <v>285</v>
      </c>
      <c r="S981" s="14">
        <v>86</v>
      </c>
      <c r="T981" s="13">
        <v>5429</v>
      </c>
      <c r="U981" s="13">
        <f t="shared" si="76"/>
        <v>65148</v>
      </c>
      <c r="V981" s="14">
        <v>17491</v>
      </c>
      <c r="W981">
        <v>4</v>
      </c>
      <c r="X981" s="8" t="s">
        <v>46</v>
      </c>
      <c r="Y981" s="15">
        <v>0.13</v>
      </c>
      <c r="Z981">
        <v>3</v>
      </c>
      <c r="AA981">
        <v>1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 t="str">
        <f t="shared" si="77"/>
        <v>4-7</v>
      </c>
      <c r="AI981">
        <v>7</v>
      </c>
      <c r="AJ981" t="str">
        <f t="shared" si="78"/>
        <v>6-8</v>
      </c>
      <c r="AK981">
        <v>7</v>
      </c>
    </row>
    <row r="982" spans="1:37" x14ac:dyDescent="0.25">
      <c r="A982" s="8">
        <v>981</v>
      </c>
      <c r="B982" t="s">
        <v>52</v>
      </c>
      <c r="C982" t="s">
        <v>37</v>
      </c>
      <c r="D982" s="8">
        <v>31</v>
      </c>
      <c r="E982" t="str">
        <f t="shared" si="79"/>
        <v>26-35</v>
      </c>
      <c r="F982" t="s">
        <v>38</v>
      </c>
      <c r="G982" t="s">
        <v>47</v>
      </c>
      <c r="H982" s="8" t="s">
        <v>40</v>
      </c>
      <c r="I982" s="10">
        <v>2</v>
      </c>
      <c r="J982" t="str">
        <f t="shared" si="75"/>
        <v>Near</v>
      </c>
      <c r="K982">
        <v>3</v>
      </c>
      <c r="L982" t="s">
        <v>41</v>
      </c>
      <c r="M982">
        <v>3</v>
      </c>
      <c r="N982">
        <v>2</v>
      </c>
      <c r="O982">
        <v>1</v>
      </c>
      <c r="P982" t="s">
        <v>60</v>
      </c>
      <c r="Q982">
        <v>4</v>
      </c>
      <c r="R982" s="11">
        <v>703</v>
      </c>
      <c r="S982" s="14">
        <v>90</v>
      </c>
      <c r="T982" s="13">
        <v>2785</v>
      </c>
      <c r="U982" s="13">
        <f t="shared" si="76"/>
        <v>33420</v>
      </c>
      <c r="V982" s="14">
        <v>11882</v>
      </c>
      <c r="W982">
        <v>7</v>
      </c>
      <c r="X982" s="8" t="s">
        <v>46</v>
      </c>
      <c r="Y982" s="15">
        <v>0.14000000000000001</v>
      </c>
      <c r="Z982">
        <v>3</v>
      </c>
      <c r="AA982">
        <v>3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 t="str">
        <f t="shared" si="77"/>
        <v>0-3</v>
      </c>
      <c r="AI982">
        <v>0</v>
      </c>
      <c r="AJ982" t="str">
        <f t="shared" si="78"/>
        <v>0-2</v>
      </c>
      <c r="AK982">
        <v>0</v>
      </c>
    </row>
    <row r="983" spans="1:37" x14ac:dyDescent="0.25">
      <c r="A983" s="8">
        <v>982</v>
      </c>
      <c r="B983" t="s">
        <v>52</v>
      </c>
      <c r="C983" t="s">
        <v>45</v>
      </c>
      <c r="D983" s="8">
        <v>35</v>
      </c>
      <c r="E983" t="str">
        <f t="shared" si="79"/>
        <v>26-35</v>
      </c>
      <c r="F983" t="s">
        <v>38</v>
      </c>
      <c r="G983" t="s">
        <v>47</v>
      </c>
      <c r="H983" s="8" t="s">
        <v>40</v>
      </c>
      <c r="I983" s="10">
        <v>18</v>
      </c>
      <c r="J983" t="str">
        <f t="shared" si="75"/>
        <v>Far</v>
      </c>
      <c r="K983">
        <v>4</v>
      </c>
      <c r="L983" t="s">
        <v>62</v>
      </c>
      <c r="M983">
        <v>4</v>
      </c>
      <c r="N983">
        <v>3</v>
      </c>
      <c r="O983">
        <v>2</v>
      </c>
      <c r="P983" t="s">
        <v>42</v>
      </c>
      <c r="Q983">
        <v>3</v>
      </c>
      <c r="R983" s="11">
        <v>662</v>
      </c>
      <c r="S983" s="14">
        <v>67</v>
      </c>
      <c r="T983" s="13">
        <v>4614</v>
      </c>
      <c r="U983" s="13">
        <f t="shared" si="76"/>
        <v>55368</v>
      </c>
      <c r="V983" s="14">
        <v>23288</v>
      </c>
      <c r="W983">
        <v>0</v>
      </c>
      <c r="X983" s="8" t="s">
        <v>38</v>
      </c>
      <c r="Y983" s="15">
        <v>0.18</v>
      </c>
      <c r="Z983">
        <v>3</v>
      </c>
      <c r="AA983">
        <v>3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 t="str">
        <f t="shared" si="77"/>
        <v>0-3</v>
      </c>
      <c r="AI983">
        <v>3</v>
      </c>
      <c r="AJ983" t="str">
        <f t="shared" si="78"/>
        <v>3-5</v>
      </c>
      <c r="AK983">
        <v>2</v>
      </c>
    </row>
    <row r="984" spans="1:37" x14ac:dyDescent="0.25">
      <c r="A984" s="8">
        <v>983</v>
      </c>
      <c r="B984" t="s">
        <v>44</v>
      </c>
      <c r="C984" t="s">
        <v>54</v>
      </c>
      <c r="D984" s="8">
        <v>38</v>
      </c>
      <c r="E984" t="str">
        <f t="shared" si="79"/>
        <v>36-45</v>
      </c>
      <c r="F984" t="s">
        <v>46</v>
      </c>
      <c r="G984" t="s">
        <v>47</v>
      </c>
      <c r="H984" s="8" t="s">
        <v>48</v>
      </c>
      <c r="I984" s="10">
        <v>7</v>
      </c>
      <c r="J984" t="str">
        <f t="shared" si="75"/>
        <v>Moderate</v>
      </c>
      <c r="K984">
        <v>3</v>
      </c>
      <c r="L984" t="s">
        <v>41</v>
      </c>
      <c r="M984">
        <v>4</v>
      </c>
      <c r="N984">
        <v>4</v>
      </c>
      <c r="O984">
        <v>1</v>
      </c>
      <c r="P984" t="s">
        <v>49</v>
      </c>
      <c r="Q984">
        <v>3</v>
      </c>
      <c r="R984" s="11">
        <v>693</v>
      </c>
      <c r="S984" s="14">
        <v>57</v>
      </c>
      <c r="T984" s="13">
        <v>2610</v>
      </c>
      <c r="U984" s="13">
        <f t="shared" si="76"/>
        <v>31320</v>
      </c>
      <c r="V984" s="14">
        <v>15748</v>
      </c>
      <c r="W984">
        <v>1</v>
      </c>
      <c r="X984" s="8" t="s">
        <v>46</v>
      </c>
      <c r="Y984" s="15">
        <v>0.11</v>
      </c>
      <c r="Z984">
        <v>3</v>
      </c>
      <c r="AA984">
        <v>4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 t="str">
        <f t="shared" si="77"/>
        <v>0-3</v>
      </c>
      <c r="AI984">
        <v>0</v>
      </c>
      <c r="AJ984" t="str">
        <f t="shared" si="78"/>
        <v>0-2</v>
      </c>
      <c r="AK984">
        <v>3</v>
      </c>
    </row>
    <row r="985" spans="1:37" x14ac:dyDescent="0.25">
      <c r="A985" s="8">
        <v>984</v>
      </c>
      <c r="B985" t="s">
        <v>52</v>
      </c>
      <c r="C985" t="s">
        <v>37</v>
      </c>
      <c r="D985" s="8">
        <v>34</v>
      </c>
      <c r="E985" t="str">
        <f t="shared" si="79"/>
        <v>26-35</v>
      </c>
      <c r="F985" t="s">
        <v>46</v>
      </c>
      <c r="G985" t="s">
        <v>39</v>
      </c>
      <c r="H985" s="8" t="s">
        <v>48</v>
      </c>
      <c r="I985" s="10">
        <v>2</v>
      </c>
      <c r="J985" t="str">
        <f t="shared" si="75"/>
        <v>Near</v>
      </c>
      <c r="K985">
        <v>4</v>
      </c>
      <c r="L985" t="s">
        <v>63</v>
      </c>
      <c r="M985">
        <v>3</v>
      </c>
      <c r="N985">
        <v>3</v>
      </c>
      <c r="O985">
        <v>2</v>
      </c>
      <c r="P985" t="s">
        <v>56</v>
      </c>
      <c r="Q985">
        <v>4</v>
      </c>
      <c r="R985" s="11">
        <v>404</v>
      </c>
      <c r="S985" s="14">
        <v>98</v>
      </c>
      <c r="T985" s="13">
        <v>6687</v>
      </c>
      <c r="U985" s="13">
        <f t="shared" si="76"/>
        <v>80244</v>
      </c>
      <c r="V985" s="14">
        <v>6163</v>
      </c>
      <c r="W985">
        <v>1</v>
      </c>
      <c r="X985" s="8" t="s">
        <v>46</v>
      </c>
      <c r="Y985" s="15">
        <v>0.11</v>
      </c>
      <c r="Z985">
        <v>3</v>
      </c>
      <c r="AA985">
        <v>4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 t="str">
        <f t="shared" si="77"/>
        <v>8-11</v>
      </c>
      <c r="AI985">
        <v>4</v>
      </c>
      <c r="AJ985" t="str">
        <f t="shared" si="78"/>
        <v>3-5</v>
      </c>
      <c r="AK985">
        <v>11</v>
      </c>
    </row>
    <row r="986" spans="1:37" x14ac:dyDescent="0.25">
      <c r="A986" s="8">
        <v>985</v>
      </c>
      <c r="B986" t="s">
        <v>44</v>
      </c>
      <c r="C986" t="s">
        <v>45</v>
      </c>
      <c r="D986" s="8">
        <v>28</v>
      </c>
      <c r="E986" t="str">
        <f t="shared" si="79"/>
        <v>26-35</v>
      </c>
      <c r="F986" t="s">
        <v>46</v>
      </c>
      <c r="G986" t="s">
        <v>39</v>
      </c>
      <c r="H986" s="8" t="s">
        <v>40</v>
      </c>
      <c r="I986" s="10">
        <v>26</v>
      </c>
      <c r="J986" t="str">
        <f t="shared" si="75"/>
        <v>Far</v>
      </c>
      <c r="K986">
        <v>3</v>
      </c>
      <c r="L986" t="s">
        <v>41</v>
      </c>
      <c r="M986">
        <v>3</v>
      </c>
      <c r="N986">
        <v>2</v>
      </c>
      <c r="O986">
        <v>2</v>
      </c>
      <c r="P986" t="s">
        <v>42</v>
      </c>
      <c r="Q986">
        <v>1</v>
      </c>
      <c r="R986" s="11">
        <v>736</v>
      </c>
      <c r="S986" s="14">
        <v>48</v>
      </c>
      <c r="T986" s="13">
        <v>4724</v>
      </c>
      <c r="U986" s="13">
        <f t="shared" si="76"/>
        <v>56688</v>
      </c>
      <c r="V986" s="14">
        <v>24232</v>
      </c>
      <c r="W986">
        <v>1</v>
      </c>
      <c r="X986" s="8" t="s">
        <v>46</v>
      </c>
      <c r="Y986" s="15">
        <v>0.11</v>
      </c>
      <c r="Z986">
        <v>3</v>
      </c>
      <c r="AA986">
        <v>3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 t="str">
        <f t="shared" si="77"/>
        <v>0-3</v>
      </c>
      <c r="AI986">
        <v>0</v>
      </c>
      <c r="AJ986" t="str">
        <f t="shared" si="78"/>
        <v>0-2</v>
      </c>
      <c r="AK986">
        <v>4</v>
      </c>
    </row>
    <row r="987" spans="1:37" x14ac:dyDescent="0.25">
      <c r="A987" s="8">
        <v>986</v>
      </c>
      <c r="B987" t="s">
        <v>44</v>
      </c>
      <c r="C987" t="s">
        <v>45</v>
      </c>
      <c r="D987" s="8">
        <v>31</v>
      </c>
      <c r="E987" t="str">
        <f t="shared" si="79"/>
        <v>26-35</v>
      </c>
      <c r="F987" t="s">
        <v>38</v>
      </c>
      <c r="G987" t="s">
        <v>39</v>
      </c>
      <c r="H987" s="8" t="s">
        <v>48</v>
      </c>
      <c r="I987" s="10">
        <v>22</v>
      </c>
      <c r="J987" t="str">
        <f t="shared" si="75"/>
        <v>Far</v>
      </c>
      <c r="K987">
        <v>4</v>
      </c>
      <c r="L987" t="s">
        <v>53</v>
      </c>
      <c r="M987">
        <v>4</v>
      </c>
      <c r="N987">
        <v>3</v>
      </c>
      <c r="O987">
        <v>2</v>
      </c>
      <c r="P987" t="s">
        <v>55</v>
      </c>
      <c r="Q987">
        <v>3</v>
      </c>
      <c r="R987" s="11">
        <v>330</v>
      </c>
      <c r="S987" s="14">
        <v>98</v>
      </c>
      <c r="T987" s="13">
        <v>6179</v>
      </c>
      <c r="U987" s="13">
        <f t="shared" si="76"/>
        <v>74148</v>
      </c>
      <c r="V987" s="14">
        <v>21057</v>
      </c>
      <c r="W987">
        <v>1</v>
      </c>
      <c r="X987" s="8" t="s">
        <v>38</v>
      </c>
      <c r="Y987" s="15">
        <v>0.15</v>
      </c>
      <c r="Z987">
        <v>3</v>
      </c>
      <c r="AA987">
        <v>4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 t="str">
        <f t="shared" si="77"/>
        <v>0-3</v>
      </c>
      <c r="AI987">
        <v>6</v>
      </c>
      <c r="AJ987" t="str">
        <f t="shared" si="78"/>
        <v>6-8</v>
      </c>
      <c r="AK987">
        <v>7</v>
      </c>
    </row>
    <row r="988" spans="1:37" x14ac:dyDescent="0.25">
      <c r="A988" s="8">
        <v>987</v>
      </c>
      <c r="B988" t="s">
        <v>44</v>
      </c>
      <c r="C988" t="s">
        <v>45</v>
      </c>
      <c r="D988" s="8">
        <v>39</v>
      </c>
      <c r="E988" t="str">
        <f t="shared" si="79"/>
        <v>36-45</v>
      </c>
      <c r="F988" t="s">
        <v>46</v>
      </c>
      <c r="G988" t="s">
        <v>39</v>
      </c>
      <c r="H988" s="8" t="s">
        <v>40</v>
      </c>
      <c r="I988" s="10">
        <v>21</v>
      </c>
      <c r="J988" t="str">
        <f t="shared" si="75"/>
        <v>Far</v>
      </c>
      <c r="K988">
        <v>4</v>
      </c>
      <c r="L988" t="s">
        <v>41</v>
      </c>
      <c r="M988">
        <v>1</v>
      </c>
      <c r="N988">
        <v>2</v>
      </c>
      <c r="O988">
        <v>2</v>
      </c>
      <c r="P988" t="s">
        <v>42</v>
      </c>
      <c r="Q988">
        <v>4</v>
      </c>
      <c r="R988" s="11">
        <v>1498</v>
      </c>
      <c r="S988" s="14">
        <v>44</v>
      </c>
      <c r="T988" s="13">
        <v>6120</v>
      </c>
      <c r="U988" s="13">
        <f t="shared" si="76"/>
        <v>73440</v>
      </c>
      <c r="V988" s="14">
        <v>3567</v>
      </c>
      <c r="W988">
        <v>3</v>
      </c>
      <c r="X988" s="8" t="s">
        <v>38</v>
      </c>
      <c r="Y988" s="15">
        <v>0.12</v>
      </c>
      <c r="Z988">
        <v>3</v>
      </c>
      <c r="AA988">
        <v>4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 t="str">
        <f t="shared" si="77"/>
        <v>4-7</v>
      </c>
      <c r="AI988">
        <v>1</v>
      </c>
      <c r="AJ988" t="str">
        <f t="shared" si="78"/>
        <v>0-2</v>
      </c>
      <c r="AK988">
        <v>4</v>
      </c>
    </row>
    <row r="989" spans="1:37" x14ac:dyDescent="0.25">
      <c r="A989" s="8">
        <v>988</v>
      </c>
      <c r="B989" t="s">
        <v>44</v>
      </c>
      <c r="C989" t="s">
        <v>45</v>
      </c>
      <c r="D989" s="8">
        <v>51</v>
      </c>
      <c r="E989" t="str">
        <f t="shared" si="79"/>
        <v>46-55</v>
      </c>
      <c r="F989" t="s">
        <v>46</v>
      </c>
      <c r="G989" t="s">
        <v>47</v>
      </c>
      <c r="H989" s="8" t="s">
        <v>40</v>
      </c>
      <c r="I989" s="10">
        <v>2</v>
      </c>
      <c r="J989" t="str">
        <f t="shared" si="75"/>
        <v>Near</v>
      </c>
      <c r="K989">
        <v>3</v>
      </c>
      <c r="L989" t="s">
        <v>62</v>
      </c>
      <c r="M989">
        <v>2</v>
      </c>
      <c r="N989">
        <v>3</v>
      </c>
      <c r="O989">
        <v>3</v>
      </c>
      <c r="P989" t="s">
        <v>42</v>
      </c>
      <c r="Q989">
        <v>2</v>
      </c>
      <c r="R989" s="11">
        <v>541</v>
      </c>
      <c r="S989" s="14">
        <v>52</v>
      </c>
      <c r="T989" s="13">
        <v>10596</v>
      </c>
      <c r="U989" s="13">
        <f t="shared" si="76"/>
        <v>127152</v>
      </c>
      <c r="V989" s="14">
        <v>15395</v>
      </c>
      <c r="W989">
        <v>2</v>
      </c>
      <c r="X989" s="8" t="s">
        <v>46</v>
      </c>
      <c r="Y989" s="15">
        <v>0.11</v>
      </c>
      <c r="Z989">
        <v>3</v>
      </c>
      <c r="AA989">
        <v>2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 t="str">
        <f t="shared" si="77"/>
        <v>0-3</v>
      </c>
      <c r="AI989">
        <v>3</v>
      </c>
      <c r="AJ989" t="str">
        <f t="shared" si="78"/>
        <v>3-5</v>
      </c>
      <c r="AK989">
        <v>2</v>
      </c>
    </row>
    <row r="990" spans="1:37" x14ac:dyDescent="0.25">
      <c r="A990" s="8">
        <v>989</v>
      </c>
      <c r="B990" t="s">
        <v>52</v>
      </c>
      <c r="C990" t="s">
        <v>54</v>
      </c>
      <c r="D990" s="8">
        <v>41</v>
      </c>
      <c r="E990" t="str">
        <f t="shared" si="79"/>
        <v>36-45</v>
      </c>
      <c r="F990" t="s">
        <v>46</v>
      </c>
      <c r="G990" t="s">
        <v>47</v>
      </c>
      <c r="H990" s="8" t="s">
        <v>48</v>
      </c>
      <c r="I990" s="10">
        <v>22</v>
      </c>
      <c r="J990" t="str">
        <f t="shared" si="75"/>
        <v>Far</v>
      </c>
      <c r="K990">
        <v>3</v>
      </c>
      <c r="L990" t="s">
        <v>41</v>
      </c>
      <c r="M990">
        <v>4</v>
      </c>
      <c r="N990">
        <v>3</v>
      </c>
      <c r="O990">
        <v>2</v>
      </c>
      <c r="P990" t="s">
        <v>49</v>
      </c>
      <c r="Q990">
        <v>4</v>
      </c>
      <c r="R990" s="11">
        <v>1200</v>
      </c>
      <c r="S990" s="14">
        <v>75</v>
      </c>
      <c r="T990" s="13">
        <v>5467</v>
      </c>
      <c r="U990" s="13">
        <f t="shared" si="76"/>
        <v>65604</v>
      </c>
      <c r="V990" s="14">
        <v>13953</v>
      </c>
      <c r="W990">
        <v>3</v>
      </c>
      <c r="X990" s="8" t="s">
        <v>38</v>
      </c>
      <c r="Y990" s="15">
        <v>0.14000000000000001</v>
      </c>
      <c r="Z990">
        <v>3</v>
      </c>
      <c r="AA990">
        <v>1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 t="str">
        <f t="shared" si="77"/>
        <v>0-3</v>
      </c>
      <c r="AI990">
        <v>3</v>
      </c>
      <c r="AJ990" t="str">
        <f t="shared" si="78"/>
        <v>3-5</v>
      </c>
      <c r="AK990">
        <v>3</v>
      </c>
    </row>
    <row r="991" spans="1:37" x14ac:dyDescent="0.25">
      <c r="A991" s="8">
        <v>990</v>
      </c>
      <c r="B991" t="s">
        <v>44</v>
      </c>
      <c r="C991" t="s">
        <v>45</v>
      </c>
      <c r="D991" s="8">
        <v>37</v>
      </c>
      <c r="E991" t="str">
        <f t="shared" si="79"/>
        <v>36-45</v>
      </c>
      <c r="F991" t="s">
        <v>46</v>
      </c>
      <c r="G991" t="s">
        <v>39</v>
      </c>
      <c r="H991" s="8" t="s">
        <v>48</v>
      </c>
      <c r="I991" s="10">
        <v>4</v>
      </c>
      <c r="J991" t="str">
        <f t="shared" si="75"/>
        <v>Near</v>
      </c>
      <c r="K991">
        <v>1</v>
      </c>
      <c r="L991" t="s">
        <v>41</v>
      </c>
      <c r="M991">
        <v>3</v>
      </c>
      <c r="N991">
        <v>3</v>
      </c>
      <c r="O991">
        <v>1</v>
      </c>
      <c r="P991" t="s">
        <v>49</v>
      </c>
      <c r="Q991">
        <v>3</v>
      </c>
      <c r="R991" s="11">
        <v>1439</v>
      </c>
      <c r="S991" s="14">
        <v>54</v>
      </c>
      <c r="T991" s="13">
        <v>2996</v>
      </c>
      <c r="U991" s="13">
        <f t="shared" si="76"/>
        <v>35952</v>
      </c>
      <c r="V991" s="14">
        <v>5182</v>
      </c>
      <c r="W991">
        <v>7</v>
      </c>
      <c r="X991" s="8" t="s">
        <v>38</v>
      </c>
      <c r="Y991" s="15">
        <v>0.15</v>
      </c>
      <c r="Z991">
        <v>3</v>
      </c>
      <c r="AA991">
        <v>4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 t="str">
        <f t="shared" si="77"/>
        <v>4-7</v>
      </c>
      <c r="AI991">
        <v>1</v>
      </c>
      <c r="AJ991" t="str">
        <f t="shared" si="78"/>
        <v>0-2</v>
      </c>
      <c r="AK991">
        <v>3</v>
      </c>
    </row>
    <row r="992" spans="1:37" x14ac:dyDescent="0.25">
      <c r="A992" s="8">
        <v>991</v>
      </c>
      <c r="B992" t="s">
        <v>44</v>
      </c>
      <c r="C992" t="s">
        <v>45</v>
      </c>
      <c r="D992" s="8">
        <v>33</v>
      </c>
      <c r="E992" t="str">
        <f t="shared" si="79"/>
        <v>26-35</v>
      </c>
      <c r="F992" t="s">
        <v>46</v>
      </c>
      <c r="G992" t="s">
        <v>47</v>
      </c>
      <c r="H992" s="8" t="s">
        <v>40</v>
      </c>
      <c r="I992" s="10">
        <v>5</v>
      </c>
      <c r="J992" t="str">
        <f t="shared" si="75"/>
        <v>Near</v>
      </c>
      <c r="K992">
        <v>1</v>
      </c>
      <c r="L992" t="s">
        <v>41</v>
      </c>
      <c r="M992">
        <v>2</v>
      </c>
      <c r="N992">
        <v>3</v>
      </c>
      <c r="O992">
        <v>2</v>
      </c>
      <c r="P992" t="s">
        <v>42</v>
      </c>
      <c r="Q992">
        <v>4</v>
      </c>
      <c r="R992" s="11">
        <v>1111</v>
      </c>
      <c r="S992" s="14">
        <v>61</v>
      </c>
      <c r="T992" s="13">
        <v>9998</v>
      </c>
      <c r="U992" s="13">
        <f t="shared" si="76"/>
        <v>119976</v>
      </c>
      <c r="V992" s="14">
        <v>19293</v>
      </c>
      <c r="W992">
        <v>6</v>
      </c>
      <c r="X992" s="8" t="s">
        <v>46</v>
      </c>
      <c r="Y992" s="15">
        <v>0.13</v>
      </c>
      <c r="Z992">
        <v>3</v>
      </c>
      <c r="AA992">
        <v>1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 t="str">
        <f t="shared" si="77"/>
        <v>4-7</v>
      </c>
      <c r="AI992">
        <v>1</v>
      </c>
      <c r="AJ992" t="str">
        <f t="shared" si="78"/>
        <v>0-2</v>
      </c>
      <c r="AK992">
        <v>2</v>
      </c>
    </row>
    <row r="993" spans="1:37" x14ac:dyDescent="0.25">
      <c r="A993" s="8">
        <v>992</v>
      </c>
      <c r="B993" t="s">
        <v>44</v>
      </c>
      <c r="C993" t="s">
        <v>45</v>
      </c>
      <c r="D993" s="8">
        <v>32</v>
      </c>
      <c r="E993" t="str">
        <f t="shared" si="79"/>
        <v>26-35</v>
      </c>
      <c r="F993" t="s">
        <v>46</v>
      </c>
      <c r="G993" t="s">
        <v>39</v>
      </c>
      <c r="H993" s="8" t="s">
        <v>40</v>
      </c>
      <c r="I993" s="10">
        <v>2</v>
      </c>
      <c r="J993" t="str">
        <f t="shared" si="75"/>
        <v>Near</v>
      </c>
      <c r="K993">
        <v>1</v>
      </c>
      <c r="L993" t="s">
        <v>62</v>
      </c>
      <c r="M993">
        <v>3</v>
      </c>
      <c r="N993">
        <v>3</v>
      </c>
      <c r="O993">
        <v>2</v>
      </c>
      <c r="P993" t="s">
        <v>42</v>
      </c>
      <c r="Q993">
        <v>2</v>
      </c>
      <c r="R993" s="11">
        <v>499</v>
      </c>
      <c r="S993" s="14">
        <v>36</v>
      </c>
      <c r="T993" s="13">
        <v>4078</v>
      </c>
      <c r="U993" s="13">
        <f t="shared" si="76"/>
        <v>48936</v>
      </c>
      <c r="V993" s="14">
        <v>20497</v>
      </c>
      <c r="W993">
        <v>0</v>
      </c>
      <c r="X993" s="8" t="s">
        <v>38</v>
      </c>
      <c r="Y993" s="15">
        <v>0.13</v>
      </c>
      <c r="Z993">
        <v>3</v>
      </c>
      <c r="AA993">
        <v>1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 t="str">
        <f t="shared" si="77"/>
        <v>0-3</v>
      </c>
      <c r="AI993">
        <v>1</v>
      </c>
      <c r="AJ993" t="str">
        <f t="shared" si="78"/>
        <v>0-2</v>
      </c>
      <c r="AK993">
        <v>2</v>
      </c>
    </row>
    <row r="994" spans="1:37" x14ac:dyDescent="0.25">
      <c r="A994" s="8">
        <v>993</v>
      </c>
      <c r="B994" t="s">
        <v>44</v>
      </c>
      <c r="C994" t="s">
        <v>45</v>
      </c>
      <c r="D994" s="8">
        <v>39</v>
      </c>
      <c r="E994" t="str">
        <f t="shared" si="79"/>
        <v>36-45</v>
      </c>
      <c r="F994" t="s">
        <v>46</v>
      </c>
      <c r="G994" t="s">
        <v>58</v>
      </c>
      <c r="H994" s="8" t="s">
        <v>48</v>
      </c>
      <c r="I994" s="10">
        <v>25</v>
      </c>
      <c r="J994" t="str">
        <f t="shared" si="75"/>
        <v>Far</v>
      </c>
      <c r="K994">
        <v>2</v>
      </c>
      <c r="L994" t="s">
        <v>41</v>
      </c>
      <c r="M994">
        <v>3</v>
      </c>
      <c r="N994">
        <v>3</v>
      </c>
      <c r="O994">
        <v>3</v>
      </c>
      <c r="P994" t="s">
        <v>56</v>
      </c>
      <c r="Q994">
        <v>3</v>
      </c>
      <c r="R994" s="11">
        <v>1485</v>
      </c>
      <c r="S994" s="14">
        <v>71</v>
      </c>
      <c r="T994" s="13">
        <v>10920</v>
      </c>
      <c r="U994" s="13">
        <f t="shared" si="76"/>
        <v>131040</v>
      </c>
      <c r="V994" s="14">
        <v>3449</v>
      </c>
      <c r="W994">
        <v>3</v>
      </c>
      <c r="X994" s="8" t="s">
        <v>46</v>
      </c>
      <c r="Y994" s="15">
        <v>0.21</v>
      </c>
      <c r="Z994">
        <v>4</v>
      </c>
      <c r="AA994">
        <v>2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 t="str">
        <f t="shared" si="77"/>
        <v>4-7</v>
      </c>
      <c r="AI994">
        <v>0</v>
      </c>
      <c r="AJ994" t="str">
        <f t="shared" si="78"/>
        <v>0-2</v>
      </c>
      <c r="AK994">
        <v>5</v>
      </c>
    </row>
    <row r="995" spans="1:37" x14ac:dyDescent="0.25">
      <c r="A995" s="8">
        <v>994</v>
      </c>
      <c r="B995" t="s">
        <v>44</v>
      </c>
      <c r="C995" t="s">
        <v>45</v>
      </c>
      <c r="D995" s="8">
        <v>25</v>
      </c>
      <c r="E995" t="str">
        <f t="shared" si="79"/>
        <v>26-35</v>
      </c>
      <c r="F995" t="s">
        <v>46</v>
      </c>
      <c r="G995" t="s">
        <v>39</v>
      </c>
      <c r="H995" s="8" t="s">
        <v>40</v>
      </c>
      <c r="I995" s="10">
        <v>18</v>
      </c>
      <c r="J995" t="str">
        <f t="shared" si="75"/>
        <v>Far</v>
      </c>
      <c r="K995">
        <v>1</v>
      </c>
      <c r="L995" t="s">
        <v>41</v>
      </c>
      <c r="M995">
        <v>1</v>
      </c>
      <c r="N995">
        <v>4</v>
      </c>
      <c r="O995">
        <v>2</v>
      </c>
      <c r="P995" t="s">
        <v>42</v>
      </c>
      <c r="Q995">
        <v>3</v>
      </c>
      <c r="R995" s="11">
        <v>1372</v>
      </c>
      <c r="S995" s="14">
        <v>93</v>
      </c>
      <c r="T995" s="13">
        <v>6232</v>
      </c>
      <c r="U995" s="13">
        <f t="shared" si="76"/>
        <v>74784</v>
      </c>
      <c r="V995" s="14">
        <v>12477</v>
      </c>
      <c r="W995">
        <v>2</v>
      </c>
      <c r="X995" s="8" t="s">
        <v>46</v>
      </c>
      <c r="Y995" s="15">
        <v>0.11</v>
      </c>
      <c r="Z995">
        <v>3</v>
      </c>
      <c r="AA995">
        <v>2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 t="str">
        <f t="shared" si="77"/>
        <v>0-3</v>
      </c>
      <c r="AI995">
        <v>1</v>
      </c>
      <c r="AJ995" t="str">
        <f t="shared" si="78"/>
        <v>0-2</v>
      </c>
      <c r="AK995">
        <v>2</v>
      </c>
    </row>
    <row r="996" spans="1:37" x14ac:dyDescent="0.25">
      <c r="A996" s="8">
        <v>995</v>
      </c>
      <c r="B996" t="s">
        <v>52</v>
      </c>
      <c r="C996" t="s">
        <v>45</v>
      </c>
      <c r="D996" s="8">
        <v>52</v>
      </c>
      <c r="E996" t="str">
        <f t="shared" si="79"/>
        <v>46-55</v>
      </c>
      <c r="F996" t="s">
        <v>46</v>
      </c>
      <c r="G996" t="s">
        <v>47</v>
      </c>
      <c r="H996" s="8" t="s">
        <v>48</v>
      </c>
      <c r="I996" s="10">
        <v>28</v>
      </c>
      <c r="J996" t="str">
        <f t="shared" si="75"/>
        <v>Far</v>
      </c>
      <c r="K996">
        <v>2</v>
      </c>
      <c r="L996" t="s">
        <v>53</v>
      </c>
      <c r="M996">
        <v>4</v>
      </c>
      <c r="N996">
        <v>4</v>
      </c>
      <c r="O996">
        <v>4</v>
      </c>
      <c r="P996" t="s">
        <v>55</v>
      </c>
      <c r="Q996">
        <v>3</v>
      </c>
      <c r="R996" s="11">
        <v>322</v>
      </c>
      <c r="S996" s="14">
        <v>59</v>
      </c>
      <c r="T996" s="13">
        <v>13247</v>
      </c>
      <c r="U996" s="13">
        <f t="shared" si="76"/>
        <v>158964</v>
      </c>
      <c r="V996" s="14">
        <v>9731</v>
      </c>
      <c r="W996">
        <v>2</v>
      </c>
      <c r="X996" s="8" t="s">
        <v>38</v>
      </c>
      <c r="Y996" s="15">
        <v>0.11</v>
      </c>
      <c r="Z996">
        <v>3</v>
      </c>
      <c r="AA996">
        <v>2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 t="str">
        <f t="shared" si="77"/>
        <v>0-3</v>
      </c>
      <c r="AI996">
        <v>0</v>
      </c>
      <c r="AJ996" t="str">
        <f t="shared" si="78"/>
        <v>0-2</v>
      </c>
      <c r="AK996">
        <v>2</v>
      </c>
    </row>
    <row r="997" spans="1:37" x14ac:dyDescent="0.25">
      <c r="A997" s="8">
        <v>996</v>
      </c>
      <c r="B997" t="s">
        <v>52</v>
      </c>
      <c r="C997" t="s">
        <v>37</v>
      </c>
      <c r="D997" s="8">
        <v>43</v>
      </c>
      <c r="E997" t="str">
        <f t="shared" si="79"/>
        <v>36-45</v>
      </c>
      <c r="F997" t="s">
        <v>46</v>
      </c>
      <c r="G997" t="s">
        <v>39</v>
      </c>
      <c r="H997" s="8" t="s">
        <v>48</v>
      </c>
      <c r="I997" s="10">
        <v>6</v>
      </c>
      <c r="J997" t="str">
        <f t="shared" si="75"/>
        <v>Moderate</v>
      </c>
      <c r="K997">
        <v>3</v>
      </c>
      <c r="L997" t="s">
        <v>53</v>
      </c>
      <c r="M997">
        <v>1</v>
      </c>
      <c r="N997">
        <v>2</v>
      </c>
      <c r="O997">
        <v>2</v>
      </c>
      <c r="P997" t="s">
        <v>49</v>
      </c>
      <c r="Q997">
        <v>3</v>
      </c>
      <c r="R997" s="11">
        <v>930</v>
      </c>
      <c r="S997" s="14">
        <v>73</v>
      </c>
      <c r="T997" s="13">
        <v>4081</v>
      </c>
      <c r="U997" s="13">
        <f t="shared" si="76"/>
        <v>48972</v>
      </c>
      <c r="V997" s="14">
        <v>20003</v>
      </c>
      <c r="W997">
        <v>1</v>
      </c>
      <c r="X997" s="8" t="s">
        <v>38</v>
      </c>
      <c r="Y997" s="15">
        <v>0.14000000000000001</v>
      </c>
      <c r="Z997">
        <v>3</v>
      </c>
      <c r="AA997">
        <v>1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 t="str">
        <f t="shared" si="77"/>
        <v>4-7</v>
      </c>
      <c r="AI997">
        <v>1</v>
      </c>
      <c r="AJ997" t="str">
        <f t="shared" si="78"/>
        <v>0-2</v>
      </c>
      <c r="AK997">
        <v>8</v>
      </c>
    </row>
    <row r="998" spans="1:37" x14ac:dyDescent="0.25">
      <c r="A998" s="8">
        <v>997</v>
      </c>
      <c r="B998" t="s">
        <v>52</v>
      </c>
      <c r="C998" t="s">
        <v>45</v>
      </c>
      <c r="D998" s="8">
        <v>27</v>
      </c>
      <c r="E998" t="str">
        <f t="shared" si="79"/>
        <v>26-35</v>
      </c>
      <c r="F998" t="s">
        <v>46</v>
      </c>
      <c r="G998" t="s">
        <v>39</v>
      </c>
      <c r="H998" s="8" t="s">
        <v>40</v>
      </c>
      <c r="I998" s="10">
        <v>10</v>
      </c>
      <c r="J998" t="str">
        <f t="shared" si="75"/>
        <v>Moderate</v>
      </c>
      <c r="K998">
        <v>3</v>
      </c>
      <c r="L998" t="s">
        <v>62</v>
      </c>
      <c r="M998">
        <v>4</v>
      </c>
      <c r="N998">
        <v>2</v>
      </c>
      <c r="O998">
        <v>2</v>
      </c>
      <c r="P998" t="s">
        <v>42</v>
      </c>
      <c r="Q998">
        <v>4</v>
      </c>
      <c r="R998" s="11">
        <v>205</v>
      </c>
      <c r="S998" s="14">
        <v>98</v>
      </c>
      <c r="T998" s="13">
        <v>5769</v>
      </c>
      <c r="U998" s="13">
        <f t="shared" si="76"/>
        <v>69228</v>
      </c>
      <c r="V998" s="14">
        <v>7100</v>
      </c>
      <c r="W998">
        <v>1</v>
      </c>
      <c r="X998" s="8" t="s">
        <v>38</v>
      </c>
      <c r="Y998" s="15">
        <v>0.11</v>
      </c>
      <c r="Z998">
        <v>3</v>
      </c>
      <c r="AA998">
        <v>4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 t="str">
        <f t="shared" si="77"/>
        <v>0-3</v>
      </c>
      <c r="AI998">
        <v>4</v>
      </c>
      <c r="AJ998" t="str">
        <f t="shared" si="78"/>
        <v>3-5</v>
      </c>
      <c r="AK998">
        <v>4</v>
      </c>
    </row>
    <row r="999" spans="1:37" x14ac:dyDescent="0.25">
      <c r="A999" s="8">
        <v>998</v>
      </c>
      <c r="B999" t="s">
        <v>52</v>
      </c>
      <c r="C999" t="s">
        <v>37</v>
      </c>
      <c r="D999" s="8">
        <v>27</v>
      </c>
      <c r="E999" t="str">
        <f t="shared" si="79"/>
        <v>26-35</v>
      </c>
      <c r="F999" t="s">
        <v>38</v>
      </c>
      <c r="G999" t="s">
        <v>39</v>
      </c>
      <c r="H999" s="8" t="s">
        <v>48</v>
      </c>
      <c r="I999" s="10">
        <v>17</v>
      </c>
      <c r="J999" t="str">
        <f t="shared" si="75"/>
        <v>Far</v>
      </c>
      <c r="K999">
        <v>4</v>
      </c>
      <c r="L999" t="s">
        <v>41</v>
      </c>
      <c r="M999">
        <v>4</v>
      </c>
      <c r="N999">
        <v>3</v>
      </c>
      <c r="O999">
        <v>1</v>
      </c>
      <c r="P999" t="s">
        <v>49</v>
      </c>
      <c r="Q999">
        <v>3</v>
      </c>
      <c r="R999" s="11">
        <v>135</v>
      </c>
      <c r="S999" s="14">
        <v>51</v>
      </c>
      <c r="T999" s="13">
        <v>2394</v>
      </c>
      <c r="U999" s="13">
        <f t="shared" si="76"/>
        <v>28728</v>
      </c>
      <c r="V999" s="14">
        <v>25681</v>
      </c>
      <c r="W999">
        <v>1</v>
      </c>
      <c r="X999" s="8" t="s">
        <v>38</v>
      </c>
      <c r="Y999" s="15">
        <v>0.13</v>
      </c>
      <c r="Z999">
        <v>3</v>
      </c>
      <c r="AA999">
        <v>4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 t="str">
        <f t="shared" si="77"/>
        <v>0-3</v>
      </c>
      <c r="AI999">
        <v>7</v>
      </c>
      <c r="AJ999" t="str">
        <f t="shared" si="78"/>
        <v>6-8</v>
      </c>
      <c r="AK999">
        <v>7</v>
      </c>
    </row>
    <row r="1000" spans="1:37" x14ac:dyDescent="0.25">
      <c r="A1000" s="8">
        <v>999</v>
      </c>
      <c r="B1000" t="s">
        <v>44</v>
      </c>
      <c r="C1000" t="s">
        <v>37</v>
      </c>
      <c r="D1000" s="8">
        <v>26</v>
      </c>
      <c r="E1000" t="str">
        <f t="shared" si="79"/>
        <v>26-35</v>
      </c>
      <c r="F1000" t="s">
        <v>46</v>
      </c>
      <c r="G1000" t="s">
        <v>39</v>
      </c>
      <c r="H1000" s="8" t="s">
        <v>48</v>
      </c>
      <c r="I1000" s="10">
        <v>2</v>
      </c>
      <c r="J1000" t="str">
        <f t="shared" si="75"/>
        <v>Near</v>
      </c>
      <c r="K1000">
        <v>1</v>
      </c>
      <c r="L1000" t="s">
        <v>53</v>
      </c>
      <c r="M1000">
        <v>1</v>
      </c>
      <c r="N1000">
        <v>2</v>
      </c>
      <c r="O1000">
        <v>1</v>
      </c>
      <c r="P1000" t="s">
        <v>49</v>
      </c>
      <c r="Q1000">
        <v>4</v>
      </c>
      <c r="R1000" s="11">
        <v>683</v>
      </c>
      <c r="S1000" s="14">
        <v>36</v>
      </c>
      <c r="T1000" s="13">
        <v>3904</v>
      </c>
      <c r="U1000" s="13">
        <f t="shared" si="76"/>
        <v>46848</v>
      </c>
      <c r="V1000" s="14">
        <v>4050</v>
      </c>
      <c r="W1000">
        <v>0</v>
      </c>
      <c r="X1000" s="8" t="s">
        <v>46</v>
      </c>
      <c r="Y1000" s="15">
        <v>0.12</v>
      </c>
      <c r="Z1000">
        <v>3</v>
      </c>
      <c r="AA1000">
        <v>4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 t="str">
        <f t="shared" si="77"/>
        <v>0-3</v>
      </c>
      <c r="AI1000">
        <v>1</v>
      </c>
      <c r="AJ1000" t="str">
        <f t="shared" si="78"/>
        <v>0-2</v>
      </c>
      <c r="AK1000">
        <v>1</v>
      </c>
    </row>
    <row r="1001" spans="1:37" x14ac:dyDescent="0.25">
      <c r="A1001" s="8">
        <v>1000</v>
      </c>
      <c r="B1001" t="s">
        <v>52</v>
      </c>
      <c r="C1001" t="s">
        <v>45</v>
      </c>
      <c r="D1001" s="8">
        <v>42</v>
      </c>
      <c r="E1001" t="str">
        <f t="shared" si="79"/>
        <v>36-45</v>
      </c>
      <c r="F1001" t="s">
        <v>46</v>
      </c>
      <c r="G1001" t="s">
        <v>39</v>
      </c>
      <c r="H1001" s="8" t="s">
        <v>64</v>
      </c>
      <c r="I1001" s="10">
        <v>10</v>
      </c>
      <c r="J1001" t="str">
        <f t="shared" si="75"/>
        <v>Moderate</v>
      </c>
      <c r="K1001">
        <v>3</v>
      </c>
      <c r="L1001" t="s">
        <v>64</v>
      </c>
      <c r="M1001">
        <v>3</v>
      </c>
      <c r="N1001">
        <v>3</v>
      </c>
      <c r="O1001">
        <v>4</v>
      </c>
      <c r="P1001" t="s">
        <v>59</v>
      </c>
      <c r="Q1001">
        <v>1</v>
      </c>
      <c r="R1001" s="11">
        <v>1147</v>
      </c>
      <c r="S1001" s="14">
        <v>31</v>
      </c>
      <c r="T1001" s="13">
        <v>16799</v>
      </c>
      <c r="U1001" s="13">
        <f t="shared" si="76"/>
        <v>201588</v>
      </c>
      <c r="V1001" s="14">
        <v>16616</v>
      </c>
      <c r="W1001">
        <v>0</v>
      </c>
      <c r="X1001" s="8" t="s">
        <v>46</v>
      </c>
      <c r="Y1001" s="15">
        <v>0.14000000000000001</v>
      </c>
      <c r="Z1001">
        <v>3</v>
      </c>
      <c r="AA1001">
        <v>3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 t="str">
        <f t="shared" si="77"/>
        <v>4-7</v>
      </c>
      <c r="AI1001">
        <v>0</v>
      </c>
      <c r="AJ1001" t="str">
        <f t="shared" si="78"/>
        <v>0-2</v>
      </c>
      <c r="AK1001">
        <v>9</v>
      </c>
    </row>
    <row r="1002" spans="1:37" x14ac:dyDescent="0.25">
      <c r="A1002" s="8">
        <v>1001</v>
      </c>
      <c r="B1002" t="s">
        <v>52</v>
      </c>
      <c r="C1002" t="s">
        <v>45</v>
      </c>
      <c r="D1002" s="8">
        <v>52</v>
      </c>
      <c r="E1002" t="str">
        <f t="shared" si="79"/>
        <v>46-55</v>
      </c>
      <c r="F1002" t="s">
        <v>46</v>
      </c>
      <c r="G1002" t="s">
        <v>39</v>
      </c>
      <c r="H1002" s="8" t="s">
        <v>48</v>
      </c>
      <c r="I1002" s="10">
        <v>8</v>
      </c>
      <c r="J1002" t="str">
        <f t="shared" si="75"/>
        <v>Moderate</v>
      </c>
      <c r="K1002">
        <v>4</v>
      </c>
      <c r="L1002" t="s">
        <v>50</v>
      </c>
      <c r="M1002">
        <v>3</v>
      </c>
      <c r="N1002">
        <v>3</v>
      </c>
      <c r="O1002">
        <v>1</v>
      </c>
      <c r="P1002" t="s">
        <v>51</v>
      </c>
      <c r="Q1002">
        <v>1</v>
      </c>
      <c r="R1002" s="11">
        <v>258</v>
      </c>
      <c r="S1002" s="14">
        <v>54</v>
      </c>
      <c r="T1002" s="13">
        <v>2950</v>
      </c>
      <c r="U1002" s="13">
        <f t="shared" si="76"/>
        <v>35400</v>
      </c>
      <c r="V1002" s="14">
        <v>17363</v>
      </c>
      <c r="W1002">
        <v>9</v>
      </c>
      <c r="X1002" s="8" t="s">
        <v>46</v>
      </c>
      <c r="Y1002" s="15">
        <v>0.13</v>
      </c>
      <c r="Z1002">
        <v>3</v>
      </c>
      <c r="AA1002">
        <v>3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 t="str">
        <f t="shared" si="77"/>
        <v>4-7</v>
      </c>
      <c r="AI1002">
        <v>0</v>
      </c>
      <c r="AJ1002" t="str">
        <f t="shared" si="78"/>
        <v>0-2</v>
      </c>
      <c r="AK1002">
        <v>4</v>
      </c>
    </row>
    <row r="1003" spans="1:37" x14ac:dyDescent="0.25">
      <c r="A1003" s="8">
        <v>1002</v>
      </c>
      <c r="B1003" t="s">
        <v>52</v>
      </c>
      <c r="C1003" t="s">
        <v>37</v>
      </c>
      <c r="D1003" s="8">
        <v>37</v>
      </c>
      <c r="E1003" t="str">
        <f t="shared" si="79"/>
        <v>36-45</v>
      </c>
      <c r="F1003" t="s">
        <v>46</v>
      </c>
      <c r="G1003" t="s">
        <v>39</v>
      </c>
      <c r="H1003" s="8" t="s">
        <v>48</v>
      </c>
      <c r="I1003" s="10">
        <v>11</v>
      </c>
      <c r="J1003" t="str">
        <f t="shared" si="75"/>
        <v>Moderate</v>
      </c>
      <c r="K1003">
        <v>3</v>
      </c>
      <c r="L1003" t="s">
        <v>53</v>
      </c>
      <c r="M1003">
        <v>1</v>
      </c>
      <c r="N1003">
        <v>3</v>
      </c>
      <c r="O1003">
        <v>1</v>
      </c>
      <c r="P1003" t="s">
        <v>51</v>
      </c>
      <c r="Q1003">
        <v>3</v>
      </c>
      <c r="R1003" s="11">
        <v>1462</v>
      </c>
      <c r="S1003" s="14">
        <v>94</v>
      </c>
      <c r="T1003" s="13">
        <v>3629</v>
      </c>
      <c r="U1003" s="13">
        <f t="shared" si="76"/>
        <v>43548</v>
      </c>
      <c r="V1003" s="14">
        <v>19106</v>
      </c>
      <c r="W1003">
        <v>4</v>
      </c>
      <c r="X1003" s="8" t="s">
        <v>46</v>
      </c>
      <c r="Y1003" s="15">
        <v>0.18</v>
      </c>
      <c r="Z1003">
        <v>3</v>
      </c>
      <c r="AA1003">
        <v>1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 t="str">
        <f t="shared" si="77"/>
        <v>0-3</v>
      </c>
      <c r="AI1003">
        <v>0</v>
      </c>
      <c r="AJ1003" t="str">
        <f t="shared" si="78"/>
        <v>0-2</v>
      </c>
      <c r="AK1003">
        <v>2</v>
      </c>
    </row>
    <row r="1004" spans="1:37" x14ac:dyDescent="0.25">
      <c r="A1004" s="8">
        <v>1003</v>
      </c>
      <c r="B1004" t="s">
        <v>44</v>
      </c>
      <c r="C1004" t="s">
        <v>37</v>
      </c>
      <c r="D1004" s="8">
        <v>35</v>
      </c>
      <c r="E1004" t="str">
        <f t="shared" si="79"/>
        <v>26-35</v>
      </c>
      <c r="F1004" t="s">
        <v>46</v>
      </c>
      <c r="G1004" t="s">
        <v>47</v>
      </c>
      <c r="H1004" s="8" t="s">
        <v>48</v>
      </c>
      <c r="I1004" s="10">
        <v>18</v>
      </c>
      <c r="J1004" t="str">
        <f t="shared" si="75"/>
        <v>Far</v>
      </c>
      <c r="K1004">
        <v>2</v>
      </c>
      <c r="L1004" t="s">
        <v>41</v>
      </c>
      <c r="M1004">
        <v>3</v>
      </c>
      <c r="N1004">
        <v>3</v>
      </c>
      <c r="O1004">
        <v>3</v>
      </c>
      <c r="P1004" t="s">
        <v>55</v>
      </c>
      <c r="Q1004">
        <v>4</v>
      </c>
      <c r="R1004" s="11">
        <v>200</v>
      </c>
      <c r="S1004" s="14">
        <v>60</v>
      </c>
      <c r="T1004" s="13">
        <v>9362</v>
      </c>
      <c r="U1004" s="13">
        <f t="shared" si="76"/>
        <v>112344</v>
      </c>
      <c r="V1004" s="14">
        <v>19944</v>
      </c>
      <c r="W1004">
        <v>2</v>
      </c>
      <c r="X1004" s="8" t="s">
        <v>46</v>
      </c>
      <c r="Y1004" s="15">
        <v>0.11</v>
      </c>
      <c r="Z1004">
        <v>3</v>
      </c>
      <c r="AA1004">
        <v>3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 t="str">
        <f t="shared" si="77"/>
        <v>0-3</v>
      </c>
      <c r="AI1004">
        <v>2</v>
      </c>
      <c r="AJ1004" t="str">
        <f t="shared" si="78"/>
        <v>0-2</v>
      </c>
      <c r="AK1004">
        <v>2</v>
      </c>
    </row>
    <row r="1005" spans="1:37" x14ac:dyDescent="0.25">
      <c r="A1005" s="8">
        <v>1004</v>
      </c>
      <c r="B1005" t="s">
        <v>44</v>
      </c>
      <c r="C1005" t="s">
        <v>45</v>
      </c>
      <c r="D1005" s="8">
        <v>25</v>
      </c>
      <c r="E1005" t="str">
        <f t="shared" si="79"/>
        <v>26-35</v>
      </c>
      <c r="F1005" t="s">
        <v>46</v>
      </c>
      <c r="G1005" t="s">
        <v>39</v>
      </c>
      <c r="H1005" s="8" t="s">
        <v>48</v>
      </c>
      <c r="I1005" s="10">
        <v>1</v>
      </c>
      <c r="J1005" t="str">
        <f t="shared" si="75"/>
        <v>Near</v>
      </c>
      <c r="K1005">
        <v>3</v>
      </c>
      <c r="L1005" t="s">
        <v>63</v>
      </c>
      <c r="M1005">
        <v>1</v>
      </c>
      <c r="N1005">
        <v>3</v>
      </c>
      <c r="O1005">
        <v>1</v>
      </c>
      <c r="P1005" t="s">
        <v>51</v>
      </c>
      <c r="Q1005">
        <v>4</v>
      </c>
      <c r="R1005" s="11">
        <v>949</v>
      </c>
      <c r="S1005" s="14">
        <v>81</v>
      </c>
      <c r="T1005" s="13">
        <v>3229</v>
      </c>
      <c r="U1005" s="13">
        <f t="shared" si="76"/>
        <v>38748</v>
      </c>
      <c r="V1005" s="14">
        <v>4910</v>
      </c>
      <c r="W1005">
        <v>4</v>
      </c>
      <c r="X1005" s="8" t="s">
        <v>46</v>
      </c>
      <c r="Y1005" s="15">
        <v>0.11</v>
      </c>
      <c r="Z1005">
        <v>3</v>
      </c>
      <c r="AA1005">
        <v>2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 t="str">
        <f t="shared" si="77"/>
        <v>0-3</v>
      </c>
      <c r="AI1005">
        <v>0</v>
      </c>
      <c r="AJ1005" t="str">
        <f t="shared" si="78"/>
        <v>0-2</v>
      </c>
      <c r="AK1005">
        <v>2</v>
      </c>
    </row>
    <row r="1006" spans="1:37" x14ac:dyDescent="0.25">
      <c r="A1006" s="8">
        <v>1005</v>
      </c>
      <c r="B1006" t="s">
        <v>44</v>
      </c>
      <c r="C1006" t="s">
        <v>37</v>
      </c>
      <c r="D1006" s="8">
        <v>26</v>
      </c>
      <c r="E1006" t="str">
        <f t="shared" si="79"/>
        <v>26-35</v>
      </c>
      <c r="F1006" t="s">
        <v>46</v>
      </c>
      <c r="G1006" t="s">
        <v>39</v>
      </c>
      <c r="H1006" s="8" t="s">
        <v>48</v>
      </c>
      <c r="I1006" s="10">
        <v>7</v>
      </c>
      <c r="J1006" t="str">
        <f t="shared" si="75"/>
        <v>Moderate</v>
      </c>
      <c r="K1006">
        <v>3</v>
      </c>
      <c r="L1006" t="s">
        <v>50</v>
      </c>
      <c r="M1006">
        <v>3</v>
      </c>
      <c r="N1006">
        <v>4</v>
      </c>
      <c r="O1006">
        <v>1</v>
      </c>
      <c r="P1006" t="s">
        <v>51</v>
      </c>
      <c r="Q1006">
        <v>1</v>
      </c>
      <c r="R1006" s="11">
        <v>652</v>
      </c>
      <c r="S1006" s="14">
        <v>100</v>
      </c>
      <c r="T1006" s="13">
        <v>3578</v>
      </c>
      <c r="U1006" s="13">
        <f t="shared" si="76"/>
        <v>42936</v>
      </c>
      <c r="V1006" s="14">
        <v>23577</v>
      </c>
      <c r="W1006">
        <v>0</v>
      </c>
      <c r="X1006" s="8" t="s">
        <v>46</v>
      </c>
      <c r="Y1006" s="15">
        <v>0.12</v>
      </c>
      <c r="Z1006">
        <v>3</v>
      </c>
      <c r="AA1006">
        <v>4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 t="str">
        <f t="shared" si="77"/>
        <v>4-7</v>
      </c>
      <c r="AI1006">
        <v>0</v>
      </c>
      <c r="AJ1006" t="str">
        <f t="shared" si="78"/>
        <v>0-2</v>
      </c>
      <c r="AK1006">
        <v>7</v>
      </c>
    </row>
    <row r="1007" spans="1:37" x14ac:dyDescent="0.25">
      <c r="A1007" s="8">
        <v>1006</v>
      </c>
      <c r="B1007" t="s">
        <v>44</v>
      </c>
      <c r="C1007" t="s">
        <v>37</v>
      </c>
      <c r="D1007" s="8">
        <v>29</v>
      </c>
      <c r="E1007" t="str">
        <f t="shared" si="79"/>
        <v>26-35</v>
      </c>
      <c r="F1007" t="s">
        <v>46</v>
      </c>
      <c r="G1007" t="s">
        <v>39</v>
      </c>
      <c r="H1007" s="8" t="s">
        <v>64</v>
      </c>
      <c r="I1007" s="10">
        <v>17</v>
      </c>
      <c r="J1007" t="str">
        <f t="shared" si="75"/>
        <v>Far</v>
      </c>
      <c r="K1007">
        <v>3</v>
      </c>
      <c r="L1007" t="s">
        <v>50</v>
      </c>
      <c r="M1007">
        <v>2</v>
      </c>
      <c r="N1007">
        <v>2</v>
      </c>
      <c r="O1007">
        <v>3</v>
      </c>
      <c r="P1007" t="s">
        <v>64</v>
      </c>
      <c r="Q1007">
        <v>1</v>
      </c>
      <c r="R1007" s="11">
        <v>332</v>
      </c>
      <c r="S1007" s="14">
        <v>51</v>
      </c>
      <c r="T1007" s="13">
        <v>7988</v>
      </c>
      <c r="U1007" s="13">
        <f t="shared" si="76"/>
        <v>95856</v>
      </c>
      <c r="V1007" s="14">
        <v>9769</v>
      </c>
      <c r="W1007">
        <v>1</v>
      </c>
      <c r="X1007" s="8" t="s">
        <v>46</v>
      </c>
      <c r="Y1007" s="15">
        <v>0.13</v>
      </c>
      <c r="Z1007">
        <v>3</v>
      </c>
      <c r="AA1007">
        <v>1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 t="str">
        <f t="shared" si="77"/>
        <v>8-11</v>
      </c>
      <c r="AI1007">
        <v>0</v>
      </c>
      <c r="AJ1007" t="str">
        <f t="shared" si="78"/>
        <v>0-2</v>
      </c>
      <c r="AK1007">
        <v>9</v>
      </c>
    </row>
    <row r="1008" spans="1:37" x14ac:dyDescent="0.25">
      <c r="A1008" s="8">
        <v>1007</v>
      </c>
      <c r="B1008" t="s">
        <v>44</v>
      </c>
      <c r="C1008" t="s">
        <v>37</v>
      </c>
      <c r="D1008" s="8">
        <v>49</v>
      </c>
      <c r="E1008" t="str">
        <f t="shared" si="79"/>
        <v>46-55</v>
      </c>
      <c r="F1008" t="s">
        <v>38</v>
      </c>
      <c r="G1008" t="s">
        <v>47</v>
      </c>
      <c r="H1008" s="8" t="s">
        <v>48</v>
      </c>
      <c r="I1008" s="10">
        <v>28</v>
      </c>
      <c r="J1008" t="str">
        <f t="shared" si="75"/>
        <v>Far</v>
      </c>
      <c r="K1008">
        <v>2</v>
      </c>
      <c r="L1008" t="s">
        <v>41</v>
      </c>
      <c r="M1008">
        <v>1</v>
      </c>
      <c r="N1008">
        <v>2</v>
      </c>
      <c r="O1008">
        <v>2</v>
      </c>
      <c r="P1008" t="s">
        <v>51</v>
      </c>
      <c r="Q1008">
        <v>1</v>
      </c>
      <c r="R1008" s="11">
        <v>1475</v>
      </c>
      <c r="S1008" s="14">
        <v>97</v>
      </c>
      <c r="T1008" s="13">
        <v>4284</v>
      </c>
      <c r="U1008" s="13">
        <f t="shared" si="76"/>
        <v>51408</v>
      </c>
      <c r="V1008" s="14">
        <v>22710</v>
      </c>
      <c r="W1008">
        <v>3</v>
      </c>
      <c r="X1008" s="8" t="s">
        <v>46</v>
      </c>
      <c r="Y1008" s="15">
        <v>0.2</v>
      </c>
      <c r="Z1008">
        <v>4</v>
      </c>
      <c r="AA1008">
        <v>1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 t="str">
        <f t="shared" si="77"/>
        <v>0-3</v>
      </c>
      <c r="AI1008">
        <v>1</v>
      </c>
      <c r="AJ1008" t="str">
        <f t="shared" si="78"/>
        <v>0-2</v>
      </c>
      <c r="AK1008">
        <v>3</v>
      </c>
    </row>
    <row r="1009" spans="1:37" x14ac:dyDescent="0.25">
      <c r="A1009" s="8">
        <v>1008</v>
      </c>
      <c r="B1009" t="s">
        <v>52</v>
      </c>
      <c r="C1009" t="s">
        <v>37</v>
      </c>
      <c r="D1009" s="8">
        <v>29</v>
      </c>
      <c r="E1009" t="str">
        <f t="shared" si="79"/>
        <v>26-35</v>
      </c>
      <c r="F1009" t="s">
        <v>38</v>
      </c>
      <c r="G1009" t="s">
        <v>47</v>
      </c>
      <c r="H1009" s="8" t="s">
        <v>48</v>
      </c>
      <c r="I1009" s="10">
        <v>14</v>
      </c>
      <c r="J1009" t="str">
        <f t="shared" si="75"/>
        <v>Moderate</v>
      </c>
      <c r="K1009">
        <v>1</v>
      </c>
      <c r="L1009" t="s">
        <v>50</v>
      </c>
      <c r="M1009">
        <v>3</v>
      </c>
      <c r="N1009">
        <v>3</v>
      </c>
      <c r="O1009">
        <v>3</v>
      </c>
      <c r="P1009" t="s">
        <v>56</v>
      </c>
      <c r="Q1009">
        <v>4</v>
      </c>
      <c r="R1009" s="11">
        <v>337</v>
      </c>
      <c r="S1009" s="14">
        <v>84</v>
      </c>
      <c r="T1009" s="13">
        <v>7553</v>
      </c>
      <c r="U1009" s="13">
        <f t="shared" si="76"/>
        <v>90636</v>
      </c>
      <c r="V1009" s="14">
        <v>22930</v>
      </c>
      <c r="W1009">
        <v>0</v>
      </c>
      <c r="X1009" s="8" t="s">
        <v>38</v>
      </c>
      <c r="Y1009" s="15">
        <v>0.12</v>
      </c>
      <c r="Z1009">
        <v>3</v>
      </c>
      <c r="AA1009">
        <v>1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 t="str">
        <f t="shared" si="77"/>
        <v>4-7</v>
      </c>
      <c r="AI1009">
        <v>7</v>
      </c>
      <c r="AJ1009" t="str">
        <f t="shared" si="78"/>
        <v>6-8</v>
      </c>
      <c r="AK1009">
        <v>7</v>
      </c>
    </row>
    <row r="1010" spans="1:37" x14ac:dyDescent="0.25">
      <c r="A1010" s="8">
        <v>1009</v>
      </c>
      <c r="B1010" t="s">
        <v>52</v>
      </c>
      <c r="C1010" t="s">
        <v>37</v>
      </c>
      <c r="D1010" s="8">
        <v>54</v>
      </c>
      <c r="E1010" t="str">
        <f t="shared" si="79"/>
        <v>46-55</v>
      </c>
      <c r="F1010" t="s">
        <v>46</v>
      </c>
      <c r="G1010" t="s">
        <v>39</v>
      </c>
      <c r="H1010" s="8" t="s">
        <v>48</v>
      </c>
      <c r="I1010" s="10">
        <v>1</v>
      </c>
      <c r="J1010" t="str">
        <f t="shared" si="75"/>
        <v>Near</v>
      </c>
      <c r="K1010">
        <v>3</v>
      </c>
      <c r="L1010" t="s">
        <v>53</v>
      </c>
      <c r="M1010">
        <v>4</v>
      </c>
      <c r="N1010">
        <v>3</v>
      </c>
      <c r="O1010">
        <v>4</v>
      </c>
      <c r="P1010" t="s">
        <v>61</v>
      </c>
      <c r="Q1010">
        <v>4</v>
      </c>
      <c r="R1010" s="11">
        <v>971</v>
      </c>
      <c r="S1010" s="14">
        <v>54</v>
      </c>
      <c r="T1010" s="13">
        <v>17328</v>
      </c>
      <c r="U1010" s="13">
        <f t="shared" si="76"/>
        <v>207936</v>
      </c>
      <c r="V1010" s="14">
        <v>5652</v>
      </c>
      <c r="W1010">
        <v>6</v>
      </c>
      <c r="X1010" s="8" t="s">
        <v>46</v>
      </c>
      <c r="Y1010" s="15">
        <v>0.19</v>
      </c>
      <c r="Z1010">
        <v>3</v>
      </c>
      <c r="AA1010">
        <v>4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 t="str">
        <f t="shared" si="77"/>
        <v>4-7</v>
      </c>
      <c r="AI1010">
        <v>12</v>
      </c>
      <c r="AJ1010" t="str">
        <f t="shared" si="78"/>
        <v>12-15</v>
      </c>
      <c r="AK1010">
        <v>7</v>
      </c>
    </row>
    <row r="1011" spans="1:37" x14ac:dyDescent="0.25">
      <c r="A1011" s="8">
        <v>1010</v>
      </c>
      <c r="B1011" t="s">
        <v>52</v>
      </c>
      <c r="C1011" t="s">
        <v>45</v>
      </c>
      <c r="D1011" s="8">
        <v>58</v>
      </c>
      <c r="E1011" t="str">
        <f t="shared" si="79"/>
        <v>55+</v>
      </c>
      <c r="F1011" t="s">
        <v>46</v>
      </c>
      <c r="G1011" t="s">
        <v>39</v>
      </c>
      <c r="H1011" s="8" t="s">
        <v>48</v>
      </c>
      <c r="I1011" s="10">
        <v>1</v>
      </c>
      <c r="J1011" t="str">
        <f t="shared" si="75"/>
        <v>Near</v>
      </c>
      <c r="K1011">
        <v>3</v>
      </c>
      <c r="L1011" t="s">
        <v>53</v>
      </c>
      <c r="M1011">
        <v>4</v>
      </c>
      <c r="N1011">
        <v>3</v>
      </c>
      <c r="O1011">
        <v>5</v>
      </c>
      <c r="P1011" t="s">
        <v>61</v>
      </c>
      <c r="Q1011">
        <v>1</v>
      </c>
      <c r="R1011" s="11">
        <v>1055</v>
      </c>
      <c r="S1011" s="14">
        <v>76</v>
      </c>
      <c r="T1011" s="13">
        <v>19701</v>
      </c>
      <c r="U1011" s="13">
        <f t="shared" si="76"/>
        <v>236412</v>
      </c>
      <c r="V1011" s="14">
        <v>22456</v>
      </c>
      <c r="W1011">
        <v>3</v>
      </c>
      <c r="X1011" s="8" t="s">
        <v>38</v>
      </c>
      <c r="Y1011" s="15">
        <v>0.21</v>
      </c>
      <c r="Z1011">
        <v>4</v>
      </c>
      <c r="AA1011">
        <v>3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 t="str">
        <f t="shared" si="77"/>
        <v>8-11</v>
      </c>
      <c r="AI1011">
        <v>1</v>
      </c>
      <c r="AJ1011" t="str">
        <f t="shared" si="78"/>
        <v>0-2</v>
      </c>
      <c r="AK1011">
        <v>5</v>
      </c>
    </row>
    <row r="1012" spans="1:37" x14ac:dyDescent="0.25">
      <c r="A1012" s="8">
        <v>1011</v>
      </c>
      <c r="B1012" t="s">
        <v>44</v>
      </c>
      <c r="C1012" t="s">
        <v>54</v>
      </c>
      <c r="D1012" s="8">
        <v>55</v>
      </c>
      <c r="E1012" t="str">
        <f t="shared" si="79"/>
        <v>46-55</v>
      </c>
      <c r="F1012" t="s">
        <v>46</v>
      </c>
      <c r="G1012" t="s">
        <v>39</v>
      </c>
      <c r="H1012" s="8" t="s">
        <v>48</v>
      </c>
      <c r="I1012" s="10">
        <v>1</v>
      </c>
      <c r="J1012" t="str">
        <f t="shared" si="75"/>
        <v>Near</v>
      </c>
      <c r="K1012">
        <v>4</v>
      </c>
      <c r="L1012" t="s">
        <v>53</v>
      </c>
      <c r="M1012">
        <v>2</v>
      </c>
      <c r="N1012">
        <v>4</v>
      </c>
      <c r="O1012">
        <v>4</v>
      </c>
      <c r="P1012" t="s">
        <v>61</v>
      </c>
      <c r="Q1012">
        <v>4</v>
      </c>
      <c r="R1012" s="11">
        <v>1136</v>
      </c>
      <c r="S1012" s="14">
        <v>81</v>
      </c>
      <c r="T1012" s="13">
        <v>14732</v>
      </c>
      <c r="U1012" s="13">
        <f t="shared" si="76"/>
        <v>176784</v>
      </c>
      <c r="V1012" s="14">
        <v>12414</v>
      </c>
      <c r="W1012">
        <v>2</v>
      </c>
      <c r="X1012" s="8" t="s">
        <v>46</v>
      </c>
      <c r="Y1012" s="15">
        <v>0.13</v>
      </c>
      <c r="Z1012">
        <v>3</v>
      </c>
      <c r="AA1012">
        <v>4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 t="str">
        <f t="shared" si="77"/>
        <v>4-7</v>
      </c>
      <c r="AI1012">
        <v>0</v>
      </c>
      <c r="AJ1012" t="str">
        <f t="shared" si="78"/>
        <v>0-2</v>
      </c>
      <c r="AK1012">
        <v>0</v>
      </c>
    </row>
    <row r="1013" spans="1:37" x14ac:dyDescent="0.25">
      <c r="A1013" s="8">
        <v>1012</v>
      </c>
      <c r="B1013" t="s">
        <v>52</v>
      </c>
      <c r="C1013" t="s">
        <v>37</v>
      </c>
      <c r="D1013" s="8">
        <v>36</v>
      </c>
      <c r="E1013" t="str">
        <f t="shared" si="79"/>
        <v>36-45</v>
      </c>
      <c r="F1013" t="s">
        <v>46</v>
      </c>
      <c r="G1013" t="s">
        <v>39</v>
      </c>
      <c r="H1013" s="8" t="s">
        <v>40</v>
      </c>
      <c r="I1013" s="10">
        <v>3</v>
      </c>
      <c r="J1013" t="str">
        <f t="shared" si="75"/>
        <v>Near</v>
      </c>
      <c r="K1013">
        <v>4</v>
      </c>
      <c r="L1013" t="s">
        <v>62</v>
      </c>
      <c r="M1013">
        <v>1</v>
      </c>
      <c r="N1013">
        <v>3</v>
      </c>
      <c r="O1013">
        <v>2</v>
      </c>
      <c r="P1013" t="s">
        <v>42</v>
      </c>
      <c r="Q1013">
        <v>2</v>
      </c>
      <c r="R1013" s="11">
        <v>1174</v>
      </c>
      <c r="S1013" s="14">
        <v>99</v>
      </c>
      <c r="T1013" s="13">
        <v>9278</v>
      </c>
      <c r="U1013" s="13">
        <f t="shared" si="76"/>
        <v>111336</v>
      </c>
      <c r="V1013" s="14">
        <v>20763</v>
      </c>
      <c r="W1013">
        <v>3</v>
      </c>
      <c r="X1013" s="8" t="s">
        <v>38</v>
      </c>
      <c r="Y1013" s="15">
        <v>0.16</v>
      </c>
      <c r="Z1013">
        <v>3</v>
      </c>
      <c r="AA1013">
        <v>4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 t="str">
        <f t="shared" si="77"/>
        <v>4-7</v>
      </c>
      <c r="AI1013">
        <v>0</v>
      </c>
      <c r="AJ1013" t="str">
        <f t="shared" si="78"/>
        <v>0-2</v>
      </c>
      <c r="AK1013">
        <v>1</v>
      </c>
    </row>
    <row r="1014" spans="1:37" x14ac:dyDescent="0.25">
      <c r="A1014" s="8">
        <v>1013</v>
      </c>
      <c r="B1014" t="s">
        <v>52</v>
      </c>
      <c r="C1014" t="s">
        <v>37</v>
      </c>
      <c r="D1014" s="8">
        <v>31</v>
      </c>
      <c r="E1014" t="str">
        <f t="shared" si="79"/>
        <v>26-35</v>
      </c>
      <c r="F1014" t="s">
        <v>38</v>
      </c>
      <c r="G1014" t="s">
        <v>47</v>
      </c>
      <c r="H1014" s="8" t="s">
        <v>40</v>
      </c>
      <c r="I1014" s="10">
        <v>1</v>
      </c>
      <c r="J1014" t="str">
        <f t="shared" si="75"/>
        <v>Near</v>
      </c>
      <c r="K1014">
        <v>4</v>
      </c>
      <c r="L1014" t="s">
        <v>41</v>
      </c>
      <c r="M1014">
        <v>2</v>
      </c>
      <c r="N1014">
        <v>1</v>
      </c>
      <c r="O1014">
        <v>1</v>
      </c>
      <c r="P1014" t="s">
        <v>60</v>
      </c>
      <c r="Q1014">
        <v>3</v>
      </c>
      <c r="R1014" s="11">
        <v>667</v>
      </c>
      <c r="S1014" s="14">
        <v>50</v>
      </c>
      <c r="T1014" s="13">
        <v>1359</v>
      </c>
      <c r="U1014" s="13">
        <f t="shared" si="76"/>
        <v>16308</v>
      </c>
      <c r="V1014" s="14">
        <v>16154</v>
      </c>
      <c r="W1014">
        <v>1</v>
      </c>
      <c r="X1014" s="8" t="s">
        <v>46</v>
      </c>
      <c r="Y1014" s="15">
        <v>0.12</v>
      </c>
      <c r="Z1014">
        <v>3</v>
      </c>
      <c r="AA1014">
        <v>2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 t="str">
        <f t="shared" si="77"/>
        <v>0-3</v>
      </c>
      <c r="AI1014">
        <v>0</v>
      </c>
      <c r="AJ1014" t="str">
        <f t="shared" si="78"/>
        <v>0-2</v>
      </c>
      <c r="AK1014">
        <v>0</v>
      </c>
    </row>
    <row r="1015" spans="1:37" x14ac:dyDescent="0.25">
      <c r="A1015" s="8">
        <v>1014</v>
      </c>
      <c r="B1015" t="s">
        <v>52</v>
      </c>
      <c r="C1015" t="s">
        <v>54</v>
      </c>
      <c r="D1015" s="8">
        <v>30</v>
      </c>
      <c r="E1015" t="str">
        <f t="shared" si="79"/>
        <v>26-35</v>
      </c>
      <c r="F1015" t="s">
        <v>46</v>
      </c>
      <c r="G1015" t="s">
        <v>39</v>
      </c>
      <c r="H1015" s="8" t="s">
        <v>40</v>
      </c>
      <c r="I1015" s="10">
        <v>7</v>
      </c>
      <c r="J1015" t="str">
        <f t="shared" si="75"/>
        <v>Moderate</v>
      </c>
      <c r="K1015">
        <v>4</v>
      </c>
      <c r="L1015" t="s">
        <v>62</v>
      </c>
      <c r="M1015">
        <v>4</v>
      </c>
      <c r="N1015">
        <v>3</v>
      </c>
      <c r="O1015">
        <v>2</v>
      </c>
      <c r="P1015" t="s">
        <v>42</v>
      </c>
      <c r="Q1015">
        <v>1</v>
      </c>
      <c r="R1015" s="11">
        <v>855</v>
      </c>
      <c r="S1015" s="14">
        <v>73</v>
      </c>
      <c r="T1015" s="13">
        <v>4779</v>
      </c>
      <c r="U1015" s="13">
        <f t="shared" si="76"/>
        <v>57348</v>
      </c>
      <c r="V1015" s="14">
        <v>12761</v>
      </c>
      <c r="W1015">
        <v>7</v>
      </c>
      <c r="X1015" s="8" t="s">
        <v>46</v>
      </c>
      <c r="Y1015" s="15">
        <v>0.14000000000000001</v>
      </c>
      <c r="Z1015">
        <v>3</v>
      </c>
      <c r="AA1015">
        <v>2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 t="str">
        <f t="shared" si="77"/>
        <v>0-3</v>
      </c>
      <c r="AI1015">
        <v>0</v>
      </c>
      <c r="AJ1015" t="str">
        <f t="shared" si="78"/>
        <v>0-2</v>
      </c>
      <c r="AK1015">
        <v>2</v>
      </c>
    </row>
    <row r="1016" spans="1:37" x14ac:dyDescent="0.25">
      <c r="A1016" s="8">
        <v>1015</v>
      </c>
      <c r="B1016" t="s">
        <v>52</v>
      </c>
      <c r="C1016" t="s">
        <v>37</v>
      </c>
      <c r="D1016" s="8">
        <v>31</v>
      </c>
      <c r="E1016" t="str">
        <f t="shared" si="79"/>
        <v>26-35</v>
      </c>
      <c r="F1016" t="s">
        <v>46</v>
      </c>
      <c r="G1016" t="s">
        <v>39</v>
      </c>
      <c r="H1016" s="8" t="s">
        <v>48</v>
      </c>
      <c r="I1016" s="10">
        <v>8</v>
      </c>
      <c r="J1016" t="str">
        <f t="shared" si="75"/>
        <v>Moderate</v>
      </c>
      <c r="K1016">
        <v>5</v>
      </c>
      <c r="L1016" t="s">
        <v>41</v>
      </c>
      <c r="M1016">
        <v>1</v>
      </c>
      <c r="N1016">
        <v>3</v>
      </c>
      <c r="O1016">
        <v>4</v>
      </c>
      <c r="P1016" t="s">
        <v>61</v>
      </c>
      <c r="Q1016">
        <v>2</v>
      </c>
      <c r="R1016" s="11">
        <v>182</v>
      </c>
      <c r="S1016" s="14">
        <v>93</v>
      </c>
      <c r="T1016" s="13">
        <v>16422</v>
      </c>
      <c r="U1016" s="13">
        <f t="shared" si="76"/>
        <v>197064</v>
      </c>
      <c r="V1016" s="14">
        <v>8847</v>
      </c>
      <c r="W1016">
        <v>3</v>
      </c>
      <c r="X1016" s="8" t="s">
        <v>46</v>
      </c>
      <c r="Y1016" s="15">
        <v>0.11</v>
      </c>
      <c r="Z1016">
        <v>3</v>
      </c>
      <c r="AA1016">
        <v>3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 t="str">
        <f t="shared" si="77"/>
        <v>0-3</v>
      </c>
      <c r="AI1016">
        <v>1</v>
      </c>
      <c r="AJ1016" t="str">
        <f t="shared" si="78"/>
        <v>0-2</v>
      </c>
      <c r="AK1016">
        <v>0</v>
      </c>
    </row>
    <row r="1017" spans="1:37" x14ac:dyDescent="0.25">
      <c r="A1017" s="8">
        <v>1016</v>
      </c>
      <c r="B1017" t="s">
        <v>44</v>
      </c>
      <c r="C1017" t="s">
        <v>54</v>
      </c>
      <c r="D1017" s="8">
        <v>34</v>
      </c>
      <c r="E1017" t="str">
        <f t="shared" si="79"/>
        <v>26-35</v>
      </c>
      <c r="F1017" t="s">
        <v>46</v>
      </c>
      <c r="G1017" t="s">
        <v>47</v>
      </c>
      <c r="H1017" s="8" t="s">
        <v>48</v>
      </c>
      <c r="I1017" s="10">
        <v>1</v>
      </c>
      <c r="J1017" t="str">
        <f t="shared" si="75"/>
        <v>Near</v>
      </c>
      <c r="K1017">
        <v>4</v>
      </c>
      <c r="L1017" t="s">
        <v>50</v>
      </c>
      <c r="M1017">
        <v>4</v>
      </c>
      <c r="N1017">
        <v>3</v>
      </c>
      <c r="O1017">
        <v>1</v>
      </c>
      <c r="P1017" t="s">
        <v>49</v>
      </c>
      <c r="Q1017">
        <v>1</v>
      </c>
      <c r="R1017" s="11">
        <v>560</v>
      </c>
      <c r="S1017" s="14">
        <v>91</v>
      </c>
      <c r="T1017" s="13">
        <v>2996</v>
      </c>
      <c r="U1017" s="13">
        <f t="shared" si="76"/>
        <v>35952</v>
      </c>
      <c r="V1017" s="14">
        <v>20284</v>
      </c>
      <c r="W1017">
        <v>5</v>
      </c>
      <c r="X1017" s="8" t="s">
        <v>46</v>
      </c>
      <c r="Y1017" s="15">
        <v>0.14000000000000001</v>
      </c>
      <c r="Z1017">
        <v>3</v>
      </c>
      <c r="AA1017">
        <v>3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 t="str">
        <f t="shared" si="77"/>
        <v>0-3</v>
      </c>
      <c r="AI1017">
        <v>1</v>
      </c>
      <c r="AJ1017" t="str">
        <f t="shared" si="78"/>
        <v>0-2</v>
      </c>
      <c r="AK1017">
        <v>3</v>
      </c>
    </row>
    <row r="1018" spans="1:37" x14ac:dyDescent="0.25">
      <c r="A1018" s="8">
        <v>1017</v>
      </c>
      <c r="B1018" t="s">
        <v>52</v>
      </c>
      <c r="C1018" t="s">
        <v>37</v>
      </c>
      <c r="D1018" s="8">
        <v>31</v>
      </c>
      <c r="E1018" t="str">
        <f t="shared" si="79"/>
        <v>26-35</v>
      </c>
      <c r="F1018" t="s">
        <v>38</v>
      </c>
      <c r="G1018" t="s">
        <v>39</v>
      </c>
      <c r="H1018" s="8" t="s">
        <v>48</v>
      </c>
      <c r="I1018" s="10">
        <v>8</v>
      </c>
      <c r="J1018" t="str">
        <f t="shared" si="75"/>
        <v>Moderate</v>
      </c>
      <c r="K1018">
        <v>3</v>
      </c>
      <c r="L1018" t="s">
        <v>41</v>
      </c>
      <c r="M1018">
        <v>1</v>
      </c>
      <c r="N1018">
        <v>2</v>
      </c>
      <c r="O1018">
        <v>1</v>
      </c>
      <c r="P1018" t="s">
        <v>49</v>
      </c>
      <c r="Q1018">
        <v>2</v>
      </c>
      <c r="R1018" s="11">
        <v>202</v>
      </c>
      <c r="S1018" s="14">
        <v>34</v>
      </c>
      <c r="T1018" s="13">
        <v>1261</v>
      </c>
      <c r="U1018" s="13">
        <f t="shared" si="76"/>
        <v>15132</v>
      </c>
      <c r="V1018" s="14">
        <v>22262</v>
      </c>
      <c r="W1018">
        <v>1</v>
      </c>
      <c r="X1018" s="8" t="s">
        <v>46</v>
      </c>
      <c r="Y1018" s="15">
        <v>0.12</v>
      </c>
      <c r="Z1018">
        <v>3</v>
      </c>
      <c r="AA1018">
        <v>3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 t="str">
        <f t="shared" si="77"/>
        <v>0-3</v>
      </c>
      <c r="AI1018">
        <v>0</v>
      </c>
      <c r="AJ1018" t="str">
        <f t="shared" si="78"/>
        <v>0-2</v>
      </c>
      <c r="AK1018">
        <v>0</v>
      </c>
    </row>
    <row r="1019" spans="1:37" x14ac:dyDescent="0.25">
      <c r="A1019" s="8">
        <v>1018</v>
      </c>
      <c r="B1019" t="s">
        <v>44</v>
      </c>
      <c r="C1019" t="s">
        <v>45</v>
      </c>
      <c r="D1019" s="8">
        <v>27</v>
      </c>
      <c r="E1019" t="str">
        <f t="shared" si="79"/>
        <v>26-35</v>
      </c>
      <c r="F1019" t="s">
        <v>46</v>
      </c>
      <c r="G1019" t="s">
        <v>39</v>
      </c>
      <c r="H1019" s="8" t="s">
        <v>48</v>
      </c>
      <c r="I1019" s="10">
        <v>11</v>
      </c>
      <c r="J1019" t="str">
        <f t="shared" si="75"/>
        <v>Moderate</v>
      </c>
      <c r="K1019">
        <v>1</v>
      </c>
      <c r="L1019" t="s">
        <v>41</v>
      </c>
      <c r="M1019">
        <v>2</v>
      </c>
      <c r="N1019">
        <v>3</v>
      </c>
      <c r="O1019">
        <v>1</v>
      </c>
      <c r="P1019" t="s">
        <v>51</v>
      </c>
      <c r="Q1019">
        <v>1</v>
      </c>
      <c r="R1019" s="11">
        <v>1377</v>
      </c>
      <c r="S1019" s="14">
        <v>91</v>
      </c>
      <c r="T1019" s="13">
        <v>2099</v>
      </c>
      <c r="U1019" s="13">
        <f t="shared" si="76"/>
        <v>25188</v>
      </c>
      <c r="V1019" s="14">
        <v>7679</v>
      </c>
      <c r="W1019">
        <v>0</v>
      </c>
      <c r="X1019" s="8" t="s">
        <v>46</v>
      </c>
      <c r="Y1019" s="15">
        <v>0.14000000000000001</v>
      </c>
      <c r="Z1019">
        <v>3</v>
      </c>
      <c r="AA1019">
        <v>2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 t="str">
        <f t="shared" si="77"/>
        <v>0-3</v>
      </c>
      <c r="AI1019">
        <v>1</v>
      </c>
      <c r="AJ1019" t="str">
        <f t="shared" si="78"/>
        <v>0-2</v>
      </c>
      <c r="AK1019">
        <v>4</v>
      </c>
    </row>
    <row r="1020" spans="1:37" x14ac:dyDescent="0.25">
      <c r="A1020" s="8">
        <v>1019</v>
      </c>
      <c r="B1020" t="s">
        <v>44</v>
      </c>
      <c r="C1020" t="s">
        <v>37</v>
      </c>
      <c r="D1020" s="8">
        <v>36</v>
      </c>
      <c r="E1020" t="str">
        <f t="shared" si="79"/>
        <v>36-45</v>
      </c>
      <c r="F1020" t="s">
        <v>46</v>
      </c>
      <c r="G1020" t="s">
        <v>39</v>
      </c>
      <c r="H1020" s="8" t="s">
        <v>48</v>
      </c>
      <c r="I1020" s="10">
        <v>4</v>
      </c>
      <c r="J1020" t="str">
        <f t="shared" si="75"/>
        <v>Near</v>
      </c>
      <c r="K1020">
        <v>4</v>
      </c>
      <c r="L1020" t="s">
        <v>41</v>
      </c>
      <c r="M1020">
        <v>1</v>
      </c>
      <c r="N1020">
        <v>2</v>
      </c>
      <c r="O1020">
        <v>2</v>
      </c>
      <c r="P1020" t="s">
        <v>51</v>
      </c>
      <c r="Q1020">
        <v>4</v>
      </c>
      <c r="R1020" s="11">
        <v>172</v>
      </c>
      <c r="S1020" s="14">
        <v>37</v>
      </c>
      <c r="T1020" s="13">
        <v>5810</v>
      </c>
      <c r="U1020" s="13">
        <f t="shared" si="76"/>
        <v>69720</v>
      </c>
      <c r="V1020" s="14">
        <v>22604</v>
      </c>
      <c r="W1020">
        <v>1</v>
      </c>
      <c r="X1020" s="8" t="s">
        <v>46</v>
      </c>
      <c r="Y1020" s="15">
        <v>0.16</v>
      </c>
      <c r="Z1020">
        <v>3</v>
      </c>
      <c r="AA1020">
        <v>3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 t="str">
        <f t="shared" si="77"/>
        <v>4-7</v>
      </c>
      <c r="AI1020">
        <v>1</v>
      </c>
      <c r="AJ1020" t="str">
        <f t="shared" si="78"/>
        <v>0-2</v>
      </c>
      <c r="AK1020">
        <v>8</v>
      </c>
    </row>
    <row r="1021" spans="1:37" x14ac:dyDescent="0.25">
      <c r="A1021" s="8">
        <v>1020</v>
      </c>
      <c r="B1021" t="s">
        <v>52</v>
      </c>
      <c r="C1021" t="s">
        <v>45</v>
      </c>
      <c r="D1021" s="8">
        <v>36</v>
      </c>
      <c r="E1021" t="str">
        <f t="shared" si="79"/>
        <v>36-45</v>
      </c>
      <c r="F1021" t="s">
        <v>46</v>
      </c>
      <c r="G1021" t="s">
        <v>39</v>
      </c>
      <c r="H1021" s="8" t="s">
        <v>40</v>
      </c>
      <c r="I1021" s="10">
        <v>16</v>
      </c>
      <c r="J1021" t="str">
        <f t="shared" si="75"/>
        <v>Far</v>
      </c>
      <c r="K1021">
        <v>4</v>
      </c>
      <c r="L1021" t="s">
        <v>62</v>
      </c>
      <c r="M1021">
        <v>3</v>
      </c>
      <c r="N1021">
        <v>2</v>
      </c>
      <c r="O1021">
        <v>2</v>
      </c>
      <c r="P1021" t="s">
        <v>42</v>
      </c>
      <c r="Q1021">
        <v>1</v>
      </c>
      <c r="R1021" s="11">
        <v>329</v>
      </c>
      <c r="S1021" s="14">
        <v>98</v>
      </c>
      <c r="T1021" s="13">
        <v>5647</v>
      </c>
      <c r="U1021" s="13">
        <f t="shared" si="76"/>
        <v>67764</v>
      </c>
      <c r="V1021" s="14">
        <v>13494</v>
      </c>
      <c r="W1021">
        <v>4</v>
      </c>
      <c r="X1021" s="8" t="s">
        <v>46</v>
      </c>
      <c r="Y1021" s="15">
        <v>0.13</v>
      </c>
      <c r="Z1021">
        <v>3</v>
      </c>
      <c r="AA1021">
        <v>1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 t="str">
        <f t="shared" si="77"/>
        <v>0-3</v>
      </c>
      <c r="AI1021">
        <v>0</v>
      </c>
      <c r="AJ1021" t="str">
        <f t="shared" si="78"/>
        <v>0-2</v>
      </c>
      <c r="AK1021">
        <v>2</v>
      </c>
    </row>
    <row r="1022" spans="1:37" x14ac:dyDescent="0.25">
      <c r="A1022" s="8">
        <v>1021</v>
      </c>
      <c r="B1022" t="s">
        <v>44</v>
      </c>
      <c r="C1022" t="s">
        <v>45</v>
      </c>
      <c r="D1022" s="8">
        <v>47</v>
      </c>
      <c r="E1022" t="str">
        <f t="shared" si="79"/>
        <v>46-55</v>
      </c>
      <c r="F1022" t="s">
        <v>46</v>
      </c>
      <c r="G1022" t="s">
        <v>39</v>
      </c>
      <c r="H1022" s="8" t="s">
        <v>48</v>
      </c>
      <c r="I1022" s="10">
        <v>1</v>
      </c>
      <c r="J1022" t="str">
        <f t="shared" si="75"/>
        <v>Near</v>
      </c>
      <c r="K1022">
        <v>3</v>
      </c>
      <c r="L1022" t="s">
        <v>63</v>
      </c>
      <c r="M1022">
        <v>1</v>
      </c>
      <c r="N1022">
        <v>3</v>
      </c>
      <c r="O1022">
        <v>1</v>
      </c>
      <c r="P1022" t="s">
        <v>49</v>
      </c>
      <c r="Q1022">
        <v>4</v>
      </c>
      <c r="R1022" s="11">
        <v>465</v>
      </c>
      <c r="S1022" s="14">
        <v>74</v>
      </c>
      <c r="T1022" s="13">
        <v>3420</v>
      </c>
      <c r="U1022" s="13">
        <f t="shared" si="76"/>
        <v>41040</v>
      </c>
      <c r="V1022" s="14">
        <v>10205</v>
      </c>
      <c r="W1022">
        <v>7</v>
      </c>
      <c r="X1022" s="8" t="s">
        <v>46</v>
      </c>
      <c r="Y1022" s="15">
        <v>0.12</v>
      </c>
      <c r="Z1022">
        <v>3</v>
      </c>
      <c r="AA1022">
        <v>3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 t="str">
        <f t="shared" si="77"/>
        <v>4-7</v>
      </c>
      <c r="AI1022">
        <v>1</v>
      </c>
      <c r="AJ1022" t="str">
        <f t="shared" si="78"/>
        <v>0-2</v>
      </c>
      <c r="AK1022">
        <v>2</v>
      </c>
    </row>
    <row r="1023" spans="1:37" x14ac:dyDescent="0.25">
      <c r="A1023" s="8">
        <v>1022</v>
      </c>
      <c r="B1023" t="s">
        <v>44</v>
      </c>
      <c r="C1023" t="s">
        <v>45</v>
      </c>
      <c r="D1023" s="8">
        <v>25</v>
      </c>
      <c r="E1023" t="str">
        <f t="shared" si="79"/>
        <v>26-35</v>
      </c>
      <c r="F1023" t="s">
        <v>38</v>
      </c>
      <c r="G1023" t="s">
        <v>39</v>
      </c>
      <c r="H1023" s="8" t="s">
        <v>40</v>
      </c>
      <c r="I1023" s="10">
        <v>9</v>
      </c>
      <c r="J1023" t="str">
        <f t="shared" si="75"/>
        <v>Moderate</v>
      </c>
      <c r="K1023">
        <v>2</v>
      </c>
      <c r="L1023" t="s">
        <v>41</v>
      </c>
      <c r="M1023">
        <v>1</v>
      </c>
      <c r="N1023">
        <v>2</v>
      </c>
      <c r="O1023">
        <v>1</v>
      </c>
      <c r="P1023" t="s">
        <v>60</v>
      </c>
      <c r="Q1023">
        <v>1</v>
      </c>
      <c r="R1023" s="11">
        <v>383</v>
      </c>
      <c r="S1023" s="14">
        <v>68</v>
      </c>
      <c r="T1023" s="13">
        <v>4400</v>
      </c>
      <c r="U1023" s="13">
        <f t="shared" si="76"/>
        <v>52800</v>
      </c>
      <c r="V1023" s="14">
        <v>15182</v>
      </c>
      <c r="W1023">
        <v>3</v>
      </c>
      <c r="X1023" s="8" t="s">
        <v>46</v>
      </c>
      <c r="Y1023" s="15">
        <v>0.12</v>
      </c>
      <c r="Z1023">
        <v>3</v>
      </c>
      <c r="AA1023">
        <v>1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 t="str">
        <f t="shared" si="77"/>
        <v>0-3</v>
      </c>
      <c r="AI1023">
        <v>2</v>
      </c>
      <c r="AJ1023" t="str">
        <f t="shared" si="78"/>
        <v>0-2</v>
      </c>
      <c r="AK1023">
        <v>2</v>
      </c>
    </row>
    <row r="1024" spans="1:37" x14ac:dyDescent="0.25">
      <c r="A1024" s="8">
        <v>1023</v>
      </c>
      <c r="B1024" t="s">
        <v>44</v>
      </c>
      <c r="C1024" t="s">
        <v>37</v>
      </c>
      <c r="D1024" s="8">
        <v>37</v>
      </c>
      <c r="E1024" t="str">
        <f t="shared" si="79"/>
        <v>36-45</v>
      </c>
      <c r="F1024" t="s">
        <v>46</v>
      </c>
      <c r="G1024" t="s">
        <v>58</v>
      </c>
      <c r="H1024" s="8" t="s">
        <v>48</v>
      </c>
      <c r="I1024" s="10">
        <v>5</v>
      </c>
      <c r="J1024" t="str">
        <f t="shared" si="75"/>
        <v>Near</v>
      </c>
      <c r="K1024">
        <v>2</v>
      </c>
      <c r="L1024" t="s">
        <v>63</v>
      </c>
      <c r="M1024">
        <v>3</v>
      </c>
      <c r="N1024">
        <v>4</v>
      </c>
      <c r="O1024">
        <v>1</v>
      </c>
      <c r="P1024" t="s">
        <v>51</v>
      </c>
      <c r="Q1024">
        <v>3</v>
      </c>
      <c r="R1024" s="11">
        <v>1413</v>
      </c>
      <c r="S1024" s="14">
        <v>84</v>
      </c>
      <c r="T1024" s="13">
        <v>3500</v>
      </c>
      <c r="U1024" s="13">
        <f t="shared" si="76"/>
        <v>42000</v>
      </c>
      <c r="V1024" s="14">
        <v>25470</v>
      </c>
      <c r="W1024">
        <v>0</v>
      </c>
      <c r="X1024" s="8" t="s">
        <v>46</v>
      </c>
      <c r="Y1024" s="15">
        <v>0.14000000000000001</v>
      </c>
      <c r="Z1024">
        <v>3</v>
      </c>
      <c r="AA1024">
        <v>1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 t="str">
        <f t="shared" si="77"/>
        <v>4-7</v>
      </c>
      <c r="AI1024">
        <v>1</v>
      </c>
      <c r="AJ1024" t="str">
        <f t="shared" si="78"/>
        <v>0-2</v>
      </c>
      <c r="AK1024">
        <v>3</v>
      </c>
    </row>
    <row r="1025" spans="1:37" x14ac:dyDescent="0.25">
      <c r="A1025" s="8">
        <v>1024</v>
      </c>
      <c r="B1025" t="s">
        <v>52</v>
      </c>
      <c r="C1025" t="s">
        <v>45</v>
      </c>
      <c r="D1025" s="8">
        <v>56</v>
      </c>
      <c r="E1025" t="str">
        <f t="shared" si="79"/>
        <v>55+</v>
      </c>
      <c r="F1025" t="s">
        <v>46</v>
      </c>
      <c r="G1025" t="s">
        <v>39</v>
      </c>
      <c r="H1025" s="8" t="s">
        <v>48</v>
      </c>
      <c r="I1025" s="10">
        <v>1</v>
      </c>
      <c r="J1025" t="str">
        <f t="shared" si="75"/>
        <v>Near</v>
      </c>
      <c r="K1025">
        <v>2</v>
      </c>
      <c r="L1025" t="s">
        <v>41</v>
      </c>
      <c r="M1025">
        <v>1</v>
      </c>
      <c r="N1025">
        <v>3</v>
      </c>
      <c r="O1025">
        <v>1</v>
      </c>
      <c r="P1025" t="s">
        <v>49</v>
      </c>
      <c r="Q1025">
        <v>1</v>
      </c>
      <c r="R1025" s="11">
        <v>1255</v>
      </c>
      <c r="S1025" s="14">
        <v>90</v>
      </c>
      <c r="T1025" s="13">
        <v>2066</v>
      </c>
      <c r="U1025" s="13">
        <f t="shared" si="76"/>
        <v>24792</v>
      </c>
      <c r="V1025" s="14">
        <v>10494</v>
      </c>
      <c r="W1025">
        <v>2</v>
      </c>
      <c r="X1025" s="8" t="s">
        <v>46</v>
      </c>
      <c r="Y1025" s="15">
        <v>0.22</v>
      </c>
      <c r="Z1025">
        <v>4</v>
      </c>
      <c r="AA1025">
        <v>4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 t="str">
        <f t="shared" si="77"/>
        <v>0-3</v>
      </c>
      <c r="AI1025">
        <v>1</v>
      </c>
      <c r="AJ1025" t="str">
        <f t="shared" si="78"/>
        <v>0-2</v>
      </c>
      <c r="AK1025">
        <v>0</v>
      </c>
    </row>
    <row r="1026" spans="1:37" x14ac:dyDescent="0.25">
      <c r="A1026" s="8">
        <v>1025</v>
      </c>
      <c r="B1026" t="s">
        <v>52</v>
      </c>
      <c r="C1026" t="s">
        <v>45</v>
      </c>
      <c r="D1026" s="8">
        <v>47</v>
      </c>
      <c r="E1026" t="str">
        <f t="shared" si="79"/>
        <v>46-55</v>
      </c>
      <c r="F1026" t="s">
        <v>46</v>
      </c>
      <c r="G1026" t="s">
        <v>39</v>
      </c>
      <c r="H1026" s="8" t="s">
        <v>48</v>
      </c>
      <c r="I1026" s="10">
        <v>2</v>
      </c>
      <c r="J1026" t="str">
        <f t="shared" si="75"/>
        <v>Near</v>
      </c>
      <c r="K1026">
        <v>4</v>
      </c>
      <c r="L1026" t="s">
        <v>53</v>
      </c>
      <c r="M1026">
        <v>1</v>
      </c>
      <c r="N1026">
        <v>3</v>
      </c>
      <c r="O1026">
        <v>4</v>
      </c>
      <c r="P1026" t="s">
        <v>61</v>
      </c>
      <c r="Q1026">
        <v>3</v>
      </c>
      <c r="R1026" s="11">
        <v>359</v>
      </c>
      <c r="S1026" s="14">
        <v>82</v>
      </c>
      <c r="T1026" s="13">
        <v>17169</v>
      </c>
      <c r="U1026" s="13">
        <f t="shared" si="76"/>
        <v>206028</v>
      </c>
      <c r="V1026" s="14">
        <v>26703</v>
      </c>
      <c r="W1026">
        <v>3</v>
      </c>
      <c r="X1026" s="8" t="s">
        <v>46</v>
      </c>
      <c r="Y1026" s="15">
        <v>0.19</v>
      </c>
      <c r="Z1026">
        <v>3</v>
      </c>
      <c r="AA1026">
        <v>2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 t="str">
        <f t="shared" si="77"/>
        <v>16-19</v>
      </c>
      <c r="AI1026">
        <v>5</v>
      </c>
      <c r="AJ1026" t="str">
        <f t="shared" si="78"/>
        <v>3-5</v>
      </c>
      <c r="AK1026">
        <v>6</v>
      </c>
    </row>
    <row r="1027" spans="1:37" x14ac:dyDescent="0.25">
      <c r="A1027" s="8">
        <v>1026</v>
      </c>
      <c r="B1027" t="s">
        <v>52</v>
      </c>
      <c r="C1027" t="s">
        <v>45</v>
      </c>
      <c r="D1027" s="8">
        <v>24</v>
      </c>
      <c r="E1027" t="str">
        <f t="shared" si="79"/>
        <v>18-25</v>
      </c>
      <c r="F1027" t="s">
        <v>46</v>
      </c>
      <c r="G1027" t="s">
        <v>39</v>
      </c>
      <c r="H1027" s="8" t="s">
        <v>40</v>
      </c>
      <c r="I1027" s="10">
        <v>4</v>
      </c>
      <c r="J1027" t="str">
        <f t="shared" ref="J1027:J1090" si="80">IF(I1027&lt;=5,"Near",IF(I1027&lt;=15,"Moderate",IF(I1027&gt;15,"Far")))</f>
        <v>Near</v>
      </c>
      <c r="K1027">
        <v>1</v>
      </c>
      <c r="L1027" t="s">
        <v>53</v>
      </c>
      <c r="M1027">
        <v>4</v>
      </c>
      <c r="N1027">
        <v>3</v>
      </c>
      <c r="O1027">
        <v>2</v>
      </c>
      <c r="P1027" t="s">
        <v>42</v>
      </c>
      <c r="Q1027">
        <v>3</v>
      </c>
      <c r="R1027" s="11">
        <v>1476</v>
      </c>
      <c r="S1027" s="14">
        <v>42</v>
      </c>
      <c r="T1027" s="13">
        <v>4162</v>
      </c>
      <c r="U1027" s="13">
        <f t="shared" ref="U1027:U1090" si="81">T1027*12</f>
        <v>49944</v>
      </c>
      <c r="V1027" s="14">
        <v>15211</v>
      </c>
      <c r="W1027">
        <v>1</v>
      </c>
      <c r="X1027" s="8" t="s">
        <v>38</v>
      </c>
      <c r="Y1027" s="15">
        <v>0.12</v>
      </c>
      <c r="Z1027">
        <v>3</v>
      </c>
      <c r="AA1027">
        <v>3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 t="str">
        <f t="shared" ref="AH1027:AH1090" si="82">IF(AG:AG&lt;=3,"0-3", IF(AG:AG&lt;=7,"4-7", IF(AG:AG&lt;=11,"8-11", IF(AG:AG&lt;=15,"12-15","16-19"))))</f>
        <v>4-7</v>
      </c>
      <c r="AI1027">
        <v>0</v>
      </c>
      <c r="AJ1027" t="str">
        <f t="shared" ref="AJ1027:AJ1090" si="83">IF(AI:AI&lt;=2,"0-2",IF(AI:AI&lt;=5,"3-5", IF(AI:AI&lt;=8,"6-8", IF(AI:AI&lt;=11,"9-11","12-15"))))</f>
        <v>0-2</v>
      </c>
      <c r="AK1027">
        <v>3</v>
      </c>
    </row>
    <row r="1028" spans="1:37" x14ac:dyDescent="0.25">
      <c r="A1028" s="8">
        <v>1027</v>
      </c>
      <c r="B1028" t="s">
        <v>44</v>
      </c>
      <c r="C1028" t="s">
        <v>45</v>
      </c>
      <c r="D1028" s="8">
        <v>32</v>
      </c>
      <c r="E1028" t="str">
        <f t="shared" ref="E1028:E1091" si="84">IF(D1028&lt;25,"18-25",IF(D1028&lt;=35,"26-35",IF(D1028&lt;=45,"36-45",IF(D1028&lt;=55,"46-55",IF(D1028&gt;55,"55+")))))</f>
        <v>26-35</v>
      </c>
      <c r="F1028" t="s">
        <v>46</v>
      </c>
      <c r="G1028" t="s">
        <v>39</v>
      </c>
      <c r="H1028" s="8" t="s">
        <v>40</v>
      </c>
      <c r="I1028" s="10">
        <v>7</v>
      </c>
      <c r="J1028" t="str">
        <f t="shared" si="80"/>
        <v>Moderate</v>
      </c>
      <c r="K1028">
        <v>5</v>
      </c>
      <c r="L1028" t="s">
        <v>62</v>
      </c>
      <c r="M1028">
        <v>4</v>
      </c>
      <c r="N1028">
        <v>3</v>
      </c>
      <c r="O1028">
        <v>2</v>
      </c>
      <c r="P1028" t="s">
        <v>42</v>
      </c>
      <c r="Q1028">
        <v>4</v>
      </c>
      <c r="R1028" s="11">
        <v>601</v>
      </c>
      <c r="S1028" s="14">
        <v>97</v>
      </c>
      <c r="T1028" s="13">
        <v>9204</v>
      </c>
      <c r="U1028" s="13">
        <f t="shared" si="81"/>
        <v>110448</v>
      </c>
      <c r="V1028" s="14">
        <v>23343</v>
      </c>
      <c r="W1028">
        <v>4</v>
      </c>
      <c r="X1028" s="8" t="s">
        <v>46</v>
      </c>
      <c r="Y1028" s="15">
        <v>0.12</v>
      </c>
      <c r="Z1028">
        <v>3</v>
      </c>
      <c r="AA1028">
        <v>3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 t="str">
        <f t="shared" si="82"/>
        <v>0-3</v>
      </c>
      <c r="AI1028">
        <v>0</v>
      </c>
      <c r="AJ1028" t="str">
        <f t="shared" si="83"/>
        <v>0-2</v>
      </c>
      <c r="AK1028">
        <v>3</v>
      </c>
    </row>
    <row r="1029" spans="1:37" x14ac:dyDescent="0.25">
      <c r="A1029" s="8">
        <v>1028</v>
      </c>
      <c r="B1029" t="s">
        <v>52</v>
      </c>
      <c r="C1029" t="s">
        <v>45</v>
      </c>
      <c r="D1029" s="8">
        <v>34</v>
      </c>
      <c r="E1029" t="str">
        <f t="shared" si="84"/>
        <v>26-35</v>
      </c>
      <c r="F1029" t="s">
        <v>46</v>
      </c>
      <c r="G1029" t="s">
        <v>39</v>
      </c>
      <c r="H1029" s="8" t="s">
        <v>48</v>
      </c>
      <c r="I1029" s="10">
        <v>1</v>
      </c>
      <c r="J1029" t="str">
        <f t="shared" si="80"/>
        <v>Near</v>
      </c>
      <c r="K1029">
        <v>3</v>
      </c>
      <c r="L1029" t="s">
        <v>41</v>
      </c>
      <c r="M1029">
        <v>4</v>
      </c>
      <c r="N1029">
        <v>2</v>
      </c>
      <c r="O1029">
        <v>1</v>
      </c>
      <c r="P1029" t="s">
        <v>51</v>
      </c>
      <c r="Q1029">
        <v>2</v>
      </c>
      <c r="R1029" s="11">
        <v>401</v>
      </c>
      <c r="S1029" s="14">
        <v>86</v>
      </c>
      <c r="T1029" s="13">
        <v>3294</v>
      </c>
      <c r="U1029" s="13">
        <f t="shared" si="81"/>
        <v>39528</v>
      </c>
      <c r="V1029" s="14">
        <v>3708</v>
      </c>
      <c r="W1029">
        <v>5</v>
      </c>
      <c r="X1029" s="8" t="s">
        <v>46</v>
      </c>
      <c r="Y1029" s="15">
        <v>0.17</v>
      </c>
      <c r="Z1029">
        <v>3</v>
      </c>
      <c r="AA1029">
        <v>1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 t="str">
        <f t="shared" si="82"/>
        <v>4-7</v>
      </c>
      <c r="AI1029">
        <v>0</v>
      </c>
      <c r="AJ1029" t="str">
        <f t="shared" si="83"/>
        <v>0-2</v>
      </c>
      <c r="AK1029">
        <v>2</v>
      </c>
    </row>
    <row r="1030" spans="1:37" x14ac:dyDescent="0.25">
      <c r="A1030" s="8">
        <v>1029</v>
      </c>
      <c r="B1030" t="s">
        <v>44</v>
      </c>
      <c r="C1030" t="s">
        <v>45</v>
      </c>
      <c r="D1030" s="8">
        <v>41</v>
      </c>
      <c r="E1030" t="str">
        <f t="shared" si="84"/>
        <v>36-45</v>
      </c>
      <c r="F1030" t="s">
        <v>46</v>
      </c>
      <c r="G1030" t="s">
        <v>39</v>
      </c>
      <c r="H1030" s="8" t="s">
        <v>48</v>
      </c>
      <c r="I1030" s="10">
        <v>5</v>
      </c>
      <c r="J1030" t="str">
        <f t="shared" si="80"/>
        <v>Near</v>
      </c>
      <c r="K1030">
        <v>5</v>
      </c>
      <c r="L1030" t="s">
        <v>53</v>
      </c>
      <c r="M1030">
        <v>2</v>
      </c>
      <c r="N1030">
        <v>4</v>
      </c>
      <c r="O1030">
        <v>1</v>
      </c>
      <c r="P1030" t="s">
        <v>49</v>
      </c>
      <c r="Q1030">
        <v>3</v>
      </c>
      <c r="R1030" s="11">
        <v>1283</v>
      </c>
      <c r="S1030" s="14">
        <v>90</v>
      </c>
      <c r="T1030" s="13">
        <v>2127</v>
      </c>
      <c r="U1030" s="13">
        <f t="shared" si="81"/>
        <v>25524</v>
      </c>
      <c r="V1030" s="14">
        <v>5561</v>
      </c>
      <c r="W1030">
        <v>2</v>
      </c>
      <c r="X1030" s="8" t="s">
        <v>38</v>
      </c>
      <c r="Y1030" s="15">
        <v>0.12</v>
      </c>
      <c r="Z1030">
        <v>3</v>
      </c>
      <c r="AA1030">
        <v>1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 t="str">
        <f t="shared" si="82"/>
        <v>0-3</v>
      </c>
      <c r="AI1030">
        <v>0</v>
      </c>
      <c r="AJ1030" t="str">
        <f t="shared" si="83"/>
        <v>0-2</v>
      </c>
      <c r="AK1030">
        <v>3</v>
      </c>
    </row>
    <row r="1031" spans="1:37" x14ac:dyDescent="0.25">
      <c r="A1031" s="8">
        <v>1030</v>
      </c>
      <c r="B1031" t="s">
        <v>44</v>
      </c>
      <c r="C1031" t="s">
        <v>54</v>
      </c>
      <c r="D1031" s="8">
        <v>40</v>
      </c>
      <c r="E1031" t="str">
        <f t="shared" si="84"/>
        <v>36-45</v>
      </c>
      <c r="F1031" t="s">
        <v>46</v>
      </c>
      <c r="G1031" t="s">
        <v>58</v>
      </c>
      <c r="H1031" s="8" t="s">
        <v>48</v>
      </c>
      <c r="I1031" s="10">
        <v>9</v>
      </c>
      <c r="J1031" t="str">
        <f t="shared" si="80"/>
        <v>Moderate</v>
      </c>
      <c r="K1031">
        <v>4</v>
      </c>
      <c r="L1031" t="s">
        <v>50</v>
      </c>
      <c r="M1031">
        <v>3</v>
      </c>
      <c r="N1031">
        <v>3</v>
      </c>
      <c r="O1031">
        <v>2</v>
      </c>
      <c r="P1031" t="s">
        <v>51</v>
      </c>
      <c r="Q1031">
        <v>3</v>
      </c>
      <c r="R1031" s="11">
        <v>663</v>
      </c>
      <c r="S1031" s="14">
        <v>81</v>
      </c>
      <c r="T1031" s="13">
        <v>3975</v>
      </c>
      <c r="U1031" s="13">
        <f t="shared" si="81"/>
        <v>47700</v>
      </c>
      <c r="V1031" s="14">
        <v>23099</v>
      </c>
      <c r="W1031">
        <v>3</v>
      </c>
      <c r="X1031" s="8" t="s">
        <v>46</v>
      </c>
      <c r="Y1031" s="15">
        <v>0.11</v>
      </c>
      <c r="Z1031">
        <v>3</v>
      </c>
      <c r="AA1031">
        <v>3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 t="str">
        <f t="shared" si="82"/>
        <v>4-7</v>
      </c>
      <c r="AI1031">
        <v>0</v>
      </c>
      <c r="AJ1031" t="str">
        <f t="shared" si="83"/>
        <v>0-2</v>
      </c>
      <c r="AK1031">
        <v>7</v>
      </c>
    </row>
    <row r="1032" spans="1:37" x14ac:dyDescent="0.25">
      <c r="A1032" s="8">
        <v>1031</v>
      </c>
      <c r="B1032" t="s">
        <v>44</v>
      </c>
      <c r="C1032" t="s">
        <v>54</v>
      </c>
      <c r="D1032" s="8">
        <v>31</v>
      </c>
      <c r="E1032" t="str">
        <f t="shared" si="84"/>
        <v>26-35</v>
      </c>
      <c r="F1032" t="s">
        <v>46</v>
      </c>
      <c r="G1032" t="s">
        <v>39</v>
      </c>
      <c r="H1032" s="8" t="s">
        <v>40</v>
      </c>
      <c r="I1032" s="10">
        <v>8</v>
      </c>
      <c r="J1032" t="str">
        <f t="shared" si="80"/>
        <v>Moderate</v>
      </c>
      <c r="K1032">
        <v>2</v>
      </c>
      <c r="L1032" t="s">
        <v>41</v>
      </c>
      <c r="M1032">
        <v>1</v>
      </c>
      <c r="N1032">
        <v>3</v>
      </c>
      <c r="O1032">
        <v>3</v>
      </c>
      <c r="P1032" t="s">
        <v>42</v>
      </c>
      <c r="Q1032">
        <v>4</v>
      </c>
      <c r="R1032" s="11">
        <v>326</v>
      </c>
      <c r="S1032" s="14">
        <v>31</v>
      </c>
      <c r="T1032" s="13">
        <v>10793</v>
      </c>
      <c r="U1032" s="13">
        <f t="shared" si="81"/>
        <v>129516</v>
      </c>
      <c r="V1032" s="14">
        <v>8386</v>
      </c>
      <c r="W1032">
        <v>1</v>
      </c>
      <c r="X1032" s="8" t="s">
        <v>46</v>
      </c>
      <c r="Y1032" s="15">
        <v>0.18</v>
      </c>
      <c r="Z1032">
        <v>3</v>
      </c>
      <c r="AA1032">
        <v>1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 t="str">
        <f t="shared" si="82"/>
        <v>4-7</v>
      </c>
      <c r="AI1032">
        <v>9</v>
      </c>
      <c r="AJ1032" t="str">
        <f t="shared" si="83"/>
        <v>9-11</v>
      </c>
      <c r="AK1032">
        <v>9</v>
      </c>
    </row>
    <row r="1033" spans="1:37" x14ac:dyDescent="0.25">
      <c r="A1033" s="8">
        <v>1032</v>
      </c>
      <c r="B1033" t="s">
        <v>44</v>
      </c>
      <c r="C1033" t="s">
        <v>54</v>
      </c>
      <c r="D1033" s="8">
        <v>46</v>
      </c>
      <c r="E1033" t="str">
        <f t="shared" si="84"/>
        <v>46-55</v>
      </c>
      <c r="F1033" t="s">
        <v>38</v>
      </c>
      <c r="G1033" t="s">
        <v>39</v>
      </c>
      <c r="H1033" s="8" t="s">
        <v>40</v>
      </c>
      <c r="I1033" s="10">
        <v>9</v>
      </c>
      <c r="J1033" t="str">
        <f t="shared" si="80"/>
        <v>Moderate</v>
      </c>
      <c r="K1033">
        <v>3</v>
      </c>
      <c r="L1033" t="s">
        <v>62</v>
      </c>
      <c r="M1033">
        <v>1</v>
      </c>
      <c r="N1033">
        <v>3</v>
      </c>
      <c r="O1033">
        <v>3</v>
      </c>
      <c r="P1033" t="s">
        <v>42</v>
      </c>
      <c r="Q1033">
        <v>4</v>
      </c>
      <c r="R1033" s="11">
        <v>377</v>
      </c>
      <c r="S1033" s="14">
        <v>52</v>
      </c>
      <c r="T1033" s="13">
        <v>10096</v>
      </c>
      <c r="U1033" s="13">
        <f t="shared" si="81"/>
        <v>121152</v>
      </c>
      <c r="V1033" s="14">
        <v>15986</v>
      </c>
      <c r="W1033">
        <v>4</v>
      </c>
      <c r="X1033" s="8" t="s">
        <v>46</v>
      </c>
      <c r="Y1033" s="15">
        <v>0.11</v>
      </c>
      <c r="Z1033">
        <v>3</v>
      </c>
      <c r="AA1033">
        <v>1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 t="str">
        <f t="shared" si="82"/>
        <v>4-7</v>
      </c>
      <c r="AI1033">
        <v>4</v>
      </c>
      <c r="AJ1033" t="str">
        <f t="shared" si="83"/>
        <v>3-5</v>
      </c>
      <c r="AK1033">
        <v>3</v>
      </c>
    </row>
    <row r="1034" spans="1:37" x14ac:dyDescent="0.25">
      <c r="A1034" s="8">
        <v>1033</v>
      </c>
      <c r="B1034" t="s">
        <v>52</v>
      </c>
      <c r="C1034" t="s">
        <v>37</v>
      </c>
      <c r="D1034" s="8">
        <v>39</v>
      </c>
      <c r="E1034" t="str">
        <f t="shared" si="84"/>
        <v>36-45</v>
      </c>
      <c r="F1034" t="s">
        <v>38</v>
      </c>
      <c r="G1034" t="s">
        <v>58</v>
      </c>
      <c r="H1034" s="8" t="s">
        <v>48</v>
      </c>
      <c r="I1034" s="10">
        <v>2</v>
      </c>
      <c r="J1034" t="str">
        <f t="shared" si="80"/>
        <v>Near</v>
      </c>
      <c r="K1034">
        <v>3</v>
      </c>
      <c r="L1034" t="s">
        <v>41</v>
      </c>
      <c r="M1034">
        <v>1</v>
      </c>
      <c r="N1034">
        <v>2</v>
      </c>
      <c r="O1034">
        <v>1</v>
      </c>
      <c r="P1034" t="s">
        <v>51</v>
      </c>
      <c r="Q1034">
        <v>1</v>
      </c>
      <c r="R1034" s="11">
        <v>592</v>
      </c>
      <c r="S1034" s="14">
        <v>54</v>
      </c>
      <c r="T1034" s="13">
        <v>3646</v>
      </c>
      <c r="U1034" s="13">
        <f t="shared" si="81"/>
        <v>43752</v>
      </c>
      <c r="V1034" s="14">
        <v>17181</v>
      </c>
      <c r="W1034">
        <v>2</v>
      </c>
      <c r="X1034" s="8" t="s">
        <v>38</v>
      </c>
      <c r="Y1034" s="15">
        <v>0.23</v>
      </c>
      <c r="Z1034">
        <v>4</v>
      </c>
      <c r="AA1034">
        <v>2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 t="str">
        <f t="shared" si="82"/>
        <v>0-3</v>
      </c>
      <c r="AI1034">
        <v>0</v>
      </c>
      <c r="AJ1034" t="str">
        <f t="shared" si="83"/>
        <v>0-2</v>
      </c>
      <c r="AK1034">
        <v>0</v>
      </c>
    </row>
    <row r="1035" spans="1:37" x14ac:dyDescent="0.25">
      <c r="A1035" s="8">
        <v>1034</v>
      </c>
      <c r="B1035" t="s">
        <v>52</v>
      </c>
      <c r="C1035" t="s">
        <v>37</v>
      </c>
      <c r="D1035" s="8">
        <v>31</v>
      </c>
      <c r="E1035" t="str">
        <f t="shared" si="84"/>
        <v>26-35</v>
      </c>
      <c r="F1035" t="s">
        <v>38</v>
      </c>
      <c r="G1035" t="s">
        <v>47</v>
      </c>
      <c r="H1035" s="8" t="s">
        <v>48</v>
      </c>
      <c r="I1035" s="10">
        <v>1</v>
      </c>
      <c r="J1035" t="str">
        <f t="shared" si="80"/>
        <v>Near</v>
      </c>
      <c r="K1035">
        <v>5</v>
      </c>
      <c r="L1035" t="s">
        <v>41</v>
      </c>
      <c r="M1035">
        <v>3</v>
      </c>
      <c r="N1035">
        <v>4</v>
      </c>
      <c r="O1035">
        <v>3</v>
      </c>
      <c r="P1035" t="s">
        <v>55</v>
      </c>
      <c r="Q1035">
        <v>2</v>
      </c>
      <c r="R1035" s="11">
        <v>1445</v>
      </c>
      <c r="S1035" s="14">
        <v>100</v>
      </c>
      <c r="T1035" s="13">
        <v>7446</v>
      </c>
      <c r="U1035" s="13">
        <f t="shared" si="81"/>
        <v>89352</v>
      </c>
      <c r="V1035" s="14">
        <v>8931</v>
      </c>
      <c r="W1035">
        <v>1</v>
      </c>
      <c r="X1035" s="8" t="s">
        <v>46</v>
      </c>
      <c r="Y1035" s="15">
        <v>0.11</v>
      </c>
      <c r="Z1035">
        <v>3</v>
      </c>
      <c r="AA1035">
        <v>1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 t="str">
        <f t="shared" si="82"/>
        <v>8-11</v>
      </c>
      <c r="AI1035">
        <v>4</v>
      </c>
      <c r="AJ1035" t="str">
        <f t="shared" si="83"/>
        <v>3-5</v>
      </c>
      <c r="AK1035">
        <v>7</v>
      </c>
    </row>
    <row r="1036" spans="1:37" x14ac:dyDescent="0.25">
      <c r="A1036" s="8">
        <v>1035</v>
      </c>
      <c r="B1036" t="s">
        <v>44</v>
      </c>
      <c r="C1036" t="s">
        <v>54</v>
      </c>
      <c r="D1036" s="8">
        <v>45</v>
      </c>
      <c r="E1036" t="str">
        <f t="shared" si="84"/>
        <v>36-45</v>
      </c>
      <c r="F1036" t="s">
        <v>46</v>
      </c>
      <c r="G1036" t="s">
        <v>39</v>
      </c>
      <c r="H1036" s="8" t="s">
        <v>48</v>
      </c>
      <c r="I1036" s="10">
        <v>20</v>
      </c>
      <c r="J1036" t="str">
        <f t="shared" si="80"/>
        <v>Far</v>
      </c>
      <c r="K1036">
        <v>3</v>
      </c>
      <c r="L1036" t="s">
        <v>53</v>
      </c>
      <c r="M1036">
        <v>2</v>
      </c>
      <c r="N1036">
        <v>1</v>
      </c>
      <c r="O1036">
        <v>3</v>
      </c>
      <c r="P1036" t="s">
        <v>56</v>
      </c>
      <c r="Q1036">
        <v>1</v>
      </c>
      <c r="R1036" s="11">
        <v>1038</v>
      </c>
      <c r="S1036" s="14">
        <v>95</v>
      </c>
      <c r="T1036" s="13">
        <v>10851</v>
      </c>
      <c r="U1036" s="13">
        <f t="shared" si="81"/>
        <v>130212</v>
      </c>
      <c r="V1036" s="14">
        <v>19863</v>
      </c>
      <c r="W1036">
        <v>2</v>
      </c>
      <c r="X1036" s="8" t="s">
        <v>38</v>
      </c>
      <c r="Y1036" s="15">
        <v>0.18</v>
      </c>
      <c r="Z1036">
        <v>3</v>
      </c>
      <c r="AA1036">
        <v>2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 t="str">
        <f t="shared" si="82"/>
        <v>4-7</v>
      </c>
      <c r="AI1036">
        <v>0</v>
      </c>
      <c r="AJ1036" t="str">
        <f t="shared" si="83"/>
        <v>0-2</v>
      </c>
      <c r="AK1036">
        <v>7</v>
      </c>
    </row>
    <row r="1037" spans="1:37" x14ac:dyDescent="0.25">
      <c r="A1037" s="8">
        <v>1036</v>
      </c>
      <c r="B1037" t="s">
        <v>52</v>
      </c>
      <c r="C1037" t="s">
        <v>37</v>
      </c>
      <c r="D1037" s="8">
        <v>31</v>
      </c>
      <c r="E1037" t="str">
        <f t="shared" si="84"/>
        <v>26-35</v>
      </c>
      <c r="F1037" t="s">
        <v>46</v>
      </c>
      <c r="G1037" t="s">
        <v>39</v>
      </c>
      <c r="H1037" s="8" t="s">
        <v>64</v>
      </c>
      <c r="I1037" s="10">
        <v>8</v>
      </c>
      <c r="J1037" t="str">
        <f t="shared" si="80"/>
        <v>Moderate</v>
      </c>
      <c r="K1037">
        <v>2</v>
      </c>
      <c r="L1037" t="s">
        <v>53</v>
      </c>
      <c r="M1037">
        <v>4</v>
      </c>
      <c r="N1037">
        <v>4</v>
      </c>
      <c r="O1037">
        <v>1</v>
      </c>
      <c r="P1037" t="s">
        <v>64</v>
      </c>
      <c r="Q1037">
        <v>2</v>
      </c>
      <c r="R1037" s="11">
        <v>1398</v>
      </c>
      <c r="S1037" s="14">
        <v>96</v>
      </c>
      <c r="T1037" s="13">
        <v>2109</v>
      </c>
      <c r="U1037" s="13">
        <f t="shared" si="81"/>
        <v>25308</v>
      </c>
      <c r="V1037" s="14">
        <v>24609</v>
      </c>
      <c r="W1037">
        <v>9</v>
      </c>
      <c r="X1037" s="8" t="s">
        <v>46</v>
      </c>
      <c r="Y1037" s="15">
        <v>0.18</v>
      </c>
      <c r="Z1037">
        <v>3</v>
      </c>
      <c r="AA1037">
        <v>4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 t="str">
        <f t="shared" si="82"/>
        <v>0-3</v>
      </c>
      <c r="AI1037">
        <v>0</v>
      </c>
      <c r="AJ1037" t="str">
        <f t="shared" si="83"/>
        <v>0-2</v>
      </c>
      <c r="AK1037">
        <v>2</v>
      </c>
    </row>
    <row r="1038" spans="1:37" x14ac:dyDescent="0.25">
      <c r="A1038" s="8">
        <v>1037</v>
      </c>
      <c r="B1038" t="s">
        <v>44</v>
      </c>
      <c r="C1038" t="s">
        <v>45</v>
      </c>
      <c r="D1038" s="8">
        <v>31</v>
      </c>
      <c r="E1038" t="str">
        <f t="shared" si="84"/>
        <v>26-35</v>
      </c>
      <c r="F1038" t="s">
        <v>38</v>
      </c>
      <c r="G1038" t="s">
        <v>47</v>
      </c>
      <c r="H1038" s="8" t="s">
        <v>48</v>
      </c>
      <c r="I1038" s="10">
        <v>2</v>
      </c>
      <c r="J1038" t="str">
        <f t="shared" si="80"/>
        <v>Near</v>
      </c>
      <c r="K1038">
        <v>3</v>
      </c>
      <c r="L1038" t="s">
        <v>41</v>
      </c>
      <c r="M1038">
        <v>2</v>
      </c>
      <c r="N1038">
        <v>3</v>
      </c>
      <c r="O1038">
        <v>1</v>
      </c>
      <c r="P1038" t="s">
        <v>51</v>
      </c>
      <c r="Q1038">
        <v>4</v>
      </c>
      <c r="R1038" s="11">
        <v>523</v>
      </c>
      <c r="S1038" s="14">
        <v>94</v>
      </c>
      <c r="T1038" s="13">
        <v>3722</v>
      </c>
      <c r="U1038" s="13">
        <f t="shared" si="81"/>
        <v>44664</v>
      </c>
      <c r="V1038" s="14">
        <v>21081</v>
      </c>
      <c r="W1038">
        <v>6</v>
      </c>
      <c r="X1038" s="8" t="s">
        <v>38</v>
      </c>
      <c r="Y1038" s="15">
        <v>0.13</v>
      </c>
      <c r="Z1038">
        <v>3</v>
      </c>
      <c r="AA1038">
        <v>3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 t="str">
        <f t="shared" si="82"/>
        <v>0-3</v>
      </c>
      <c r="AI1038">
        <v>2</v>
      </c>
      <c r="AJ1038" t="str">
        <f t="shared" si="83"/>
        <v>0-2</v>
      </c>
      <c r="AK1038">
        <v>2</v>
      </c>
    </row>
    <row r="1039" spans="1:37" x14ac:dyDescent="0.25">
      <c r="A1039" s="8">
        <v>1038</v>
      </c>
      <c r="B1039" t="s">
        <v>44</v>
      </c>
      <c r="C1039" t="s">
        <v>45</v>
      </c>
      <c r="D1039" s="8">
        <v>45</v>
      </c>
      <c r="E1039" t="str">
        <f t="shared" si="84"/>
        <v>36-45</v>
      </c>
      <c r="F1039" t="s">
        <v>46</v>
      </c>
      <c r="G1039" t="s">
        <v>39</v>
      </c>
      <c r="H1039" s="8" t="s">
        <v>48</v>
      </c>
      <c r="I1039" s="10">
        <v>29</v>
      </c>
      <c r="J1039" t="str">
        <f t="shared" si="80"/>
        <v>Far</v>
      </c>
      <c r="K1039">
        <v>3</v>
      </c>
      <c r="L1039" t="s">
        <v>63</v>
      </c>
      <c r="M1039">
        <v>2</v>
      </c>
      <c r="N1039">
        <v>3</v>
      </c>
      <c r="O1039">
        <v>3</v>
      </c>
      <c r="P1039" t="s">
        <v>55</v>
      </c>
      <c r="Q1039">
        <v>4</v>
      </c>
      <c r="R1039" s="11">
        <v>1448</v>
      </c>
      <c r="S1039" s="14">
        <v>55</v>
      </c>
      <c r="T1039" s="13">
        <v>9380</v>
      </c>
      <c r="U1039" s="13">
        <f t="shared" si="81"/>
        <v>112560</v>
      </c>
      <c r="V1039" s="14">
        <v>14720</v>
      </c>
      <c r="W1039">
        <v>4</v>
      </c>
      <c r="X1039" s="8" t="s">
        <v>38</v>
      </c>
      <c r="Y1039" s="15">
        <v>0.18</v>
      </c>
      <c r="Z1039">
        <v>3</v>
      </c>
      <c r="AA1039">
        <v>4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 t="str">
        <f t="shared" si="82"/>
        <v>0-3</v>
      </c>
      <c r="AI1039">
        <v>1</v>
      </c>
      <c r="AJ1039" t="str">
        <f t="shared" si="83"/>
        <v>0-2</v>
      </c>
      <c r="AK1039">
        <v>2</v>
      </c>
    </row>
    <row r="1040" spans="1:37" x14ac:dyDescent="0.25">
      <c r="A1040" s="8">
        <v>1039</v>
      </c>
      <c r="B1040" t="s">
        <v>44</v>
      </c>
      <c r="C1040" t="s">
        <v>54</v>
      </c>
      <c r="D1040" s="8">
        <v>48</v>
      </c>
      <c r="E1040" t="str">
        <f t="shared" si="84"/>
        <v>46-55</v>
      </c>
      <c r="F1040" t="s">
        <v>46</v>
      </c>
      <c r="G1040" t="s">
        <v>39</v>
      </c>
      <c r="H1040" s="8" t="s">
        <v>40</v>
      </c>
      <c r="I1040" s="10">
        <v>7</v>
      </c>
      <c r="J1040" t="str">
        <f t="shared" si="80"/>
        <v>Moderate</v>
      </c>
      <c r="K1040">
        <v>3</v>
      </c>
      <c r="L1040" t="s">
        <v>62</v>
      </c>
      <c r="M1040">
        <v>3</v>
      </c>
      <c r="N1040">
        <v>3</v>
      </c>
      <c r="O1040">
        <v>2</v>
      </c>
      <c r="P1040" t="s">
        <v>42</v>
      </c>
      <c r="Q1040">
        <v>1</v>
      </c>
      <c r="R1040" s="11">
        <v>1221</v>
      </c>
      <c r="S1040" s="14">
        <v>96</v>
      </c>
      <c r="T1040" s="13">
        <v>5486</v>
      </c>
      <c r="U1040" s="13">
        <f t="shared" si="81"/>
        <v>65832</v>
      </c>
      <c r="V1040" s="14">
        <v>24795</v>
      </c>
      <c r="W1040">
        <v>4</v>
      </c>
      <c r="X1040" s="8" t="s">
        <v>46</v>
      </c>
      <c r="Y1040" s="15">
        <v>0.11</v>
      </c>
      <c r="Z1040">
        <v>3</v>
      </c>
      <c r="AA1040">
        <v>1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 t="str">
        <f t="shared" si="82"/>
        <v>0-3</v>
      </c>
      <c r="AI1040">
        <v>2</v>
      </c>
      <c r="AJ1040" t="str">
        <f t="shared" si="83"/>
        <v>0-2</v>
      </c>
      <c r="AK1040">
        <v>2</v>
      </c>
    </row>
    <row r="1041" spans="1:37" x14ac:dyDescent="0.25">
      <c r="A1041" s="8">
        <v>1040</v>
      </c>
      <c r="B1041" t="s">
        <v>52</v>
      </c>
      <c r="C1041" t="s">
        <v>45</v>
      </c>
      <c r="D1041" s="8">
        <v>34</v>
      </c>
      <c r="E1041" t="str">
        <f t="shared" si="84"/>
        <v>26-35</v>
      </c>
      <c r="F1041" t="s">
        <v>38</v>
      </c>
      <c r="G1041" t="s">
        <v>39</v>
      </c>
      <c r="H1041" s="8" t="s">
        <v>64</v>
      </c>
      <c r="I1041" s="10">
        <v>9</v>
      </c>
      <c r="J1041" t="str">
        <f t="shared" si="80"/>
        <v>Moderate</v>
      </c>
      <c r="K1041">
        <v>4</v>
      </c>
      <c r="L1041" t="s">
        <v>63</v>
      </c>
      <c r="M1041">
        <v>1</v>
      </c>
      <c r="N1041">
        <v>3</v>
      </c>
      <c r="O1041">
        <v>1</v>
      </c>
      <c r="P1041" t="s">
        <v>64</v>
      </c>
      <c r="Q1041">
        <v>3</v>
      </c>
      <c r="R1041" s="11">
        <v>1107</v>
      </c>
      <c r="S1041" s="14">
        <v>52</v>
      </c>
      <c r="T1041" s="13">
        <v>2742</v>
      </c>
      <c r="U1041" s="13">
        <f t="shared" si="81"/>
        <v>32904</v>
      </c>
      <c r="V1041" s="14">
        <v>3072</v>
      </c>
      <c r="W1041">
        <v>1</v>
      </c>
      <c r="X1041" s="8" t="s">
        <v>46</v>
      </c>
      <c r="Y1041" s="15">
        <v>0.15</v>
      </c>
      <c r="Z1041">
        <v>3</v>
      </c>
      <c r="AA1041">
        <v>4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 t="str">
        <f t="shared" si="82"/>
        <v>0-3</v>
      </c>
      <c r="AI1041">
        <v>2</v>
      </c>
      <c r="AJ1041" t="str">
        <f t="shared" si="83"/>
        <v>0-2</v>
      </c>
      <c r="AK1041">
        <v>2</v>
      </c>
    </row>
    <row r="1042" spans="1:37" x14ac:dyDescent="0.25">
      <c r="A1042" s="8">
        <v>1041</v>
      </c>
      <c r="B1042" t="s">
        <v>44</v>
      </c>
      <c r="C1042" t="s">
        <v>54</v>
      </c>
      <c r="D1042" s="8">
        <v>40</v>
      </c>
      <c r="E1042" t="str">
        <f t="shared" si="84"/>
        <v>36-45</v>
      </c>
      <c r="F1042" t="s">
        <v>46</v>
      </c>
      <c r="G1042" t="s">
        <v>58</v>
      </c>
      <c r="H1042" s="8" t="s">
        <v>48</v>
      </c>
      <c r="I1042" s="10">
        <v>8</v>
      </c>
      <c r="J1042" t="str">
        <f t="shared" si="80"/>
        <v>Moderate</v>
      </c>
      <c r="K1042">
        <v>1</v>
      </c>
      <c r="L1042" t="s">
        <v>53</v>
      </c>
      <c r="M1042">
        <v>4</v>
      </c>
      <c r="N1042">
        <v>2</v>
      </c>
      <c r="O1042">
        <v>3</v>
      </c>
      <c r="P1042" t="s">
        <v>61</v>
      </c>
      <c r="Q1042">
        <v>2</v>
      </c>
      <c r="R1042" s="11">
        <v>218</v>
      </c>
      <c r="S1042" s="14">
        <v>55</v>
      </c>
      <c r="T1042" s="13">
        <v>13757</v>
      </c>
      <c r="U1042" s="13">
        <f t="shared" si="81"/>
        <v>165084</v>
      </c>
      <c r="V1042" s="14">
        <v>25178</v>
      </c>
      <c r="W1042">
        <v>2</v>
      </c>
      <c r="X1042" s="8" t="s">
        <v>46</v>
      </c>
      <c r="Y1042" s="15">
        <v>0.11</v>
      </c>
      <c r="Z1042">
        <v>3</v>
      </c>
      <c r="AA1042">
        <v>3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 t="str">
        <f t="shared" si="82"/>
        <v>8-11</v>
      </c>
      <c r="AI1042">
        <v>4</v>
      </c>
      <c r="AJ1042" t="str">
        <f t="shared" si="83"/>
        <v>3-5</v>
      </c>
      <c r="AK1042">
        <v>8</v>
      </c>
    </row>
    <row r="1043" spans="1:37" x14ac:dyDescent="0.25">
      <c r="A1043" s="8">
        <v>1042</v>
      </c>
      <c r="B1043" t="s">
        <v>44</v>
      </c>
      <c r="C1043" t="s">
        <v>37</v>
      </c>
      <c r="D1043" s="8">
        <v>28</v>
      </c>
      <c r="E1043" t="str">
        <f t="shared" si="84"/>
        <v>26-35</v>
      </c>
      <c r="F1043" t="s">
        <v>46</v>
      </c>
      <c r="G1043" t="s">
        <v>39</v>
      </c>
      <c r="H1043" s="8" t="s">
        <v>40</v>
      </c>
      <c r="I1043" s="10">
        <v>5</v>
      </c>
      <c r="J1043" t="str">
        <f t="shared" si="80"/>
        <v>Near</v>
      </c>
      <c r="K1043">
        <v>3</v>
      </c>
      <c r="L1043" t="s">
        <v>53</v>
      </c>
      <c r="M1043">
        <v>4</v>
      </c>
      <c r="N1043">
        <v>3</v>
      </c>
      <c r="O1043">
        <v>2</v>
      </c>
      <c r="P1043" t="s">
        <v>42</v>
      </c>
      <c r="Q1043">
        <v>1</v>
      </c>
      <c r="R1043" s="11">
        <v>866</v>
      </c>
      <c r="S1043" s="14">
        <v>84</v>
      </c>
      <c r="T1043" s="13">
        <v>8463</v>
      </c>
      <c r="U1043" s="13">
        <f t="shared" si="81"/>
        <v>101556</v>
      </c>
      <c r="V1043" s="14">
        <v>23490</v>
      </c>
      <c r="W1043">
        <v>0</v>
      </c>
      <c r="X1043" s="8" t="s">
        <v>46</v>
      </c>
      <c r="Y1043" s="15">
        <v>0.18</v>
      </c>
      <c r="Z1043">
        <v>3</v>
      </c>
      <c r="AA1043">
        <v>4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 t="str">
        <f t="shared" si="82"/>
        <v>4-7</v>
      </c>
      <c r="AI1043">
        <v>1</v>
      </c>
      <c r="AJ1043" t="str">
        <f t="shared" si="83"/>
        <v>0-2</v>
      </c>
      <c r="AK1043">
        <v>3</v>
      </c>
    </row>
    <row r="1044" spans="1:37" x14ac:dyDescent="0.25">
      <c r="A1044" s="8">
        <v>1043</v>
      </c>
      <c r="B1044" t="s">
        <v>44</v>
      </c>
      <c r="C1044" t="s">
        <v>37</v>
      </c>
      <c r="D1044" s="8">
        <v>44</v>
      </c>
      <c r="E1044" t="str">
        <f t="shared" si="84"/>
        <v>36-45</v>
      </c>
      <c r="F1044" t="s">
        <v>46</v>
      </c>
      <c r="G1044" t="s">
        <v>58</v>
      </c>
      <c r="H1044" s="8" t="s">
        <v>48</v>
      </c>
      <c r="I1044" s="10">
        <v>5</v>
      </c>
      <c r="J1044" t="str">
        <f t="shared" si="80"/>
        <v>Near</v>
      </c>
      <c r="K1044">
        <v>3</v>
      </c>
      <c r="L1044" t="s">
        <v>41</v>
      </c>
      <c r="M1044">
        <v>3</v>
      </c>
      <c r="N1044">
        <v>2</v>
      </c>
      <c r="O1044">
        <v>1</v>
      </c>
      <c r="P1044" t="s">
        <v>51</v>
      </c>
      <c r="Q1044">
        <v>3</v>
      </c>
      <c r="R1044" s="11">
        <v>981</v>
      </c>
      <c r="S1044" s="14">
        <v>90</v>
      </c>
      <c r="T1044" s="13">
        <v>3162</v>
      </c>
      <c r="U1044" s="13">
        <f t="shared" si="81"/>
        <v>37944</v>
      </c>
      <c r="V1044" s="14">
        <v>7973</v>
      </c>
      <c r="W1044">
        <v>3</v>
      </c>
      <c r="X1044" s="8" t="s">
        <v>46</v>
      </c>
      <c r="Y1044" s="15">
        <v>0.14000000000000001</v>
      </c>
      <c r="Z1044">
        <v>3</v>
      </c>
      <c r="AA1044">
        <v>4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 t="str">
        <f t="shared" si="82"/>
        <v>0-3</v>
      </c>
      <c r="AI1044">
        <v>0</v>
      </c>
      <c r="AJ1044" t="str">
        <f t="shared" si="83"/>
        <v>0-2</v>
      </c>
      <c r="AK1044">
        <v>3</v>
      </c>
    </row>
    <row r="1045" spans="1:37" x14ac:dyDescent="0.25">
      <c r="A1045" s="8">
        <v>1044</v>
      </c>
      <c r="B1045" t="s">
        <v>44</v>
      </c>
      <c r="C1045" t="s">
        <v>37</v>
      </c>
      <c r="D1045" s="8">
        <v>53</v>
      </c>
      <c r="E1045" t="str">
        <f t="shared" si="84"/>
        <v>46-55</v>
      </c>
      <c r="F1045" t="s">
        <v>46</v>
      </c>
      <c r="G1045" t="s">
        <v>39</v>
      </c>
      <c r="H1045" s="8" t="s">
        <v>48</v>
      </c>
      <c r="I1045" s="10">
        <v>2</v>
      </c>
      <c r="J1045" t="str">
        <f t="shared" si="80"/>
        <v>Near</v>
      </c>
      <c r="K1045">
        <v>3</v>
      </c>
      <c r="L1045" t="s">
        <v>53</v>
      </c>
      <c r="M1045">
        <v>4</v>
      </c>
      <c r="N1045">
        <v>4</v>
      </c>
      <c r="O1045">
        <v>4</v>
      </c>
      <c r="P1045" t="s">
        <v>61</v>
      </c>
      <c r="Q1045">
        <v>2</v>
      </c>
      <c r="R1045" s="11">
        <v>447</v>
      </c>
      <c r="S1045" s="14">
        <v>39</v>
      </c>
      <c r="T1045" s="13">
        <v>16598</v>
      </c>
      <c r="U1045" s="13">
        <f t="shared" si="81"/>
        <v>199176</v>
      </c>
      <c r="V1045" s="14">
        <v>19764</v>
      </c>
      <c r="W1045">
        <v>4</v>
      </c>
      <c r="X1045" s="8" t="s">
        <v>46</v>
      </c>
      <c r="Y1045" s="15">
        <v>0.12</v>
      </c>
      <c r="Z1045">
        <v>3</v>
      </c>
      <c r="AA1045">
        <v>2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 t="str">
        <f t="shared" si="82"/>
        <v>8-11</v>
      </c>
      <c r="AI1045">
        <v>8</v>
      </c>
      <c r="AJ1045" t="str">
        <f t="shared" si="83"/>
        <v>6-8</v>
      </c>
      <c r="AK1045">
        <v>8</v>
      </c>
    </row>
    <row r="1046" spans="1:37" x14ac:dyDescent="0.25">
      <c r="A1046" s="8">
        <v>1045</v>
      </c>
      <c r="B1046" t="s">
        <v>44</v>
      </c>
      <c r="C1046" t="s">
        <v>45</v>
      </c>
      <c r="D1046" s="8">
        <v>49</v>
      </c>
      <c r="E1046" t="str">
        <f t="shared" si="84"/>
        <v>46-55</v>
      </c>
      <c r="F1046" t="s">
        <v>46</v>
      </c>
      <c r="G1046" t="s">
        <v>39</v>
      </c>
      <c r="H1046" s="8" t="s">
        <v>48</v>
      </c>
      <c r="I1046" s="10">
        <v>5</v>
      </c>
      <c r="J1046" t="str">
        <f t="shared" si="80"/>
        <v>Near</v>
      </c>
      <c r="K1046">
        <v>4</v>
      </c>
      <c r="L1046" t="s">
        <v>63</v>
      </c>
      <c r="M1046">
        <v>1</v>
      </c>
      <c r="N1046">
        <v>3</v>
      </c>
      <c r="O1046">
        <v>2</v>
      </c>
      <c r="P1046" t="s">
        <v>56</v>
      </c>
      <c r="Q1046">
        <v>3</v>
      </c>
      <c r="R1046" s="11">
        <v>1495</v>
      </c>
      <c r="S1046" s="14">
        <v>96</v>
      </c>
      <c r="T1046" s="13">
        <v>6651</v>
      </c>
      <c r="U1046" s="13">
        <f t="shared" si="81"/>
        <v>79812</v>
      </c>
      <c r="V1046" s="14">
        <v>21534</v>
      </c>
      <c r="W1046">
        <v>2</v>
      </c>
      <c r="X1046" s="8" t="s">
        <v>46</v>
      </c>
      <c r="Y1046" s="15">
        <v>0.14000000000000001</v>
      </c>
      <c r="Z1046">
        <v>3</v>
      </c>
      <c r="AA1046">
        <v>2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 t="str">
        <f t="shared" si="82"/>
        <v>0-3</v>
      </c>
      <c r="AI1046">
        <v>1</v>
      </c>
      <c r="AJ1046" t="str">
        <f t="shared" si="83"/>
        <v>0-2</v>
      </c>
      <c r="AK1046">
        <v>2</v>
      </c>
    </row>
    <row r="1047" spans="1:37" x14ac:dyDescent="0.25">
      <c r="A1047" s="8">
        <v>1046</v>
      </c>
      <c r="B1047" t="s">
        <v>44</v>
      </c>
      <c r="C1047" t="s">
        <v>54</v>
      </c>
      <c r="D1047" s="8">
        <v>40</v>
      </c>
      <c r="E1047" t="str">
        <f t="shared" si="84"/>
        <v>36-45</v>
      </c>
      <c r="F1047" t="s">
        <v>46</v>
      </c>
      <c r="G1047" t="s">
        <v>39</v>
      </c>
      <c r="H1047" s="8" t="s">
        <v>48</v>
      </c>
      <c r="I1047" s="10">
        <v>2</v>
      </c>
      <c r="J1047" t="str">
        <f t="shared" si="80"/>
        <v>Near</v>
      </c>
      <c r="K1047">
        <v>3</v>
      </c>
      <c r="L1047" t="s">
        <v>53</v>
      </c>
      <c r="M1047">
        <v>3</v>
      </c>
      <c r="N1047">
        <v>3</v>
      </c>
      <c r="O1047">
        <v>1</v>
      </c>
      <c r="P1047" t="s">
        <v>49</v>
      </c>
      <c r="Q1047">
        <v>3</v>
      </c>
      <c r="R1047" s="11">
        <v>896</v>
      </c>
      <c r="S1047" s="14">
        <v>68</v>
      </c>
      <c r="T1047" s="13">
        <v>2345</v>
      </c>
      <c r="U1047" s="13">
        <f t="shared" si="81"/>
        <v>28140</v>
      </c>
      <c r="V1047" s="14">
        <v>8045</v>
      </c>
      <c r="W1047">
        <v>2</v>
      </c>
      <c r="X1047" s="8" t="s">
        <v>46</v>
      </c>
      <c r="Y1047" s="15">
        <v>0.14000000000000001</v>
      </c>
      <c r="Z1047">
        <v>3</v>
      </c>
      <c r="AA1047">
        <v>3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 t="str">
        <f t="shared" si="82"/>
        <v>0-3</v>
      </c>
      <c r="AI1047">
        <v>1</v>
      </c>
      <c r="AJ1047" t="str">
        <f t="shared" si="83"/>
        <v>0-2</v>
      </c>
      <c r="AK1047">
        <v>2</v>
      </c>
    </row>
    <row r="1048" spans="1:37" x14ac:dyDescent="0.25">
      <c r="A1048" s="8">
        <v>1047</v>
      </c>
      <c r="B1048" t="s">
        <v>44</v>
      </c>
      <c r="C1048" t="s">
        <v>37</v>
      </c>
      <c r="D1048" s="8">
        <v>44</v>
      </c>
      <c r="E1048" t="str">
        <f t="shared" si="84"/>
        <v>36-45</v>
      </c>
      <c r="F1048" t="s">
        <v>46</v>
      </c>
      <c r="G1048" t="s">
        <v>39</v>
      </c>
      <c r="H1048" s="8" t="s">
        <v>48</v>
      </c>
      <c r="I1048" s="10">
        <v>20</v>
      </c>
      <c r="J1048" t="str">
        <f t="shared" si="80"/>
        <v>Far</v>
      </c>
      <c r="K1048">
        <v>3</v>
      </c>
      <c r="L1048" t="s">
        <v>41</v>
      </c>
      <c r="M1048">
        <v>4</v>
      </c>
      <c r="N1048">
        <v>3</v>
      </c>
      <c r="O1048">
        <v>1</v>
      </c>
      <c r="P1048" t="s">
        <v>49</v>
      </c>
      <c r="Q1048">
        <v>2</v>
      </c>
      <c r="R1048" s="11">
        <v>1467</v>
      </c>
      <c r="S1048" s="14">
        <v>49</v>
      </c>
      <c r="T1048" s="13">
        <v>3420</v>
      </c>
      <c r="U1048" s="13">
        <f t="shared" si="81"/>
        <v>41040</v>
      </c>
      <c r="V1048" s="14">
        <v>21158</v>
      </c>
      <c r="W1048">
        <v>1</v>
      </c>
      <c r="X1048" s="8" t="s">
        <v>46</v>
      </c>
      <c r="Y1048" s="15">
        <v>0.13</v>
      </c>
      <c r="Z1048">
        <v>3</v>
      </c>
      <c r="AA1048">
        <v>3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 t="str">
        <f t="shared" si="82"/>
        <v>0-3</v>
      </c>
      <c r="AI1048">
        <v>1</v>
      </c>
      <c r="AJ1048" t="str">
        <f t="shared" si="83"/>
        <v>0-2</v>
      </c>
      <c r="AK1048">
        <v>3</v>
      </c>
    </row>
    <row r="1049" spans="1:37" x14ac:dyDescent="0.25">
      <c r="A1049" s="8">
        <v>1048</v>
      </c>
      <c r="B1049" t="s">
        <v>44</v>
      </c>
      <c r="C1049" t="s">
        <v>45</v>
      </c>
      <c r="D1049" s="8">
        <v>33</v>
      </c>
      <c r="E1049" t="str">
        <f t="shared" si="84"/>
        <v>26-35</v>
      </c>
      <c r="F1049" t="s">
        <v>46</v>
      </c>
      <c r="G1049" t="s">
        <v>47</v>
      </c>
      <c r="H1049" s="8" t="s">
        <v>40</v>
      </c>
      <c r="I1049" s="10">
        <v>7</v>
      </c>
      <c r="J1049" t="str">
        <f t="shared" si="80"/>
        <v>Moderate</v>
      </c>
      <c r="K1049">
        <v>3</v>
      </c>
      <c r="L1049" t="s">
        <v>53</v>
      </c>
      <c r="M1049">
        <v>4</v>
      </c>
      <c r="N1049">
        <v>3</v>
      </c>
      <c r="O1049">
        <v>2</v>
      </c>
      <c r="P1049" t="s">
        <v>42</v>
      </c>
      <c r="Q1049">
        <v>1</v>
      </c>
      <c r="R1049" s="11">
        <v>430</v>
      </c>
      <c r="S1049" s="14">
        <v>54</v>
      </c>
      <c r="T1049" s="13">
        <v>4373</v>
      </c>
      <c r="U1049" s="13">
        <f t="shared" si="81"/>
        <v>52476</v>
      </c>
      <c r="V1049" s="14">
        <v>17456</v>
      </c>
      <c r="W1049">
        <v>0</v>
      </c>
      <c r="X1049" s="8" t="s">
        <v>46</v>
      </c>
      <c r="Y1049" s="15">
        <v>0.14000000000000001</v>
      </c>
      <c r="Z1049">
        <v>3</v>
      </c>
      <c r="AA1049">
        <v>1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 t="str">
        <f t="shared" si="82"/>
        <v>0-3</v>
      </c>
      <c r="AI1049">
        <v>0</v>
      </c>
      <c r="AJ1049" t="str">
        <f t="shared" si="83"/>
        <v>0-2</v>
      </c>
      <c r="AK1049">
        <v>3</v>
      </c>
    </row>
    <row r="1050" spans="1:37" x14ac:dyDescent="0.25">
      <c r="A1050" s="8">
        <v>1049</v>
      </c>
      <c r="B1050" t="s">
        <v>44</v>
      </c>
      <c r="C1050" t="s">
        <v>37</v>
      </c>
      <c r="D1050" s="8">
        <v>34</v>
      </c>
      <c r="E1050" t="str">
        <f t="shared" si="84"/>
        <v>26-35</v>
      </c>
      <c r="F1050" t="s">
        <v>46</v>
      </c>
      <c r="G1050" t="s">
        <v>39</v>
      </c>
      <c r="H1050" s="8" t="s">
        <v>40</v>
      </c>
      <c r="I1050" s="10">
        <v>3</v>
      </c>
      <c r="J1050" t="str">
        <f t="shared" si="80"/>
        <v>Near</v>
      </c>
      <c r="K1050">
        <v>3</v>
      </c>
      <c r="L1050" t="s">
        <v>50</v>
      </c>
      <c r="M1050">
        <v>4</v>
      </c>
      <c r="N1050">
        <v>1</v>
      </c>
      <c r="O1050">
        <v>2</v>
      </c>
      <c r="P1050" t="s">
        <v>42</v>
      </c>
      <c r="Q1050">
        <v>1</v>
      </c>
      <c r="R1050" s="11">
        <v>1326</v>
      </c>
      <c r="S1050" s="14">
        <v>81</v>
      </c>
      <c r="T1050" s="13">
        <v>4759</v>
      </c>
      <c r="U1050" s="13">
        <f t="shared" si="81"/>
        <v>57108</v>
      </c>
      <c r="V1050" s="14">
        <v>15891</v>
      </c>
      <c r="W1050">
        <v>3</v>
      </c>
      <c r="X1050" s="8" t="s">
        <v>46</v>
      </c>
      <c r="Y1050" s="15">
        <v>0.18</v>
      </c>
      <c r="Z1050">
        <v>3</v>
      </c>
      <c r="AA1050">
        <v>4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 t="str">
        <f t="shared" si="82"/>
        <v>8-11</v>
      </c>
      <c r="AI1050">
        <v>3</v>
      </c>
      <c r="AJ1050" t="str">
        <f t="shared" si="83"/>
        <v>3-5</v>
      </c>
      <c r="AK1050">
        <v>12</v>
      </c>
    </row>
    <row r="1051" spans="1:37" x14ac:dyDescent="0.25">
      <c r="A1051" s="8">
        <v>1050</v>
      </c>
      <c r="B1051" t="s">
        <v>44</v>
      </c>
      <c r="C1051" t="s">
        <v>45</v>
      </c>
      <c r="D1051" s="8">
        <v>30</v>
      </c>
      <c r="E1051" t="str">
        <f t="shared" si="84"/>
        <v>26-35</v>
      </c>
      <c r="F1051" t="s">
        <v>46</v>
      </c>
      <c r="G1051" t="s">
        <v>39</v>
      </c>
      <c r="H1051" s="8" t="s">
        <v>40</v>
      </c>
      <c r="I1051" s="10">
        <v>16</v>
      </c>
      <c r="J1051" t="str">
        <f t="shared" si="80"/>
        <v>Far</v>
      </c>
      <c r="K1051">
        <v>1</v>
      </c>
      <c r="L1051" t="s">
        <v>41</v>
      </c>
      <c r="M1051">
        <v>4</v>
      </c>
      <c r="N1051">
        <v>3</v>
      </c>
      <c r="O1051">
        <v>2</v>
      </c>
      <c r="P1051" t="s">
        <v>42</v>
      </c>
      <c r="Q1051">
        <v>3</v>
      </c>
      <c r="R1051" s="11">
        <v>1358</v>
      </c>
      <c r="S1051" s="14">
        <v>96</v>
      </c>
      <c r="T1051" s="13">
        <v>5301</v>
      </c>
      <c r="U1051" s="13">
        <f t="shared" si="81"/>
        <v>63612</v>
      </c>
      <c r="V1051" s="14">
        <v>2939</v>
      </c>
      <c r="W1051">
        <v>8</v>
      </c>
      <c r="X1051" s="8" t="s">
        <v>46</v>
      </c>
      <c r="Y1051" s="15">
        <v>0.15</v>
      </c>
      <c r="Z1051">
        <v>3</v>
      </c>
      <c r="AA1051">
        <v>3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 t="str">
        <f t="shared" si="82"/>
        <v>0-3</v>
      </c>
      <c r="AI1051">
        <v>2</v>
      </c>
      <c r="AJ1051" t="str">
        <f t="shared" si="83"/>
        <v>0-2</v>
      </c>
      <c r="AK1051">
        <v>2</v>
      </c>
    </row>
    <row r="1052" spans="1:37" x14ac:dyDescent="0.25">
      <c r="A1052" s="8">
        <v>1051</v>
      </c>
      <c r="B1052" t="s">
        <v>52</v>
      </c>
      <c r="C1052" t="s">
        <v>37</v>
      </c>
      <c r="D1052" s="8">
        <v>42</v>
      </c>
      <c r="E1052" t="str">
        <f t="shared" si="84"/>
        <v>36-45</v>
      </c>
      <c r="F1052" t="s">
        <v>46</v>
      </c>
      <c r="G1052" t="s">
        <v>47</v>
      </c>
      <c r="H1052" s="8" t="s">
        <v>48</v>
      </c>
      <c r="I1052" s="10">
        <v>9</v>
      </c>
      <c r="J1052" t="str">
        <f t="shared" si="80"/>
        <v>Moderate</v>
      </c>
      <c r="K1052">
        <v>2</v>
      </c>
      <c r="L1052" t="s">
        <v>53</v>
      </c>
      <c r="M1052">
        <v>1</v>
      </c>
      <c r="N1052">
        <v>3</v>
      </c>
      <c r="O1052">
        <v>1</v>
      </c>
      <c r="P1052" t="s">
        <v>51</v>
      </c>
      <c r="Q1052">
        <v>4</v>
      </c>
      <c r="R1052" s="11">
        <v>748</v>
      </c>
      <c r="S1052" s="14">
        <v>74</v>
      </c>
      <c r="T1052" s="13">
        <v>3673</v>
      </c>
      <c r="U1052" s="13">
        <f t="shared" si="81"/>
        <v>44076</v>
      </c>
      <c r="V1052" s="14">
        <v>16458</v>
      </c>
      <c r="W1052">
        <v>1</v>
      </c>
      <c r="X1052" s="8" t="s">
        <v>46</v>
      </c>
      <c r="Y1052" s="15">
        <v>0.13</v>
      </c>
      <c r="Z1052">
        <v>3</v>
      </c>
      <c r="AA1052">
        <v>3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 t="str">
        <f t="shared" si="82"/>
        <v>8-11</v>
      </c>
      <c r="AI1052">
        <v>5</v>
      </c>
      <c r="AJ1052" t="str">
        <f t="shared" si="83"/>
        <v>3-5</v>
      </c>
      <c r="AK1052">
        <v>8</v>
      </c>
    </row>
    <row r="1053" spans="1:37" x14ac:dyDescent="0.25">
      <c r="A1053" s="8">
        <v>1052</v>
      </c>
      <c r="B1053" t="s">
        <v>52</v>
      </c>
      <c r="C1053" t="s">
        <v>45</v>
      </c>
      <c r="D1053" s="8">
        <v>44</v>
      </c>
      <c r="E1053" t="str">
        <f t="shared" si="84"/>
        <v>36-45</v>
      </c>
      <c r="F1053" t="s">
        <v>46</v>
      </c>
      <c r="G1053" t="s">
        <v>47</v>
      </c>
      <c r="H1053" s="8" t="s">
        <v>40</v>
      </c>
      <c r="I1053" s="10">
        <v>1</v>
      </c>
      <c r="J1053" t="str">
        <f t="shared" si="80"/>
        <v>Near</v>
      </c>
      <c r="K1053">
        <v>5</v>
      </c>
      <c r="L1053" t="s">
        <v>62</v>
      </c>
      <c r="M1053">
        <v>1</v>
      </c>
      <c r="N1053">
        <v>3</v>
      </c>
      <c r="O1053">
        <v>2</v>
      </c>
      <c r="P1053" t="s">
        <v>42</v>
      </c>
      <c r="Q1053">
        <v>3</v>
      </c>
      <c r="R1053" s="11">
        <v>383</v>
      </c>
      <c r="S1053" s="14">
        <v>79</v>
      </c>
      <c r="T1053" s="13">
        <v>4768</v>
      </c>
      <c r="U1053" s="13">
        <f t="shared" si="81"/>
        <v>57216</v>
      </c>
      <c r="V1053" s="14">
        <v>9282</v>
      </c>
      <c r="W1053">
        <v>7</v>
      </c>
      <c r="X1053" s="8" t="s">
        <v>46</v>
      </c>
      <c r="Y1053" s="15">
        <v>0.12</v>
      </c>
      <c r="Z1053">
        <v>3</v>
      </c>
      <c r="AA1053">
        <v>3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 t="str">
        <f t="shared" si="82"/>
        <v>0-3</v>
      </c>
      <c r="AI1053">
        <v>0</v>
      </c>
      <c r="AJ1053" t="str">
        <f t="shared" si="83"/>
        <v>0-2</v>
      </c>
      <c r="AK1053">
        <v>0</v>
      </c>
    </row>
    <row r="1054" spans="1:37" x14ac:dyDescent="0.25">
      <c r="A1054" s="8">
        <v>1053</v>
      </c>
      <c r="B1054" t="s">
        <v>44</v>
      </c>
      <c r="C1054" t="s">
        <v>54</v>
      </c>
      <c r="D1054" s="8">
        <v>30</v>
      </c>
      <c r="E1054" t="str">
        <f t="shared" si="84"/>
        <v>26-35</v>
      </c>
      <c r="F1054" t="s">
        <v>46</v>
      </c>
      <c r="G1054" t="s">
        <v>58</v>
      </c>
      <c r="H1054" s="8" t="s">
        <v>48</v>
      </c>
      <c r="I1054" s="10">
        <v>7</v>
      </c>
      <c r="J1054" t="str">
        <f t="shared" si="80"/>
        <v>Moderate</v>
      </c>
      <c r="K1054">
        <v>3</v>
      </c>
      <c r="L1054" t="s">
        <v>63</v>
      </c>
      <c r="M1054">
        <v>3</v>
      </c>
      <c r="N1054">
        <v>3</v>
      </c>
      <c r="O1054">
        <v>1</v>
      </c>
      <c r="P1054" t="s">
        <v>49</v>
      </c>
      <c r="Q1054">
        <v>3</v>
      </c>
      <c r="R1054" s="11">
        <v>990</v>
      </c>
      <c r="S1054" s="14">
        <v>64</v>
      </c>
      <c r="T1054" s="13">
        <v>1274</v>
      </c>
      <c r="U1054" s="13">
        <f t="shared" si="81"/>
        <v>15288</v>
      </c>
      <c r="V1054" s="14">
        <v>7152</v>
      </c>
      <c r="W1054">
        <v>1</v>
      </c>
      <c r="X1054" s="8" t="s">
        <v>46</v>
      </c>
      <c r="Y1054" s="15">
        <v>0.13</v>
      </c>
      <c r="Z1054">
        <v>3</v>
      </c>
      <c r="AA1054">
        <v>2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 t="str">
        <f t="shared" si="82"/>
        <v>0-3</v>
      </c>
      <c r="AI1054">
        <v>0</v>
      </c>
      <c r="AJ1054" t="str">
        <f t="shared" si="83"/>
        <v>0-2</v>
      </c>
      <c r="AK1054">
        <v>0</v>
      </c>
    </row>
    <row r="1055" spans="1:37" x14ac:dyDescent="0.25">
      <c r="A1055" s="8">
        <v>1054</v>
      </c>
      <c r="B1055" t="s">
        <v>44</v>
      </c>
      <c r="C1055" t="s">
        <v>45</v>
      </c>
      <c r="D1055" s="8">
        <v>57</v>
      </c>
      <c r="E1055" t="str">
        <f t="shared" si="84"/>
        <v>55+</v>
      </c>
      <c r="F1055" t="s">
        <v>46</v>
      </c>
      <c r="G1055" t="s">
        <v>39</v>
      </c>
      <c r="H1055" s="8" t="s">
        <v>48</v>
      </c>
      <c r="I1055" s="10">
        <v>1</v>
      </c>
      <c r="J1055" t="str">
        <f t="shared" si="80"/>
        <v>Near</v>
      </c>
      <c r="K1055">
        <v>2</v>
      </c>
      <c r="L1055" t="s">
        <v>41</v>
      </c>
      <c r="M1055">
        <v>2</v>
      </c>
      <c r="N1055">
        <v>4</v>
      </c>
      <c r="O1055">
        <v>2</v>
      </c>
      <c r="P1055" t="s">
        <v>49</v>
      </c>
      <c r="Q1055">
        <v>3</v>
      </c>
      <c r="R1055" s="11">
        <v>405</v>
      </c>
      <c r="S1055" s="14">
        <v>93</v>
      </c>
      <c r="T1055" s="13">
        <v>4900</v>
      </c>
      <c r="U1055" s="13">
        <f t="shared" si="81"/>
        <v>58800</v>
      </c>
      <c r="V1055" s="14">
        <v>2721</v>
      </c>
      <c r="W1055">
        <v>0</v>
      </c>
      <c r="X1055" s="8" t="s">
        <v>46</v>
      </c>
      <c r="Y1055" s="15">
        <v>0.24</v>
      </c>
      <c r="Z1055">
        <v>4</v>
      </c>
      <c r="AA1055">
        <v>1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 t="str">
        <f t="shared" si="82"/>
        <v>8-11</v>
      </c>
      <c r="AI1055">
        <v>2</v>
      </c>
      <c r="AJ1055" t="str">
        <f t="shared" si="83"/>
        <v>0-2</v>
      </c>
      <c r="AK1055">
        <v>8</v>
      </c>
    </row>
    <row r="1056" spans="1:37" x14ac:dyDescent="0.25">
      <c r="A1056" s="8">
        <v>1055</v>
      </c>
      <c r="B1056" t="s">
        <v>44</v>
      </c>
      <c r="C1056" t="s">
        <v>54</v>
      </c>
      <c r="D1056" s="8">
        <v>49</v>
      </c>
      <c r="E1056" t="str">
        <f t="shared" si="84"/>
        <v>46-55</v>
      </c>
      <c r="F1056" t="s">
        <v>46</v>
      </c>
      <c r="G1056" t="s">
        <v>39</v>
      </c>
      <c r="H1056" s="8" t="s">
        <v>48</v>
      </c>
      <c r="I1056" s="10">
        <v>7</v>
      </c>
      <c r="J1056" t="str">
        <f t="shared" si="80"/>
        <v>Moderate</v>
      </c>
      <c r="K1056">
        <v>4</v>
      </c>
      <c r="L1056" t="s">
        <v>41</v>
      </c>
      <c r="M1056">
        <v>3</v>
      </c>
      <c r="N1056">
        <v>3</v>
      </c>
      <c r="O1056">
        <v>3</v>
      </c>
      <c r="P1056" t="s">
        <v>56</v>
      </c>
      <c r="Q1056">
        <v>2</v>
      </c>
      <c r="R1056" s="11">
        <v>1490</v>
      </c>
      <c r="S1056" s="14">
        <v>35</v>
      </c>
      <c r="T1056" s="13">
        <v>10466</v>
      </c>
      <c r="U1056" s="13">
        <f t="shared" si="81"/>
        <v>125592</v>
      </c>
      <c r="V1056" s="14">
        <v>20948</v>
      </c>
      <c r="W1056">
        <v>3</v>
      </c>
      <c r="X1056" s="8" t="s">
        <v>46</v>
      </c>
      <c r="Y1056" s="15">
        <v>0.14000000000000001</v>
      </c>
      <c r="Z1056">
        <v>3</v>
      </c>
      <c r="AA1056">
        <v>2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 t="str">
        <f t="shared" si="82"/>
        <v>4-7</v>
      </c>
      <c r="AI1056">
        <v>0</v>
      </c>
      <c r="AJ1056" t="str">
        <f t="shared" si="83"/>
        <v>0-2</v>
      </c>
      <c r="AK1056">
        <v>7</v>
      </c>
    </row>
    <row r="1057" spans="1:37" x14ac:dyDescent="0.25">
      <c r="A1057" s="8">
        <v>1056</v>
      </c>
      <c r="B1057" t="s">
        <v>44</v>
      </c>
      <c r="C1057" t="s">
        <v>54</v>
      </c>
      <c r="D1057" s="8">
        <v>34</v>
      </c>
      <c r="E1057" t="str">
        <f t="shared" si="84"/>
        <v>26-35</v>
      </c>
      <c r="F1057" t="s">
        <v>46</v>
      </c>
      <c r="G1057" t="s">
        <v>47</v>
      </c>
      <c r="H1057" s="8" t="s">
        <v>48</v>
      </c>
      <c r="I1057" s="10">
        <v>15</v>
      </c>
      <c r="J1057" t="str">
        <f t="shared" si="80"/>
        <v>Moderate</v>
      </c>
      <c r="K1057">
        <v>3</v>
      </c>
      <c r="L1057" t="s">
        <v>53</v>
      </c>
      <c r="M1057">
        <v>2</v>
      </c>
      <c r="N1057">
        <v>3</v>
      </c>
      <c r="O1057">
        <v>4</v>
      </c>
      <c r="P1057" t="s">
        <v>61</v>
      </c>
      <c r="Q1057">
        <v>1</v>
      </c>
      <c r="R1057" s="11">
        <v>829</v>
      </c>
      <c r="S1057" s="14">
        <v>71</v>
      </c>
      <c r="T1057" s="13">
        <v>17007</v>
      </c>
      <c r="U1057" s="13">
        <f t="shared" si="81"/>
        <v>204084</v>
      </c>
      <c r="V1057" s="14">
        <v>11929</v>
      </c>
      <c r="W1057">
        <v>7</v>
      </c>
      <c r="X1057" s="8" t="s">
        <v>46</v>
      </c>
      <c r="Y1057" s="15">
        <v>0.14000000000000001</v>
      </c>
      <c r="Z1057">
        <v>3</v>
      </c>
      <c r="AA1057">
        <v>4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 t="str">
        <f t="shared" si="82"/>
        <v>8-11</v>
      </c>
      <c r="AI1057">
        <v>6</v>
      </c>
      <c r="AJ1057" t="str">
        <f t="shared" si="83"/>
        <v>6-8</v>
      </c>
      <c r="AK1057">
        <v>9</v>
      </c>
    </row>
    <row r="1058" spans="1:37" x14ac:dyDescent="0.25">
      <c r="A1058" s="8">
        <v>1057</v>
      </c>
      <c r="B1058" t="s">
        <v>44</v>
      </c>
      <c r="C1058" t="s">
        <v>45</v>
      </c>
      <c r="D1058" s="8">
        <v>28</v>
      </c>
      <c r="E1058" t="str">
        <f t="shared" si="84"/>
        <v>26-35</v>
      </c>
      <c r="F1058" t="s">
        <v>38</v>
      </c>
      <c r="G1058" t="s">
        <v>47</v>
      </c>
      <c r="H1058" s="8" t="s">
        <v>40</v>
      </c>
      <c r="I1058" s="10">
        <v>1</v>
      </c>
      <c r="J1058" t="str">
        <f t="shared" si="80"/>
        <v>Near</v>
      </c>
      <c r="K1058">
        <v>3</v>
      </c>
      <c r="L1058" t="s">
        <v>63</v>
      </c>
      <c r="M1058">
        <v>1</v>
      </c>
      <c r="N1058">
        <v>3</v>
      </c>
      <c r="O1058">
        <v>1</v>
      </c>
      <c r="P1058" t="s">
        <v>60</v>
      </c>
      <c r="Q1058">
        <v>3</v>
      </c>
      <c r="R1058" s="11">
        <v>1496</v>
      </c>
      <c r="S1058" s="14">
        <v>92</v>
      </c>
      <c r="T1058" s="13">
        <v>2909</v>
      </c>
      <c r="U1058" s="13">
        <f t="shared" si="81"/>
        <v>34908</v>
      </c>
      <c r="V1058" s="14">
        <v>15747</v>
      </c>
      <c r="W1058">
        <v>3</v>
      </c>
      <c r="X1058" s="8" t="s">
        <v>46</v>
      </c>
      <c r="Y1058" s="15">
        <v>0.15</v>
      </c>
      <c r="Z1058">
        <v>3</v>
      </c>
      <c r="AA1058">
        <v>4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 t="str">
        <f t="shared" si="82"/>
        <v>0-3</v>
      </c>
      <c r="AI1058">
        <v>1</v>
      </c>
      <c r="AJ1058" t="str">
        <f t="shared" si="83"/>
        <v>0-2</v>
      </c>
      <c r="AK1058">
        <v>2</v>
      </c>
    </row>
    <row r="1059" spans="1:37" x14ac:dyDescent="0.25">
      <c r="A1059" s="8">
        <v>1058</v>
      </c>
      <c r="B1059" t="s">
        <v>52</v>
      </c>
      <c r="C1059" t="s">
        <v>37</v>
      </c>
      <c r="D1059" s="8">
        <v>29</v>
      </c>
      <c r="E1059" t="str">
        <f t="shared" si="84"/>
        <v>26-35</v>
      </c>
      <c r="F1059" t="s">
        <v>38</v>
      </c>
      <c r="G1059" t="s">
        <v>47</v>
      </c>
      <c r="H1059" s="8" t="s">
        <v>40</v>
      </c>
      <c r="I1059" s="10">
        <v>13</v>
      </c>
      <c r="J1059" t="str">
        <f t="shared" si="80"/>
        <v>Moderate</v>
      </c>
      <c r="K1059">
        <v>3</v>
      </c>
      <c r="L1059" t="s">
        <v>63</v>
      </c>
      <c r="M1059">
        <v>1</v>
      </c>
      <c r="N1059">
        <v>3</v>
      </c>
      <c r="O1059">
        <v>2</v>
      </c>
      <c r="P1059" t="s">
        <v>42</v>
      </c>
      <c r="Q1059">
        <v>2</v>
      </c>
      <c r="R1059" s="11">
        <v>115</v>
      </c>
      <c r="S1059" s="14">
        <v>51</v>
      </c>
      <c r="T1059" s="13">
        <v>5765</v>
      </c>
      <c r="U1059" s="13">
        <f t="shared" si="81"/>
        <v>69180</v>
      </c>
      <c r="V1059" s="14">
        <v>17485</v>
      </c>
      <c r="W1059">
        <v>5</v>
      </c>
      <c r="X1059" s="8" t="s">
        <v>46</v>
      </c>
      <c r="Y1059" s="15">
        <v>0.11</v>
      </c>
      <c r="Z1059">
        <v>3</v>
      </c>
      <c r="AA1059">
        <v>1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 t="str">
        <f t="shared" si="82"/>
        <v>0-3</v>
      </c>
      <c r="AI1059">
        <v>0</v>
      </c>
      <c r="AJ1059" t="str">
        <f t="shared" si="83"/>
        <v>0-2</v>
      </c>
      <c r="AK1059">
        <v>0</v>
      </c>
    </row>
    <row r="1060" spans="1:37" x14ac:dyDescent="0.25">
      <c r="A1060" s="8">
        <v>1059</v>
      </c>
      <c r="B1060" t="s">
        <v>52</v>
      </c>
      <c r="C1060" t="s">
        <v>37</v>
      </c>
      <c r="D1060" s="8">
        <v>34</v>
      </c>
      <c r="E1060" t="str">
        <f t="shared" si="84"/>
        <v>26-35</v>
      </c>
      <c r="F1060" t="s">
        <v>38</v>
      </c>
      <c r="G1060" t="s">
        <v>39</v>
      </c>
      <c r="H1060" s="8" t="s">
        <v>40</v>
      </c>
      <c r="I1060" s="10">
        <v>24</v>
      </c>
      <c r="J1060" t="str">
        <f t="shared" si="80"/>
        <v>Far</v>
      </c>
      <c r="K1060">
        <v>4</v>
      </c>
      <c r="L1060" t="s">
        <v>53</v>
      </c>
      <c r="M1060">
        <v>1</v>
      </c>
      <c r="N1060">
        <v>2</v>
      </c>
      <c r="O1060">
        <v>2</v>
      </c>
      <c r="P1060" t="s">
        <v>42</v>
      </c>
      <c r="Q1060">
        <v>2</v>
      </c>
      <c r="R1060" s="11">
        <v>790</v>
      </c>
      <c r="S1060" s="14">
        <v>40</v>
      </c>
      <c r="T1060" s="13">
        <v>4599</v>
      </c>
      <c r="U1060" s="13">
        <f t="shared" si="81"/>
        <v>55188</v>
      </c>
      <c r="V1060" s="14">
        <v>7815</v>
      </c>
      <c r="W1060">
        <v>0</v>
      </c>
      <c r="X1060" s="8" t="s">
        <v>38</v>
      </c>
      <c r="Y1060" s="15">
        <v>0.23</v>
      </c>
      <c r="Z1060">
        <v>4</v>
      </c>
      <c r="AA1060">
        <v>3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 t="str">
        <f t="shared" si="82"/>
        <v>8-11</v>
      </c>
      <c r="AI1060">
        <v>10</v>
      </c>
      <c r="AJ1060" t="str">
        <f t="shared" si="83"/>
        <v>9-11</v>
      </c>
      <c r="AK1060">
        <v>10</v>
      </c>
    </row>
    <row r="1061" spans="1:37" x14ac:dyDescent="0.25">
      <c r="A1061" s="8">
        <v>1060</v>
      </c>
      <c r="B1061" t="s">
        <v>44</v>
      </c>
      <c r="C1061" t="s">
        <v>45</v>
      </c>
      <c r="D1061" s="8">
        <v>35</v>
      </c>
      <c r="E1061" t="str">
        <f t="shared" si="84"/>
        <v>26-35</v>
      </c>
      <c r="F1061" t="s">
        <v>46</v>
      </c>
      <c r="G1061" t="s">
        <v>39</v>
      </c>
      <c r="H1061" s="8" t="s">
        <v>40</v>
      </c>
      <c r="I1061" s="10">
        <v>7</v>
      </c>
      <c r="J1061" t="str">
        <f t="shared" si="80"/>
        <v>Moderate</v>
      </c>
      <c r="K1061">
        <v>1</v>
      </c>
      <c r="L1061" t="s">
        <v>41</v>
      </c>
      <c r="M1061">
        <v>4</v>
      </c>
      <c r="N1061">
        <v>3</v>
      </c>
      <c r="O1061">
        <v>1</v>
      </c>
      <c r="P1061" t="s">
        <v>60</v>
      </c>
      <c r="Q1061">
        <v>3</v>
      </c>
      <c r="R1061" s="11">
        <v>660</v>
      </c>
      <c r="S1061" s="14">
        <v>76</v>
      </c>
      <c r="T1061" s="13">
        <v>2404</v>
      </c>
      <c r="U1061" s="13">
        <f t="shared" si="81"/>
        <v>28848</v>
      </c>
      <c r="V1061" s="14">
        <v>16192</v>
      </c>
      <c r="W1061">
        <v>1</v>
      </c>
      <c r="X1061" s="8" t="s">
        <v>46</v>
      </c>
      <c r="Y1061" s="15">
        <v>0.13</v>
      </c>
      <c r="Z1061">
        <v>3</v>
      </c>
      <c r="AA1061">
        <v>1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 t="str">
        <f t="shared" si="82"/>
        <v>0-3</v>
      </c>
      <c r="AI1061">
        <v>0</v>
      </c>
      <c r="AJ1061" t="str">
        <f t="shared" si="83"/>
        <v>0-2</v>
      </c>
      <c r="AK1061">
        <v>0</v>
      </c>
    </row>
    <row r="1062" spans="1:37" x14ac:dyDescent="0.25">
      <c r="A1062" s="8">
        <v>1061</v>
      </c>
      <c r="B1062" t="s">
        <v>44</v>
      </c>
      <c r="C1062" t="s">
        <v>37</v>
      </c>
      <c r="D1062" s="8">
        <v>24</v>
      </c>
      <c r="E1062" t="str">
        <f t="shared" si="84"/>
        <v>18-25</v>
      </c>
      <c r="F1062" t="s">
        <v>38</v>
      </c>
      <c r="G1062" t="s">
        <v>47</v>
      </c>
      <c r="H1062" s="8" t="s">
        <v>48</v>
      </c>
      <c r="I1062" s="10">
        <v>9</v>
      </c>
      <c r="J1062" t="str">
        <f t="shared" si="80"/>
        <v>Moderate</v>
      </c>
      <c r="K1062">
        <v>3</v>
      </c>
      <c r="L1062" t="s">
        <v>53</v>
      </c>
      <c r="M1062">
        <v>2</v>
      </c>
      <c r="N1062">
        <v>3</v>
      </c>
      <c r="O1062">
        <v>1</v>
      </c>
      <c r="P1062" t="s">
        <v>51</v>
      </c>
      <c r="Q1062">
        <v>1</v>
      </c>
      <c r="R1062" s="11">
        <v>381</v>
      </c>
      <c r="S1062" s="14">
        <v>89</v>
      </c>
      <c r="T1062" s="13">
        <v>3172</v>
      </c>
      <c r="U1062" s="13">
        <f t="shared" si="81"/>
        <v>38064</v>
      </c>
      <c r="V1062" s="14">
        <v>16998</v>
      </c>
      <c r="W1062">
        <v>2</v>
      </c>
      <c r="X1062" s="8" t="s">
        <v>38</v>
      </c>
      <c r="Y1062" s="15">
        <v>0.11</v>
      </c>
      <c r="Z1062">
        <v>3</v>
      </c>
      <c r="AA1062">
        <v>3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 t="str">
        <f t="shared" si="82"/>
        <v>0-3</v>
      </c>
      <c r="AI1062">
        <v>0</v>
      </c>
      <c r="AJ1062" t="str">
        <f t="shared" si="83"/>
        <v>0-2</v>
      </c>
      <c r="AK1062">
        <v>0</v>
      </c>
    </row>
    <row r="1063" spans="1:37" x14ac:dyDescent="0.25">
      <c r="A1063" s="8">
        <v>1062</v>
      </c>
      <c r="B1063" t="s">
        <v>52</v>
      </c>
      <c r="C1063" t="s">
        <v>45</v>
      </c>
      <c r="D1063" s="8">
        <v>24</v>
      </c>
      <c r="E1063" t="str">
        <f t="shared" si="84"/>
        <v>18-25</v>
      </c>
      <c r="F1063" t="s">
        <v>46</v>
      </c>
      <c r="G1063" t="s">
        <v>58</v>
      </c>
      <c r="H1063" s="8" t="s">
        <v>40</v>
      </c>
      <c r="I1063" s="10">
        <v>13</v>
      </c>
      <c r="J1063" t="str">
        <f t="shared" si="80"/>
        <v>Moderate</v>
      </c>
      <c r="K1063">
        <v>2</v>
      </c>
      <c r="L1063" t="s">
        <v>41</v>
      </c>
      <c r="M1063">
        <v>4</v>
      </c>
      <c r="N1063">
        <v>3</v>
      </c>
      <c r="O1063">
        <v>1</v>
      </c>
      <c r="P1063" t="s">
        <v>60</v>
      </c>
      <c r="Q1063">
        <v>2</v>
      </c>
      <c r="R1063" s="11">
        <v>830</v>
      </c>
      <c r="S1063" s="14">
        <v>78</v>
      </c>
      <c r="T1063" s="13">
        <v>2033</v>
      </c>
      <c r="U1063" s="13">
        <f t="shared" si="81"/>
        <v>24396</v>
      </c>
      <c r="V1063" s="14">
        <v>7103</v>
      </c>
      <c r="W1063">
        <v>1</v>
      </c>
      <c r="X1063" s="8" t="s">
        <v>46</v>
      </c>
      <c r="Y1063" s="15">
        <v>0.13</v>
      </c>
      <c r="Z1063">
        <v>3</v>
      </c>
      <c r="AA1063">
        <v>3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 t="str">
        <f t="shared" si="82"/>
        <v>0-3</v>
      </c>
      <c r="AI1063">
        <v>0</v>
      </c>
      <c r="AJ1063" t="str">
        <f t="shared" si="83"/>
        <v>0-2</v>
      </c>
      <c r="AK1063">
        <v>0</v>
      </c>
    </row>
    <row r="1064" spans="1:37" x14ac:dyDescent="0.25">
      <c r="A1064" s="8">
        <v>1063</v>
      </c>
      <c r="B1064" t="s">
        <v>44</v>
      </c>
      <c r="C1064" t="s">
        <v>37</v>
      </c>
      <c r="D1064" s="8">
        <v>44</v>
      </c>
      <c r="E1064" t="str">
        <f t="shared" si="84"/>
        <v>36-45</v>
      </c>
      <c r="F1064" t="s">
        <v>46</v>
      </c>
      <c r="G1064" t="s">
        <v>47</v>
      </c>
      <c r="H1064" s="8" t="s">
        <v>48</v>
      </c>
      <c r="I1064" s="10">
        <v>2</v>
      </c>
      <c r="J1064" t="str">
        <f t="shared" si="80"/>
        <v>Near</v>
      </c>
      <c r="K1064">
        <v>1</v>
      </c>
      <c r="L1064" t="s">
        <v>53</v>
      </c>
      <c r="M1064">
        <v>2</v>
      </c>
      <c r="N1064">
        <v>3</v>
      </c>
      <c r="O1064">
        <v>3</v>
      </c>
      <c r="P1064" t="s">
        <v>55</v>
      </c>
      <c r="Q1064">
        <v>3</v>
      </c>
      <c r="R1064" s="11">
        <v>1193</v>
      </c>
      <c r="S1064" s="14">
        <v>86</v>
      </c>
      <c r="T1064" s="13">
        <v>10209</v>
      </c>
      <c r="U1064" s="13">
        <f t="shared" si="81"/>
        <v>122508</v>
      </c>
      <c r="V1064" s="14">
        <v>19719</v>
      </c>
      <c r="W1064">
        <v>5</v>
      </c>
      <c r="X1064" s="8" t="s">
        <v>38</v>
      </c>
      <c r="Y1064" s="15">
        <v>0.18</v>
      </c>
      <c r="Z1064">
        <v>3</v>
      </c>
      <c r="AA1064">
        <v>2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 t="str">
        <f t="shared" si="82"/>
        <v>0-3</v>
      </c>
      <c r="AI1064">
        <v>2</v>
      </c>
      <c r="AJ1064" t="str">
        <f t="shared" si="83"/>
        <v>0-2</v>
      </c>
      <c r="AK1064">
        <v>2</v>
      </c>
    </row>
    <row r="1065" spans="1:37" x14ac:dyDescent="0.25">
      <c r="A1065" s="8">
        <v>1064</v>
      </c>
      <c r="B1065" t="s">
        <v>44</v>
      </c>
      <c r="C1065" t="s">
        <v>54</v>
      </c>
      <c r="D1065" s="8">
        <v>29</v>
      </c>
      <c r="E1065" t="str">
        <f t="shared" si="84"/>
        <v>26-35</v>
      </c>
      <c r="F1065" t="s">
        <v>46</v>
      </c>
      <c r="G1065" t="s">
        <v>39</v>
      </c>
      <c r="H1065" s="8" t="s">
        <v>40</v>
      </c>
      <c r="I1065" s="10">
        <v>19</v>
      </c>
      <c r="J1065" t="str">
        <f t="shared" si="80"/>
        <v>Far</v>
      </c>
      <c r="K1065">
        <v>3</v>
      </c>
      <c r="L1065" t="s">
        <v>41</v>
      </c>
      <c r="M1065">
        <v>3</v>
      </c>
      <c r="N1065">
        <v>2</v>
      </c>
      <c r="O1065">
        <v>2</v>
      </c>
      <c r="P1065" t="s">
        <v>42</v>
      </c>
      <c r="Q1065">
        <v>3</v>
      </c>
      <c r="R1065" s="11">
        <v>1246</v>
      </c>
      <c r="S1065" s="14">
        <v>77</v>
      </c>
      <c r="T1065" s="13">
        <v>8620</v>
      </c>
      <c r="U1065" s="13">
        <f t="shared" si="81"/>
        <v>103440</v>
      </c>
      <c r="V1065" s="14">
        <v>23757</v>
      </c>
      <c r="W1065">
        <v>1</v>
      </c>
      <c r="X1065" s="8" t="s">
        <v>46</v>
      </c>
      <c r="Y1065" s="15">
        <v>0.14000000000000001</v>
      </c>
      <c r="Z1065">
        <v>3</v>
      </c>
      <c r="AA1065">
        <v>3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 t="str">
        <f t="shared" si="82"/>
        <v>4-7</v>
      </c>
      <c r="AI1065">
        <v>0</v>
      </c>
      <c r="AJ1065" t="str">
        <f t="shared" si="83"/>
        <v>0-2</v>
      </c>
      <c r="AK1065">
        <v>4</v>
      </c>
    </row>
    <row r="1066" spans="1:37" x14ac:dyDescent="0.25">
      <c r="A1066" s="8">
        <v>1065</v>
      </c>
      <c r="B1066" t="s">
        <v>44</v>
      </c>
      <c r="C1066" t="s">
        <v>54</v>
      </c>
      <c r="D1066" s="8">
        <v>30</v>
      </c>
      <c r="E1066" t="str">
        <f t="shared" si="84"/>
        <v>26-35</v>
      </c>
      <c r="F1066" t="s">
        <v>46</v>
      </c>
      <c r="G1066" t="s">
        <v>39</v>
      </c>
      <c r="H1066" s="8" t="s">
        <v>64</v>
      </c>
      <c r="I1066" s="10">
        <v>1</v>
      </c>
      <c r="J1066" t="str">
        <f t="shared" si="80"/>
        <v>Near</v>
      </c>
      <c r="K1066">
        <v>3</v>
      </c>
      <c r="L1066" t="s">
        <v>41</v>
      </c>
      <c r="M1066">
        <v>3</v>
      </c>
      <c r="N1066">
        <v>3</v>
      </c>
      <c r="O1066">
        <v>1</v>
      </c>
      <c r="P1066" t="s">
        <v>64</v>
      </c>
      <c r="Q1066">
        <v>3</v>
      </c>
      <c r="R1066" s="11">
        <v>330</v>
      </c>
      <c r="S1066" s="14">
        <v>46</v>
      </c>
      <c r="T1066" s="13">
        <v>2064</v>
      </c>
      <c r="U1066" s="13">
        <f t="shared" si="81"/>
        <v>24768</v>
      </c>
      <c r="V1066" s="14">
        <v>15428</v>
      </c>
      <c r="W1066">
        <v>0</v>
      </c>
      <c r="X1066" s="8" t="s">
        <v>46</v>
      </c>
      <c r="Y1066" s="15">
        <v>0.21</v>
      </c>
      <c r="Z1066">
        <v>4</v>
      </c>
      <c r="AA1066">
        <v>1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 t="str">
        <f t="shared" si="82"/>
        <v>0-3</v>
      </c>
      <c r="AI1066">
        <v>1</v>
      </c>
      <c r="AJ1066" t="str">
        <f t="shared" si="83"/>
        <v>0-2</v>
      </c>
      <c r="AK1066">
        <v>3</v>
      </c>
    </row>
    <row r="1067" spans="1:37" x14ac:dyDescent="0.25">
      <c r="A1067" s="8">
        <v>1066</v>
      </c>
      <c r="B1067" t="s">
        <v>44</v>
      </c>
      <c r="C1067" t="s">
        <v>45</v>
      </c>
      <c r="D1067" s="8">
        <v>55</v>
      </c>
      <c r="E1067" t="str">
        <f t="shared" si="84"/>
        <v>46-55</v>
      </c>
      <c r="F1067" t="s">
        <v>46</v>
      </c>
      <c r="G1067" t="s">
        <v>39</v>
      </c>
      <c r="H1067" s="8" t="s">
        <v>48</v>
      </c>
      <c r="I1067" s="10">
        <v>4</v>
      </c>
      <c r="J1067" t="str">
        <f t="shared" si="80"/>
        <v>Near</v>
      </c>
      <c r="K1067">
        <v>4</v>
      </c>
      <c r="L1067" t="s">
        <v>41</v>
      </c>
      <c r="M1067">
        <v>4</v>
      </c>
      <c r="N1067">
        <v>3</v>
      </c>
      <c r="O1067">
        <v>2</v>
      </c>
      <c r="P1067" t="s">
        <v>56</v>
      </c>
      <c r="Q1067">
        <v>3</v>
      </c>
      <c r="R1067" s="11">
        <v>1229</v>
      </c>
      <c r="S1067" s="14">
        <v>30</v>
      </c>
      <c r="T1067" s="13">
        <v>4035</v>
      </c>
      <c r="U1067" s="13">
        <f t="shared" si="81"/>
        <v>48420</v>
      </c>
      <c r="V1067" s="14">
        <v>16143</v>
      </c>
      <c r="W1067">
        <v>0</v>
      </c>
      <c r="X1067" s="8" t="s">
        <v>38</v>
      </c>
      <c r="Y1067" s="15">
        <v>0.16</v>
      </c>
      <c r="Z1067">
        <v>3</v>
      </c>
      <c r="AA1067">
        <v>2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 t="str">
        <f t="shared" si="82"/>
        <v>0-3</v>
      </c>
      <c r="AI1067">
        <v>1</v>
      </c>
      <c r="AJ1067" t="str">
        <f t="shared" si="83"/>
        <v>0-2</v>
      </c>
      <c r="AK1067">
        <v>2</v>
      </c>
    </row>
    <row r="1068" spans="1:37" x14ac:dyDescent="0.25">
      <c r="A1068" s="8">
        <v>1067</v>
      </c>
      <c r="B1068" t="s">
        <v>52</v>
      </c>
      <c r="C1068" t="s">
        <v>45</v>
      </c>
      <c r="D1068" s="8">
        <v>33</v>
      </c>
      <c r="E1068" t="str">
        <f t="shared" si="84"/>
        <v>26-35</v>
      </c>
      <c r="F1068" t="s">
        <v>46</v>
      </c>
      <c r="G1068" t="s">
        <v>39</v>
      </c>
      <c r="H1068" s="8" t="s">
        <v>48</v>
      </c>
      <c r="I1068" s="10">
        <v>4</v>
      </c>
      <c r="J1068" t="str">
        <f t="shared" si="80"/>
        <v>Near</v>
      </c>
      <c r="K1068">
        <v>4</v>
      </c>
      <c r="L1068" t="s">
        <v>53</v>
      </c>
      <c r="M1068">
        <v>1</v>
      </c>
      <c r="N1068">
        <v>2</v>
      </c>
      <c r="O1068">
        <v>1</v>
      </c>
      <c r="P1068" t="s">
        <v>51</v>
      </c>
      <c r="Q1068">
        <v>2</v>
      </c>
      <c r="R1068" s="11">
        <v>1099</v>
      </c>
      <c r="S1068" s="14">
        <v>82</v>
      </c>
      <c r="T1068" s="13">
        <v>3838</v>
      </c>
      <c r="U1068" s="13">
        <f t="shared" si="81"/>
        <v>46056</v>
      </c>
      <c r="V1068" s="14">
        <v>8192</v>
      </c>
      <c r="W1068">
        <v>8</v>
      </c>
      <c r="X1068" s="8" t="s">
        <v>46</v>
      </c>
      <c r="Y1068" s="15">
        <v>0.11</v>
      </c>
      <c r="Z1068">
        <v>3</v>
      </c>
      <c r="AA1068">
        <v>4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 t="str">
        <f t="shared" si="82"/>
        <v>4-7</v>
      </c>
      <c r="AI1068">
        <v>0</v>
      </c>
      <c r="AJ1068" t="str">
        <f t="shared" si="83"/>
        <v>0-2</v>
      </c>
      <c r="AK1068">
        <v>2</v>
      </c>
    </row>
    <row r="1069" spans="1:37" x14ac:dyDescent="0.25">
      <c r="A1069" s="8">
        <v>1068</v>
      </c>
      <c r="B1069" t="s">
        <v>52</v>
      </c>
      <c r="C1069" t="s">
        <v>45</v>
      </c>
      <c r="D1069" s="8">
        <v>47</v>
      </c>
      <c r="E1069" t="str">
        <f t="shared" si="84"/>
        <v>46-55</v>
      </c>
      <c r="F1069" t="s">
        <v>46</v>
      </c>
      <c r="G1069" t="s">
        <v>39</v>
      </c>
      <c r="H1069" s="8" t="s">
        <v>40</v>
      </c>
      <c r="I1069" s="10">
        <v>14</v>
      </c>
      <c r="J1069" t="str">
        <f t="shared" si="80"/>
        <v>Moderate</v>
      </c>
      <c r="K1069">
        <v>3</v>
      </c>
      <c r="L1069" t="s">
        <v>53</v>
      </c>
      <c r="M1069">
        <v>3</v>
      </c>
      <c r="N1069">
        <v>3</v>
      </c>
      <c r="O1069">
        <v>2</v>
      </c>
      <c r="P1069" t="s">
        <v>42</v>
      </c>
      <c r="Q1069">
        <v>3</v>
      </c>
      <c r="R1069" s="11">
        <v>571</v>
      </c>
      <c r="S1069" s="14">
        <v>78</v>
      </c>
      <c r="T1069" s="13">
        <v>4591</v>
      </c>
      <c r="U1069" s="13">
        <f t="shared" si="81"/>
        <v>55092</v>
      </c>
      <c r="V1069" s="14">
        <v>24200</v>
      </c>
      <c r="W1069">
        <v>3</v>
      </c>
      <c r="X1069" s="8" t="s">
        <v>38</v>
      </c>
      <c r="Y1069" s="15">
        <v>0.17</v>
      </c>
      <c r="Z1069">
        <v>3</v>
      </c>
      <c r="AA1069">
        <v>3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 t="str">
        <f t="shared" si="82"/>
        <v>4-7</v>
      </c>
      <c r="AI1069">
        <v>1</v>
      </c>
      <c r="AJ1069" t="str">
        <f t="shared" si="83"/>
        <v>0-2</v>
      </c>
      <c r="AK1069">
        <v>2</v>
      </c>
    </row>
    <row r="1070" spans="1:37" x14ac:dyDescent="0.25">
      <c r="A1070" s="8">
        <v>1069</v>
      </c>
      <c r="B1070" t="s">
        <v>44</v>
      </c>
      <c r="C1070" t="s">
        <v>37</v>
      </c>
      <c r="D1070" s="8">
        <v>28</v>
      </c>
      <c r="E1070" t="str">
        <f t="shared" si="84"/>
        <v>26-35</v>
      </c>
      <c r="F1070" t="s">
        <v>38</v>
      </c>
      <c r="G1070" t="s">
        <v>47</v>
      </c>
      <c r="H1070" s="8" t="s">
        <v>48</v>
      </c>
      <c r="I1070" s="10">
        <v>2</v>
      </c>
      <c r="J1070" t="str">
        <f t="shared" si="80"/>
        <v>Near</v>
      </c>
      <c r="K1070">
        <v>2</v>
      </c>
      <c r="L1070" t="s">
        <v>53</v>
      </c>
      <c r="M1070">
        <v>3</v>
      </c>
      <c r="N1070">
        <v>2</v>
      </c>
      <c r="O1070">
        <v>1</v>
      </c>
      <c r="P1070" t="s">
        <v>51</v>
      </c>
      <c r="Q1070">
        <v>1</v>
      </c>
      <c r="R1070" s="11">
        <v>289</v>
      </c>
      <c r="S1070" s="14">
        <v>38</v>
      </c>
      <c r="T1070" s="13">
        <v>2561</v>
      </c>
      <c r="U1070" s="13">
        <f t="shared" si="81"/>
        <v>30732</v>
      </c>
      <c r="V1070" s="14">
        <v>5355</v>
      </c>
      <c r="W1070">
        <v>7</v>
      </c>
      <c r="X1070" s="8" t="s">
        <v>46</v>
      </c>
      <c r="Y1070" s="15">
        <v>0.11</v>
      </c>
      <c r="Z1070">
        <v>3</v>
      </c>
      <c r="AA1070">
        <v>3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 t="str">
        <f t="shared" si="82"/>
        <v>0-3</v>
      </c>
      <c r="AI1070">
        <v>0</v>
      </c>
      <c r="AJ1070" t="str">
        <f t="shared" si="83"/>
        <v>0-2</v>
      </c>
      <c r="AK1070">
        <v>0</v>
      </c>
    </row>
    <row r="1071" spans="1:37" x14ac:dyDescent="0.25">
      <c r="A1071" s="8">
        <v>1070</v>
      </c>
      <c r="B1071" t="s">
        <v>44</v>
      </c>
      <c r="C1071" t="s">
        <v>54</v>
      </c>
      <c r="D1071" s="8">
        <v>28</v>
      </c>
      <c r="E1071" t="str">
        <f t="shared" si="84"/>
        <v>26-35</v>
      </c>
      <c r="F1071" t="s">
        <v>46</v>
      </c>
      <c r="G1071" t="s">
        <v>39</v>
      </c>
      <c r="H1071" s="8" t="s">
        <v>48</v>
      </c>
      <c r="I1071" s="10">
        <v>1</v>
      </c>
      <c r="J1071" t="str">
        <f t="shared" si="80"/>
        <v>Near</v>
      </c>
      <c r="K1071">
        <v>3</v>
      </c>
      <c r="L1071" t="s">
        <v>41</v>
      </c>
      <c r="M1071">
        <v>1</v>
      </c>
      <c r="N1071">
        <v>2</v>
      </c>
      <c r="O1071">
        <v>1</v>
      </c>
      <c r="P1071" t="s">
        <v>49</v>
      </c>
      <c r="Q1071">
        <v>3</v>
      </c>
      <c r="R1071" s="11">
        <v>1423</v>
      </c>
      <c r="S1071" s="14">
        <v>72</v>
      </c>
      <c r="T1071" s="13">
        <v>1563</v>
      </c>
      <c r="U1071" s="13">
        <f t="shared" si="81"/>
        <v>18756</v>
      </c>
      <c r="V1071" s="14">
        <v>12530</v>
      </c>
      <c r="W1071">
        <v>1</v>
      </c>
      <c r="X1071" s="8" t="s">
        <v>46</v>
      </c>
      <c r="Y1071" s="15">
        <v>0.14000000000000001</v>
      </c>
      <c r="Z1071">
        <v>3</v>
      </c>
      <c r="AA1071">
        <v>4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 t="str">
        <f t="shared" si="82"/>
        <v>0-3</v>
      </c>
      <c r="AI1071">
        <v>0</v>
      </c>
      <c r="AJ1071" t="str">
        <f t="shared" si="83"/>
        <v>0-2</v>
      </c>
      <c r="AK1071">
        <v>0</v>
      </c>
    </row>
    <row r="1072" spans="1:37" x14ac:dyDescent="0.25">
      <c r="A1072" s="8">
        <v>1071</v>
      </c>
      <c r="B1072" t="s">
        <v>44</v>
      </c>
      <c r="C1072" t="s">
        <v>37</v>
      </c>
      <c r="D1072" s="8">
        <v>28</v>
      </c>
      <c r="E1072" t="str">
        <f t="shared" si="84"/>
        <v>26-35</v>
      </c>
      <c r="F1072" t="s">
        <v>46</v>
      </c>
      <c r="G1072" t="s">
        <v>47</v>
      </c>
      <c r="H1072" s="8" t="s">
        <v>40</v>
      </c>
      <c r="I1072" s="10">
        <v>7</v>
      </c>
      <c r="J1072" t="str">
        <f t="shared" si="80"/>
        <v>Moderate</v>
      </c>
      <c r="K1072">
        <v>3</v>
      </c>
      <c r="L1072" t="s">
        <v>41</v>
      </c>
      <c r="M1072">
        <v>3</v>
      </c>
      <c r="N1072">
        <v>3</v>
      </c>
      <c r="O1072">
        <v>2</v>
      </c>
      <c r="P1072" t="s">
        <v>42</v>
      </c>
      <c r="Q1072">
        <v>1</v>
      </c>
      <c r="R1072" s="11">
        <v>467</v>
      </c>
      <c r="S1072" s="14">
        <v>55</v>
      </c>
      <c r="T1072" s="13">
        <v>4898</v>
      </c>
      <c r="U1072" s="13">
        <f t="shared" si="81"/>
        <v>58776</v>
      </c>
      <c r="V1072" s="14">
        <v>11827</v>
      </c>
      <c r="W1072">
        <v>0</v>
      </c>
      <c r="X1072" s="8" t="s">
        <v>46</v>
      </c>
      <c r="Y1072" s="15">
        <v>0.14000000000000001</v>
      </c>
      <c r="Z1072">
        <v>3</v>
      </c>
      <c r="AA1072">
        <v>4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 t="str">
        <f t="shared" si="82"/>
        <v>0-3</v>
      </c>
      <c r="AI1072">
        <v>1</v>
      </c>
      <c r="AJ1072" t="str">
        <f t="shared" si="83"/>
        <v>0-2</v>
      </c>
      <c r="AK1072">
        <v>3</v>
      </c>
    </row>
    <row r="1073" spans="1:37" x14ac:dyDescent="0.25">
      <c r="A1073" s="8">
        <v>1072</v>
      </c>
      <c r="B1073" t="s">
        <v>52</v>
      </c>
      <c r="C1073" t="s">
        <v>45</v>
      </c>
      <c r="D1073" s="8">
        <v>49</v>
      </c>
      <c r="E1073" t="str">
        <f t="shared" si="84"/>
        <v>46-55</v>
      </c>
      <c r="F1073" t="s">
        <v>46</v>
      </c>
      <c r="G1073" t="s">
        <v>39</v>
      </c>
      <c r="H1073" s="8" t="s">
        <v>48</v>
      </c>
      <c r="I1073" s="10">
        <v>3</v>
      </c>
      <c r="J1073" t="str">
        <f t="shared" si="80"/>
        <v>Near</v>
      </c>
      <c r="K1073">
        <v>2</v>
      </c>
      <c r="L1073" t="s">
        <v>53</v>
      </c>
      <c r="M1073">
        <v>3</v>
      </c>
      <c r="N1073">
        <v>2</v>
      </c>
      <c r="O1073">
        <v>2</v>
      </c>
      <c r="P1073" t="s">
        <v>51</v>
      </c>
      <c r="Q1073">
        <v>1</v>
      </c>
      <c r="R1073" s="11">
        <v>271</v>
      </c>
      <c r="S1073" s="14">
        <v>43</v>
      </c>
      <c r="T1073" s="13">
        <v>4789</v>
      </c>
      <c r="U1073" s="13">
        <f t="shared" si="81"/>
        <v>57468</v>
      </c>
      <c r="V1073" s="14">
        <v>23070</v>
      </c>
      <c r="W1073">
        <v>4</v>
      </c>
      <c r="X1073" s="8" t="s">
        <v>46</v>
      </c>
      <c r="Y1073" s="15">
        <v>0.25</v>
      </c>
      <c r="Z1073">
        <v>4</v>
      </c>
      <c r="AA1073">
        <v>1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 t="str">
        <f t="shared" si="82"/>
        <v>0-3</v>
      </c>
      <c r="AI1073">
        <v>1</v>
      </c>
      <c r="AJ1073" t="str">
        <f t="shared" si="83"/>
        <v>0-2</v>
      </c>
      <c r="AK1073">
        <v>2</v>
      </c>
    </row>
    <row r="1074" spans="1:37" x14ac:dyDescent="0.25">
      <c r="A1074" s="8">
        <v>1073</v>
      </c>
      <c r="B1074" t="s">
        <v>52</v>
      </c>
      <c r="C1074" t="s">
        <v>45</v>
      </c>
      <c r="D1074" s="8">
        <v>29</v>
      </c>
      <c r="E1074" t="str">
        <f t="shared" si="84"/>
        <v>26-35</v>
      </c>
      <c r="F1074" t="s">
        <v>46</v>
      </c>
      <c r="G1074" t="s">
        <v>47</v>
      </c>
      <c r="H1074" s="8" t="s">
        <v>48</v>
      </c>
      <c r="I1074" s="10">
        <v>2</v>
      </c>
      <c r="J1074" t="str">
        <f t="shared" si="80"/>
        <v>Near</v>
      </c>
      <c r="K1074">
        <v>1</v>
      </c>
      <c r="L1074" t="s">
        <v>41</v>
      </c>
      <c r="M1074">
        <v>4</v>
      </c>
      <c r="N1074">
        <v>3</v>
      </c>
      <c r="O1074">
        <v>1</v>
      </c>
      <c r="P1074" t="s">
        <v>51</v>
      </c>
      <c r="Q1074">
        <v>2</v>
      </c>
      <c r="R1074" s="11">
        <v>410</v>
      </c>
      <c r="S1074" s="14">
        <v>97</v>
      </c>
      <c r="T1074" s="13">
        <v>3180</v>
      </c>
      <c r="U1074" s="13">
        <f t="shared" si="81"/>
        <v>38160</v>
      </c>
      <c r="V1074" s="14">
        <v>4668</v>
      </c>
      <c r="W1074">
        <v>0</v>
      </c>
      <c r="X1074" s="8" t="s">
        <v>46</v>
      </c>
      <c r="Y1074" s="15">
        <v>0.13</v>
      </c>
      <c r="Z1074">
        <v>3</v>
      </c>
      <c r="AA1074">
        <v>3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 t="str">
        <f t="shared" si="82"/>
        <v>0-3</v>
      </c>
      <c r="AI1074">
        <v>0</v>
      </c>
      <c r="AJ1074" t="str">
        <f t="shared" si="83"/>
        <v>0-2</v>
      </c>
      <c r="AK1074">
        <v>2</v>
      </c>
    </row>
    <row r="1075" spans="1:37" x14ac:dyDescent="0.25">
      <c r="A1075" s="8">
        <v>1074</v>
      </c>
      <c r="B1075" t="s">
        <v>44</v>
      </c>
      <c r="C1075" t="s">
        <v>45</v>
      </c>
      <c r="D1075" s="8">
        <v>28</v>
      </c>
      <c r="E1075" t="str">
        <f t="shared" si="84"/>
        <v>26-35</v>
      </c>
      <c r="F1075" t="s">
        <v>46</v>
      </c>
      <c r="G1075" t="s">
        <v>39</v>
      </c>
      <c r="H1075" s="8" t="s">
        <v>48</v>
      </c>
      <c r="I1075" s="10">
        <v>29</v>
      </c>
      <c r="J1075" t="str">
        <f t="shared" si="80"/>
        <v>Far</v>
      </c>
      <c r="K1075">
        <v>1</v>
      </c>
      <c r="L1075" t="s">
        <v>41</v>
      </c>
      <c r="M1075">
        <v>3</v>
      </c>
      <c r="N1075">
        <v>1</v>
      </c>
      <c r="O1075">
        <v>2</v>
      </c>
      <c r="P1075" t="s">
        <v>55</v>
      </c>
      <c r="Q1075">
        <v>2</v>
      </c>
      <c r="R1075" s="11">
        <v>1083</v>
      </c>
      <c r="S1075" s="14">
        <v>96</v>
      </c>
      <c r="T1075" s="13">
        <v>6549</v>
      </c>
      <c r="U1075" s="13">
        <f t="shared" si="81"/>
        <v>78588</v>
      </c>
      <c r="V1075" s="14">
        <v>3173</v>
      </c>
      <c r="W1075">
        <v>1</v>
      </c>
      <c r="X1075" s="8" t="s">
        <v>46</v>
      </c>
      <c r="Y1075" s="15">
        <v>0.14000000000000001</v>
      </c>
      <c r="Z1075">
        <v>3</v>
      </c>
      <c r="AA1075">
        <v>2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 t="str">
        <f t="shared" si="82"/>
        <v>4-7</v>
      </c>
      <c r="AI1075">
        <v>1</v>
      </c>
      <c r="AJ1075" t="str">
        <f t="shared" si="83"/>
        <v>0-2</v>
      </c>
      <c r="AK1075">
        <v>7</v>
      </c>
    </row>
    <row r="1076" spans="1:37" x14ac:dyDescent="0.25">
      <c r="A1076" s="8">
        <v>1075</v>
      </c>
      <c r="B1076" t="s">
        <v>44</v>
      </c>
      <c r="C1076" t="s">
        <v>37</v>
      </c>
      <c r="D1076" s="8">
        <v>33</v>
      </c>
      <c r="E1076" t="str">
        <f t="shared" si="84"/>
        <v>26-35</v>
      </c>
      <c r="F1076" t="s">
        <v>46</v>
      </c>
      <c r="G1076" t="s">
        <v>39</v>
      </c>
      <c r="H1076" s="8" t="s">
        <v>48</v>
      </c>
      <c r="I1076" s="10">
        <v>8</v>
      </c>
      <c r="J1076" t="str">
        <f t="shared" si="80"/>
        <v>Moderate</v>
      </c>
      <c r="K1076">
        <v>5</v>
      </c>
      <c r="L1076" t="s">
        <v>41</v>
      </c>
      <c r="M1076">
        <v>4</v>
      </c>
      <c r="N1076">
        <v>3</v>
      </c>
      <c r="O1076">
        <v>2</v>
      </c>
      <c r="P1076" t="s">
        <v>56</v>
      </c>
      <c r="Q1076">
        <v>3</v>
      </c>
      <c r="R1076" s="11">
        <v>516</v>
      </c>
      <c r="S1076" s="14">
        <v>69</v>
      </c>
      <c r="T1076" s="13">
        <v>6388</v>
      </c>
      <c r="U1076" s="13">
        <f t="shared" si="81"/>
        <v>76656</v>
      </c>
      <c r="V1076" s="14">
        <v>22049</v>
      </c>
      <c r="W1076">
        <v>2</v>
      </c>
      <c r="X1076" s="8" t="s">
        <v>38</v>
      </c>
      <c r="Y1076" s="15">
        <v>0.17</v>
      </c>
      <c r="Z1076">
        <v>3</v>
      </c>
      <c r="AA1076">
        <v>1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 t="str">
        <f t="shared" si="82"/>
        <v>0-3</v>
      </c>
      <c r="AI1076">
        <v>0</v>
      </c>
      <c r="AJ1076" t="str">
        <f t="shared" si="83"/>
        <v>0-2</v>
      </c>
      <c r="AK1076">
        <v>0</v>
      </c>
    </row>
    <row r="1077" spans="1:37" x14ac:dyDescent="0.25">
      <c r="A1077" s="8">
        <v>1076</v>
      </c>
      <c r="B1077" t="s">
        <v>44</v>
      </c>
      <c r="C1077" t="s">
        <v>37</v>
      </c>
      <c r="D1077" s="8">
        <v>32</v>
      </c>
      <c r="E1077" t="str">
        <f t="shared" si="84"/>
        <v>26-35</v>
      </c>
      <c r="F1077" t="s">
        <v>46</v>
      </c>
      <c r="G1077" t="s">
        <v>39</v>
      </c>
      <c r="H1077" s="8" t="s">
        <v>48</v>
      </c>
      <c r="I1077" s="10">
        <v>10</v>
      </c>
      <c r="J1077" t="str">
        <f t="shared" si="80"/>
        <v>Moderate</v>
      </c>
      <c r="K1077">
        <v>3</v>
      </c>
      <c r="L1077" t="s">
        <v>53</v>
      </c>
      <c r="M1077">
        <v>3</v>
      </c>
      <c r="N1077">
        <v>3</v>
      </c>
      <c r="O1077">
        <v>3</v>
      </c>
      <c r="P1077" t="s">
        <v>59</v>
      </c>
      <c r="Q1077">
        <v>4</v>
      </c>
      <c r="R1077" s="11">
        <v>495</v>
      </c>
      <c r="S1077" s="14">
        <v>64</v>
      </c>
      <c r="T1077" s="13">
        <v>11244</v>
      </c>
      <c r="U1077" s="13">
        <f t="shared" si="81"/>
        <v>134928</v>
      </c>
      <c r="V1077" s="14">
        <v>21072</v>
      </c>
      <c r="W1077">
        <v>2</v>
      </c>
      <c r="X1077" s="8" t="s">
        <v>46</v>
      </c>
      <c r="Y1077" s="15">
        <v>0.25</v>
      </c>
      <c r="Z1077">
        <v>4</v>
      </c>
      <c r="AA1077">
        <v>2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 t="str">
        <f t="shared" si="82"/>
        <v>0-3</v>
      </c>
      <c r="AI1077">
        <v>0</v>
      </c>
      <c r="AJ1077" t="str">
        <f t="shared" si="83"/>
        <v>0-2</v>
      </c>
      <c r="AK1077">
        <v>0</v>
      </c>
    </row>
    <row r="1078" spans="1:37" x14ac:dyDescent="0.25">
      <c r="A1078" s="8">
        <v>1077</v>
      </c>
      <c r="B1078" t="s">
        <v>52</v>
      </c>
      <c r="C1078" t="s">
        <v>54</v>
      </c>
      <c r="D1078" s="8">
        <v>54</v>
      </c>
      <c r="E1078" t="str">
        <f t="shared" si="84"/>
        <v>46-55</v>
      </c>
      <c r="F1078" t="s">
        <v>46</v>
      </c>
      <c r="G1078" t="s">
        <v>47</v>
      </c>
      <c r="H1078" s="8" t="s">
        <v>48</v>
      </c>
      <c r="I1078" s="10">
        <v>11</v>
      </c>
      <c r="J1078" t="str">
        <f t="shared" si="80"/>
        <v>Moderate</v>
      </c>
      <c r="K1078">
        <v>4</v>
      </c>
      <c r="L1078" t="s">
        <v>53</v>
      </c>
      <c r="M1078">
        <v>2</v>
      </c>
      <c r="N1078">
        <v>3</v>
      </c>
      <c r="O1078">
        <v>4</v>
      </c>
      <c r="P1078" t="s">
        <v>59</v>
      </c>
      <c r="Q1078">
        <v>4</v>
      </c>
      <c r="R1078" s="11">
        <v>1050</v>
      </c>
      <c r="S1078" s="14">
        <v>87</v>
      </c>
      <c r="T1078" s="13">
        <v>16032</v>
      </c>
      <c r="U1078" s="13">
        <f t="shared" si="81"/>
        <v>192384</v>
      </c>
      <c r="V1078" s="14">
        <v>24456</v>
      </c>
      <c r="W1078">
        <v>3</v>
      </c>
      <c r="X1078" s="8" t="s">
        <v>46</v>
      </c>
      <c r="Y1078" s="15">
        <v>0.2</v>
      </c>
      <c r="Z1078">
        <v>4</v>
      </c>
      <c r="AA1078">
        <v>1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 t="str">
        <f t="shared" si="82"/>
        <v>8-11</v>
      </c>
      <c r="AI1078">
        <v>1</v>
      </c>
      <c r="AJ1078" t="str">
        <f t="shared" si="83"/>
        <v>0-2</v>
      </c>
      <c r="AK1078">
        <v>12</v>
      </c>
    </row>
    <row r="1079" spans="1:37" x14ac:dyDescent="0.25">
      <c r="A1079" s="8">
        <v>1078</v>
      </c>
      <c r="B1079" t="s">
        <v>44</v>
      </c>
      <c r="C1079" t="s">
        <v>37</v>
      </c>
      <c r="D1079" s="8">
        <v>29</v>
      </c>
      <c r="E1079" t="str">
        <f t="shared" si="84"/>
        <v>26-35</v>
      </c>
      <c r="F1079" t="s">
        <v>38</v>
      </c>
      <c r="G1079" t="s">
        <v>39</v>
      </c>
      <c r="H1079" s="8" t="s">
        <v>48</v>
      </c>
      <c r="I1079" s="10">
        <v>1</v>
      </c>
      <c r="J1079" t="str">
        <f t="shared" si="80"/>
        <v>Near</v>
      </c>
      <c r="K1079">
        <v>4</v>
      </c>
      <c r="L1079" t="s">
        <v>63</v>
      </c>
      <c r="M1079">
        <v>1</v>
      </c>
      <c r="N1079">
        <v>2</v>
      </c>
      <c r="O1079">
        <v>1</v>
      </c>
      <c r="P1079" t="s">
        <v>49</v>
      </c>
      <c r="Q1079">
        <v>1</v>
      </c>
      <c r="R1079" s="11">
        <v>224</v>
      </c>
      <c r="S1079" s="14">
        <v>100</v>
      </c>
      <c r="T1079" s="13">
        <v>2362</v>
      </c>
      <c r="U1079" s="13">
        <f t="shared" si="81"/>
        <v>28344</v>
      </c>
      <c r="V1079" s="14">
        <v>7568</v>
      </c>
      <c r="W1079">
        <v>6</v>
      </c>
      <c r="X1079" s="8" t="s">
        <v>46</v>
      </c>
      <c r="Y1079" s="15">
        <v>0.13</v>
      </c>
      <c r="Z1079">
        <v>3</v>
      </c>
      <c r="AA1079">
        <v>3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 t="str">
        <f t="shared" si="82"/>
        <v>4-7</v>
      </c>
      <c r="AI1079">
        <v>0</v>
      </c>
      <c r="AJ1079" t="str">
        <f t="shared" si="83"/>
        <v>0-2</v>
      </c>
      <c r="AK1079">
        <v>7</v>
      </c>
    </row>
    <row r="1080" spans="1:37" x14ac:dyDescent="0.25">
      <c r="A1080" s="8">
        <v>1079</v>
      </c>
      <c r="B1080" t="s">
        <v>44</v>
      </c>
      <c r="C1080" t="s">
        <v>45</v>
      </c>
      <c r="D1080" s="8">
        <v>44</v>
      </c>
      <c r="E1080" t="str">
        <f t="shared" si="84"/>
        <v>36-45</v>
      </c>
      <c r="F1080" t="s">
        <v>46</v>
      </c>
      <c r="G1080" t="s">
        <v>39</v>
      </c>
      <c r="H1080" s="8" t="s">
        <v>48</v>
      </c>
      <c r="I1080" s="10">
        <v>28</v>
      </c>
      <c r="J1080" t="str">
        <f t="shared" si="80"/>
        <v>Far</v>
      </c>
      <c r="K1080">
        <v>3</v>
      </c>
      <c r="L1080" t="s">
        <v>41</v>
      </c>
      <c r="M1080">
        <v>4</v>
      </c>
      <c r="N1080">
        <v>3</v>
      </c>
      <c r="O1080">
        <v>4</v>
      </c>
      <c r="P1080" t="s">
        <v>61</v>
      </c>
      <c r="Q1080">
        <v>1</v>
      </c>
      <c r="R1080" s="11">
        <v>136</v>
      </c>
      <c r="S1080" s="14">
        <v>32</v>
      </c>
      <c r="T1080" s="13">
        <v>16328</v>
      </c>
      <c r="U1080" s="13">
        <f t="shared" si="81"/>
        <v>195936</v>
      </c>
      <c r="V1080" s="14">
        <v>22074</v>
      </c>
      <c r="W1080">
        <v>3</v>
      </c>
      <c r="X1080" s="8" t="s">
        <v>46</v>
      </c>
      <c r="Y1080" s="15">
        <v>0.13</v>
      </c>
      <c r="Z1080">
        <v>3</v>
      </c>
      <c r="AA1080">
        <v>3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 t="str">
        <f t="shared" si="82"/>
        <v>4-7</v>
      </c>
      <c r="AI1080">
        <v>14</v>
      </c>
      <c r="AJ1080" t="str">
        <f t="shared" si="83"/>
        <v>12-15</v>
      </c>
      <c r="AK1080">
        <v>17</v>
      </c>
    </row>
    <row r="1081" spans="1:37" x14ac:dyDescent="0.25">
      <c r="A1081" s="8">
        <v>1080</v>
      </c>
      <c r="B1081" t="s">
        <v>52</v>
      </c>
      <c r="C1081" t="s">
        <v>37</v>
      </c>
      <c r="D1081" s="8">
        <v>39</v>
      </c>
      <c r="E1081" t="str">
        <f t="shared" si="84"/>
        <v>36-45</v>
      </c>
      <c r="F1081" t="s">
        <v>46</v>
      </c>
      <c r="G1081" t="s">
        <v>39</v>
      </c>
      <c r="H1081" s="8" t="s">
        <v>48</v>
      </c>
      <c r="I1081" s="10">
        <v>6</v>
      </c>
      <c r="J1081" t="str">
        <f t="shared" si="80"/>
        <v>Moderate</v>
      </c>
      <c r="K1081">
        <v>3</v>
      </c>
      <c r="L1081" t="s">
        <v>41</v>
      </c>
      <c r="M1081">
        <v>2</v>
      </c>
      <c r="N1081">
        <v>3</v>
      </c>
      <c r="O1081">
        <v>3</v>
      </c>
      <c r="P1081" t="s">
        <v>55</v>
      </c>
      <c r="Q1081">
        <v>2</v>
      </c>
      <c r="R1081" s="11">
        <v>1089</v>
      </c>
      <c r="S1081" s="14">
        <v>32</v>
      </c>
      <c r="T1081" s="13">
        <v>8376</v>
      </c>
      <c r="U1081" s="13">
        <f t="shared" si="81"/>
        <v>100512</v>
      </c>
      <c r="V1081" s="14">
        <v>9150</v>
      </c>
      <c r="W1081">
        <v>4</v>
      </c>
      <c r="X1081" s="8" t="s">
        <v>46</v>
      </c>
      <c r="Y1081" s="15">
        <v>0.18</v>
      </c>
      <c r="Z1081">
        <v>3</v>
      </c>
      <c r="AA1081">
        <v>4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 t="str">
        <f t="shared" si="82"/>
        <v>0-3</v>
      </c>
      <c r="AI1081">
        <v>2</v>
      </c>
      <c r="AJ1081" t="str">
        <f t="shared" si="83"/>
        <v>0-2</v>
      </c>
      <c r="AK1081">
        <v>2</v>
      </c>
    </row>
    <row r="1082" spans="1:37" x14ac:dyDescent="0.25">
      <c r="A1082" s="8">
        <v>1081</v>
      </c>
      <c r="B1082" t="s">
        <v>52</v>
      </c>
      <c r="C1082" t="s">
        <v>45</v>
      </c>
      <c r="D1082" s="8">
        <v>46</v>
      </c>
      <c r="E1082" t="str">
        <f t="shared" si="84"/>
        <v>46-55</v>
      </c>
      <c r="F1082" t="s">
        <v>46</v>
      </c>
      <c r="G1082" t="s">
        <v>39</v>
      </c>
      <c r="H1082" s="8" t="s">
        <v>40</v>
      </c>
      <c r="I1082" s="10">
        <v>3</v>
      </c>
      <c r="J1082" t="str">
        <f t="shared" si="80"/>
        <v>Near</v>
      </c>
      <c r="K1082">
        <v>3</v>
      </c>
      <c r="L1082" t="s">
        <v>41</v>
      </c>
      <c r="M1082">
        <v>3</v>
      </c>
      <c r="N1082">
        <v>3</v>
      </c>
      <c r="O1082">
        <v>4</v>
      </c>
      <c r="P1082" t="s">
        <v>59</v>
      </c>
      <c r="Q1082">
        <v>2</v>
      </c>
      <c r="R1082" s="11">
        <v>228</v>
      </c>
      <c r="S1082" s="14">
        <v>51</v>
      </c>
      <c r="T1082" s="13">
        <v>16606</v>
      </c>
      <c r="U1082" s="13">
        <f t="shared" si="81"/>
        <v>199272</v>
      </c>
      <c r="V1082" s="14">
        <v>11380</v>
      </c>
      <c r="W1082">
        <v>8</v>
      </c>
      <c r="X1082" s="8" t="s">
        <v>46</v>
      </c>
      <c r="Y1082" s="15">
        <v>0.12</v>
      </c>
      <c r="Z1082">
        <v>3</v>
      </c>
      <c r="AA1082">
        <v>4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 t="str">
        <f t="shared" si="82"/>
        <v>12-15</v>
      </c>
      <c r="AI1082">
        <v>5</v>
      </c>
      <c r="AJ1082" t="str">
        <f t="shared" si="83"/>
        <v>3-5</v>
      </c>
      <c r="AK1082">
        <v>1</v>
      </c>
    </row>
    <row r="1083" spans="1:37" x14ac:dyDescent="0.25">
      <c r="A1083" s="8">
        <v>1082</v>
      </c>
      <c r="B1083" t="s">
        <v>52</v>
      </c>
      <c r="C1083" t="s">
        <v>37</v>
      </c>
      <c r="D1083" s="8">
        <v>35</v>
      </c>
      <c r="E1083" t="str">
        <f t="shared" si="84"/>
        <v>26-35</v>
      </c>
      <c r="F1083" t="s">
        <v>46</v>
      </c>
      <c r="G1083" t="s">
        <v>39</v>
      </c>
      <c r="H1083" s="8" t="s">
        <v>48</v>
      </c>
      <c r="I1083" s="10">
        <v>16</v>
      </c>
      <c r="J1083" t="str">
        <f t="shared" si="80"/>
        <v>Far</v>
      </c>
      <c r="K1083">
        <v>3</v>
      </c>
      <c r="L1083" t="s">
        <v>41</v>
      </c>
      <c r="M1083">
        <v>4</v>
      </c>
      <c r="N1083">
        <v>2</v>
      </c>
      <c r="O1083">
        <v>3</v>
      </c>
      <c r="P1083" t="s">
        <v>56</v>
      </c>
      <c r="Q1083">
        <v>2</v>
      </c>
      <c r="R1083" s="11">
        <v>1029</v>
      </c>
      <c r="S1083" s="14">
        <v>91</v>
      </c>
      <c r="T1083" s="13">
        <v>8606</v>
      </c>
      <c r="U1083" s="13">
        <f t="shared" si="81"/>
        <v>103272</v>
      </c>
      <c r="V1083" s="14">
        <v>21195</v>
      </c>
      <c r="W1083">
        <v>1</v>
      </c>
      <c r="X1083" s="8" t="s">
        <v>46</v>
      </c>
      <c r="Y1083" s="15">
        <v>0.19</v>
      </c>
      <c r="Z1083">
        <v>3</v>
      </c>
      <c r="AA1083">
        <v>4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 t="str">
        <f t="shared" si="82"/>
        <v>8-11</v>
      </c>
      <c r="AI1083">
        <v>3</v>
      </c>
      <c r="AJ1083" t="str">
        <f t="shared" si="83"/>
        <v>3-5</v>
      </c>
      <c r="AK1083">
        <v>3</v>
      </c>
    </row>
    <row r="1084" spans="1:37" x14ac:dyDescent="0.25">
      <c r="A1084" s="8">
        <v>1083</v>
      </c>
      <c r="B1084" t="s">
        <v>44</v>
      </c>
      <c r="C1084" t="s">
        <v>37</v>
      </c>
      <c r="D1084" s="8">
        <v>23</v>
      </c>
      <c r="E1084" t="str">
        <f t="shared" si="84"/>
        <v>18-25</v>
      </c>
      <c r="F1084" t="s">
        <v>46</v>
      </c>
      <c r="G1084" t="s">
        <v>39</v>
      </c>
      <c r="H1084" s="8" t="s">
        <v>48</v>
      </c>
      <c r="I1084" s="10">
        <v>20</v>
      </c>
      <c r="J1084" t="str">
        <f t="shared" si="80"/>
        <v>Far</v>
      </c>
      <c r="K1084">
        <v>1</v>
      </c>
      <c r="L1084" t="s">
        <v>41</v>
      </c>
      <c r="M1084">
        <v>1</v>
      </c>
      <c r="N1084">
        <v>3</v>
      </c>
      <c r="O1084">
        <v>2</v>
      </c>
      <c r="P1084" t="s">
        <v>51</v>
      </c>
      <c r="Q1084">
        <v>3</v>
      </c>
      <c r="R1084" s="11">
        <v>507</v>
      </c>
      <c r="S1084" s="14">
        <v>97</v>
      </c>
      <c r="T1084" s="13">
        <v>2272</v>
      </c>
      <c r="U1084" s="13">
        <f t="shared" si="81"/>
        <v>27264</v>
      </c>
      <c r="V1084" s="14">
        <v>24812</v>
      </c>
      <c r="W1084">
        <v>0</v>
      </c>
      <c r="X1084" s="8" t="s">
        <v>46</v>
      </c>
      <c r="Y1084" s="15">
        <v>0.14000000000000001</v>
      </c>
      <c r="Z1084">
        <v>3</v>
      </c>
      <c r="AA1084">
        <v>2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 t="str">
        <f t="shared" si="82"/>
        <v>0-3</v>
      </c>
      <c r="AI1084">
        <v>1</v>
      </c>
      <c r="AJ1084" t="str">
        <f t="shared" si="83"/>
        <v>0-2</v>
      </c>
      <c r="AK1084">
        <v>2</v>
      </c>
    </row>
    <row r="1085" spans="1:37" x14ac:dyDescent="0.25">
      <c r="A1085" s="8">
        <v>1084</v>
      </c>
      <c r="B1085" t="s">
        <v>44</v>
      </c>
      <c r="C1085" t="s">
        <v>37</v>
      </c>
      <c r="D1085" s="8">
        <v>40</v>
      </c>
      <c r="E1085" t="str">
        <f t="shared" si="84"/>
        <v>36-45</v>
      </c>
      <c r="F1085" t="s">
        <v>38</v>
      </c>
      <c r="G1085" t="s">
        <v>39</v>
      </c>
      <c r="H1085" s="8" t="s">
        <v>48</v>
      </c>
      <c r="I1085" s="10">
        <v>9</v>
      </c>
      <c r="J1085" t="str">
        <f t="shared" si="80"/>
        <v>Moderate</v>
      </c>
      <c r="K1085">
        <v>4</v>
      </c>
      <c r="L1085" t="s">
        <v>41</v>
      </c>
      <c r="M1085">
        <v>4</v>
      </c>
      <c r="N1085">
        <v>3</v>
      </c>
      <c r="O1085">
        <v>1</v>
      </c>
      <c r="P1085" t="s">
        <v>51</v>
      </c>
      <c r="Q1085">
        <v>1</v>
      </c>
      <c r="R1085" s="11">
        <v>676</v>
      </c>
      <c r="S1085" s="14">
        <v>86</v>
      </c>
      <c r="T1085" s="13">
        <v>2018</v>
      </c>
      <c r="U1085" s="13">
        <f t="shared" si="81"/>
        <v>24216</v>
      </c>
      <c r="V1085" s="14">
        <v>21831</v>
      </c>
      <c r="W1085">
        <v>3</v>
      </c>
      <c r="X1085" s="8" t="s">
        <v>46</v>
      </c>
      <c r="Y1085" s="15">
        <v>0.14000000000000001</v>
      </c>
      <c r="Z1085">
        <v>3</v>
      </c>
      <c r="AA1085">
        <v>2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 t="str">
        <f t="shared" si="82"/>
        <v>4-7</v>
      </c>
      <c r="AI1085">
        <v>1</v>
      </c>
      <c r="AJ1085" t="str">
        <f t="shared" si="83"/>
        <v>0-2</v>
      </c>
      <c r="AK1085">
        <v>0</v>
      </c>
    </row>
    <row r="1086" spans="1:37" x14ac:dyDescent="0.25">
      <c r="A1086" s="8">
        <v>1085</v>
      </c>
      <c r="B1086" t="s">
        <v>44</v>
      </c>
      <c r="C1086" t="s">
        <v>45</v>
      </c>
      <c r="D1086" s="8">
        <v>34</v>
      </c>
      <c r="E1086" t="str">
        <f t="shared" si="84"/>
        <v>26-35</v>
      </c>
      <c r="F1086" t="s">
        <v>46</v>
      </c>
      <c r="G1086" t="s">
        <v>39</v>
      </c>
      <c r="H1086" s="8" t="s">
        <v>40</v>
      </c>
      <c r="I1086" s="10">
        <v>1</v>
      </c>
      <c r="J1086" t="str">
        <f t="shared" si="80"/>
        <v>Near</v>
      </c>
      <c r="K1086">
        <v>3</v>
      </c>
      <c r="L1086" t="s">
        <v>63</v>
      </c>
      <c r="M1086">
        <v>4</v>
      </c>
      <c r="N1086">
        <v>2</v>
      </c>
      <c r="O1086">
        <v>3</v>
      </c>
      <c r="P1086" t="s">
        <v>42</v>
      </c>
      <c r="Q1086">
        <v>3</v>
      </c>
      <c r="R1086" s="11">
        <v>971</v>
      </c>
      <c r="S1086" s="14">
        <v>64</v>
      </c>
      <c r="T1086" s="13">
        <v>7083</v>
      </c>
      <c r="U1086" s="13">
        <f t="shared" si="81"/>
        <v>84996</v>
      </c>
      <c r="V1086" s="14">
        <v>12288</v>
      </c>
      <c r="W1086">
        <v>1</v>
      </c>
      <c r="X1086" s="8" t="s">
        <v>38</v>
      </c>
      <c r="Y1086" s="15">
        <v>0.14000000000000001</v>
      </c>
      <c r="Z1086">
        <v>3</v>
      </c>
      <c r="AA1086">
        <v>4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 t="str">
        <f t="shared" si="82"/>
        <v>8-11</v>
      </c>
      <c r="AI1086">
        <v>8</v>
      </c>
      <c r="AJ1086" t="str">
        <f t="shared" si="83"/>
        <v>6-8</v>
      </c>
      <c r="AK1086">
        <v>6</v>
      </c>
    </row>
    <row r="1087" spans="1:37" x14ac:dyDescent="0.25">
      <c r="A1087" s="8">
        <v>1086</v>
      </c>
      <c r="B1087" t="s">
        <v>52</v>
      </c>
      <c r="C1087" t="s">
        <v>37</v>
      </c>
      <c r="D1087" s="8">
        <v>31</v>
      </c>
      <c r="E1087" t="str">
        <f t="shared" si="84"/>
        <v>26-35</v>
      </c>
      <c r="F1087" t="s">
        <v>38</v>
      </c>
      <c r="G1087" t="s">
        <v>47</v>
      </c>
      <c r="H1087" s="8" t="s">
        <v>48</v>
      </c>
      <c r="I1087" s="10">
        <v>3</v>
      </c>
      <c r="J1087" t="str">
        <f t="shared" si="80"/>
        <v>Near</v>
      </c>
      <c r="K1087">
        <v>3</v>
      </c>
      <c r="L1087" t="s">
        <v>41</v>
      </c>
      <c r="M1087">
        <v>4</v>
      </c>
      <c r="N1087">
        <v>3</v>
      </c>
      <c r="O1087">
        <v>1</v>
      </c>
      <c r="P1087" t="s">
        <v>49</v>
      </c>
      <c r="Q1087">
        <v>3</v>
      </c>
      <c r="R1087" s="11">
        <v>561</v>
      </c>
      <c r="S1087" s="14">
        <v>33</v>
      </c>
      <c r="T1087" s="13">
        <v>4084</v>
      </c>
      <c r="U1087" s="13">
        <f t="shared" si="81"/>
        <v>49008</v>
      </c>
      <c r="V1087" s="14">
        <v>4156</v>
      </c>
      <c r="W1087">
        <v>1</v>
      </c>
      <c r="X1087" s="8" t="s">
        <v>46</v>
      </c>
      <c r="Y1087" s="15">
        <v>0.12</v>
      </c>
      <c r="Z1087">
        <v>3</v>
      </c>
      <c r="AA1087">
        <v>1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 t="str">
        <f t="shared" si="82"/>
        <v>0-3</v>
      </c>
      <c r="AI1087">
        <v>7</v>
      </c>
      <c r="AJ1087" t="str">
        <f t="shared" si="83"/>
        <v>6-8</v>
      </c>
      <c r="AK1087">
        <v>7</v>
      </c>
    </row>
    <row r="1088" spans="1:37" x14ac:dyDescent="0.25">
      <c r="A1088" s="8">
        <v>1087</v>
      </c>
      <c r="B1088" t="s">
        <v>44</v>
      </c>
      <c r="C1088" t="s">
        <v>37</v>
      </c>
      <c r="D1088" s="8">
        <v>50</v>
      </c>
      <c r="E1088" t="str">
        <f t="shared" si="84"/>
        <v>46-55</v>
      </c>
      <c r="F1088" t="s">
        <v>46</v>
      </c>
      <c r="G1088" t="s">
        <v>47</v>
      </c>
      <c r="H1088" s="8" t="s">
        <v>48</v>
      </c>
      <c r="I1088" s="10">
        <v>22</v>
      </c>
      <c r="J1088" t="str">
        <f t="shared" si="80"/>
        <v>Far</v>
      </c>
      <c r="K1088">
        <v>5</v>
      </c>
      <c r="L1088" t="s">
        <v>53</v>
      </c>
      <c r="M1088">
        <v>3</v>
      </c>
      <c r="N1088">
        <v>1</v>
      </c>
      <c r="O1088">
        <v>4</v>
      </c>
      <c r="P1088" t="s">
        <v>61</v>
      </c>
      <c r="Q1088">
        <v>4</v>
      </c>
      <c r="R1088" s="11">
        <v>333</v>
      </c>
      <c r="S1088" s="14">
        <v>88</v>
      </c>
      <c r="T1088" s="13">
        <v>14411</v>
      </c>
      <c r="U1088" s="13">
        <f t="shared" si="81"/>
        <v>172932</v>
      </c>
      <c r="V1088" s="14">
        <v>24450</v>
      </c>
      <c r="W1088">
        <v>1</v>
      </c>
      <c r="X1088" s="8" t="s">
        <v>38</v>
      </c>
      <c r="Y1088" s="15">
        <v>0.13</v>
      </c>
      <c r="Z1088">
        <v>3</v>
      </c>
      <c r="AA1088">
        <v>4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 t="str">
        <f t="shared" si="82"/>
        <v>4-7</v>
      </c>
      <c r="AI1088">
        <v>13</v>
      </c>
      <c r="AJ1088" t="str">
        <f t="shared" si="83"/>
        <v>12-15</v>
      </c>
      <c r="AK1088">
        <v>9</v>
      </c>
    </row>
    <row r="1089" spans="1:37" x14ac:dyDescent="0.25">
      <c r="A1089" s="8">
        <v>1088</v>
      </c>
      <c r="B1089" t="s">
        <v>44</v>
      </c>
      <c r="C1089" t="s">
        <v>45</v>
      </c>
      <c r="D1089" s="8">
        <v>34</v>
      </c>
      <c r="E1089" t="str">
        <f t="shared" si="84"/>
        <v>26-35</v>
      </c>
      <c r="F1089" t="s">
        <v>46</v>
      </c>
      <c r="G1089" t="s">
        <v>39</v>
      </c>
      <c r="H1089" s="8" t="s">
        <v>40</v>
      </c>
      <c r="I1089" s="10">
        <v>7</v>
      </c>
      <c r="J1089" t="str">
        <f t="shared" si="80"/>
        <v>Moderate</v>
      </c>
      <c r="K1089">
        <v>2</v>
      </c>
      <c r="L1089" t="s">
        <v>63</v>
      </c>
      <c r="M1089">
        <v>2</v>
      </c>
      <c r="N1089">
        <v>3</v>
      </c>
      <c r="O1089">
        <v>1</v>
      </c>
      <c r="P1089" t="s">
        <v>60</v>
      </c>
      <c r="Q1089">
        <v>3</v>
      </c>
      <c r="R1089" s="11">
        <v>1440</v>
      </c>
      <c r="S1089" s="14">
        <v>55</v>
      </c>
      <c r="T1089" s="13">
        <v>2308</v>
      </c>
      <c r="U1089" s="13">
        <f t="shared" si="81"/>
        <v>27696</v>
      </c>
      <c r="V1089" s="14">
        <v>4944</v>
      </c>
      <c r="W1089">
        <v>0</v>
      </c>
      <c r="X1089" s="8" t="s">
        <v>38</v>
      </c>
      <c r="Y1089" s="15">
        <v>0.25</v>
      </c>
      <c r="Z1089">
        <v>4</v>
      </c>
      <c r="AA1089">
        <v>2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 t="str">
        <f t="shared" si="82"/>
        <v>8-11</v>
      </c>
      <c r="AI1089">
        <v>5</v>
      </c>
      <c r="AJ1089" t="str">
        <f t="shared" si="83"/>
        <v>3-5</v>
      </c>
      <c r="AK1089">
        <v>7</v>
      </c>
    </row>
    <row r="1090" spans="1:37" x14ac:dyDescent="0.25">
      <c r="A1090" s="8">
        <v>1089</v>
      </c>
      <c r="B1090" t="s">
        <v>44</v>
      </c>
      <c r="C1090" t="s">
        <v>45</v>
      </c>
      <c r="D1090" s="8">
        <v>42</v>
      </c>
      <c r="E1090" t="str">
        <f t="shared" si="84"/>
        <v>36-45</v>
      </c>
      <c r="F1090" t="s">
        <v>46</v>
      </c>
      <c r="G1090" t="s">
        <v>39</v>
      </c>
      <c r="H1090" s="8" t="s">
        <v>48</v>
      </c>
      <c r="I1090" s="10">
        <v>2</v>
      </c>
      <c r="J1090" t="str">
        <f t="shared" si="80"/>
        <v>Near</v>
      </c>
      <c r="K1090">
        <v>3</v>
      </c>
      <c r="L1090" t="s">
        <v>53</v>
      </c>
      <c r="M1090">
        <v>3</v>
      </c>
      <c r="N1090">
        <v>2</v>
      </c>
      <c r="O1090">
        <v>1</v>
      </c>
      <c r="P1090" t="s">
        <v>51</v>
      </c>
      <c r="Q1090">
        <v>2</v>
      </c>
      <c r="R1090" s="11">
        <v>1210</v>
      </c>
      <c r="S1090" s="14">
        <v>68</v>
      </c>
      <c r="T1090" s="13">
        <v>4841</v>
      </c>
      <c r="U1090" s="13">
        <f t="shared" si="81"/>
        <v>58092</v>
      </c>
      <c r="V1090" s="14">
        <v>24052</v>
      </c>
      <c r="W1090">
        <v>4</v>
      </c>
      <c r="X1090" s="8" t="s">
        <v>46</v>
      </c>
      <c r="Y1090" s="15">
        <v>0.14000000000000001</v>
      </c>
      <c r="Z1090">
        <v>3</v>
      </c>
      <c r="AA1090">
        <v>2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 t="str">
        <f t="shared" si="82"/>
        <v>0-3</v>
      </c>
      <c r="AI1090">
        <v>0</v>
      </c>
      <c r="AJ1090" t="str">
        <f t="shared" si="83"/>
        <v>0-2</v>
      </c>
      <c r="AK1090">
        <v>0</v>
      </c>
    </row>
    <row r="1091" spans="1:37" x14ac:dyDescent="0.25">
      <c r="A1091" s="8">
        <v>1090</v>
      </c>
      <c r="B1091" t="s">
        <v>44</v>
      </c>
      <c r="C1091" t="s">
        <v>45</v>
      </c>
      <c r="D1091" s="8">
        <v>37</v>
      </c>
      <c r="E1091" t="str">
        <f t="shared" si="84"/>
        <v>36-45</v>
      </c>
      <c r="F1091" t="s">
        <v>46</v>
      </c>
      <c r="G1091" t="s">
        <v>39</v>
      </c>
      <c r="H1091" s="8" t="s">
        <v>48</v>
      </c>
      <c r="I1091" s="10">
        <v>13</v>
      </c>
      <c r="J1091" t="str">
        <f t="shared" ref="J1091:J1154" si="85">IF(I1091&lt;=5,"Near",IF(I1091&lt;=15,"Moderate",IF(I1091&gt;15,"Far")))</f>
        <v>Moderate</v>
      </c>
      <c r="K1091">
        <v>3</v>
      </c>
      <c r="L1091" t="s">
        <v>53</v>
      </c>
      <c r="M1091">
        <v>1</v>
      </c>
      <c r="N1091">
        <v>3</v>
      </c>
      <c r="O1091">
        <v>2</v>
      </c>
      <c r="P1091" t="s">
        <v>49</v>
      </c>
      <c r="Q1091">
        <v>4</v>
      </c>
      <c r="R1091" s="11">
        <v>674</v>
      </c>
      <c r="S1091" s="14">
        <v>47</v>
      </c>
      <c r="T1091" s="13">
        <v>4285</v>
      </c>
      <c r="U1091" s="13">
        <f t="shared" ref="U1091:U1154" si="86">T1091*12</f>
        <v>51420</v>
      </c>
      <c r="V1091" s="14">
        <v>3031</v>
      </c>
      <c r="W1091">
        <v>1</v>
      </c>
      <c r="X1091" s="8" t="s">
        <v>46</v>
      </c>
      <c r="Y1091" s="15">
        <v>0.17</v>
      </c>
      <c r="Z1091">
        <v>3</v>
      </c>
      <c r="AA1091">
        <v>1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 t="str">
        <f t="shared" ref="AH1091:AH1154" si="87">IF(AG:AG&lt;=3,"0-3", IF(AG:AG&lt;=7,"4-7", IF(AG:AG&lt;=11,"8-11", IF(AG:AG&lt;=15,"12-15","16-19"))))</f>
        <v>8-11</v>
      </c>
      <c r="AI1091">
        <v>3</v>
      </c>
      <c r="AJ1091" t="str">
        <f t="shared" ref="AJ1091:AJ1154" si="88">IF(AI:AI&lt;=2,"0-2",IF(AI:AI&lt;=5,"3-5", IF(AI:AI&lt;=8,"6-8", IF(AI:AI&lt;=11,"9-11","12-15"))))</f>
        <v>3-5</v>
      </c>
      <c r="AK1091">
        <v>7</v>
      </c>
    </row>
    <row r="1092" spans="1:37" x14ac:dyDescent="0.25">
      <c r="A1092" s="8">
        <v>1091</v>
      </c>
      <c r="B1092" t="s">
        <v>52</v>
      </c>
      <c r="C1092" t="s">
        <v>45</v>
      </c>
      <c r="D1092" s="8">
        <v>29</v>
      </c>
      <c r="E1092" t="str">
        <f t="shared" ref="E1092:E1155" si="89">IF(D1092&lt;25,"18-25",IF(D1092&lt;=35,"26-35",IF(D1092&lt;=45,"36-45",IF(D1092&lt;=55,"46-55",IF(D1092&gt;55,"55+")))))</f>
        <v>26-35</v>
      </c>
      <c r="F1092" t="s">
        <v>46</v>
      </c>
      <c r="G1092" t="s">
        <v>39</v>
      </c>
      <c r="H1092" s="8" t="s">
        <v>48</v>
      </c>
      <c r="I1092" s="10">
        <v>8</v>
      </c>
      <c r="J1092" t="str">
        <f t="shared" si="85"/>
        <v>Moderate</v>
      </c>
      <c r="K1092">
        <v>1</v>
      </c>
      <c r="L1092" t="s">
        <v>50</v>
      </c>
      <c r="M1092">
        <v>3</v>
      </c>
      <c r="N1092">
        <v>1</v>
      </c>
      <c r="O1092">
        <v>2</v>
      </c>
      <c r="P1092" t="s">
        <v>56</v>
      </c>
      <c r="Q1092">
        <v>1</v>
      </c>
      <c r="R1092" s="11">
        <v>441</v>
      </c>
      <c r="S1092" s="14">
        <v>39</v>
      </c>
      <c r="T1092" s="13">
        <v>9715</v>
      </c>
      <c r="U1092" s="13">
        <f t="shared" si="86"/>
        <v>116580</v>
      </c>
      <c r="V1092" s="14">
        <v>7288</v>
      </c>
      <c r="W1092">
        <v>3</v>
      </c>
      <c r="X1092" s="8" t="s">
        <v>46</v>
      </c>
      <c r="Y1092" s="15">
        <v>0.13</v>
      </c>
      <c r="Z1092">
        <v>3</v>
      </c>
      <c r="AA1092">
        <v>3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 t="str">
        <f t="shared" si="87"/>
        <v>4-7</v>
      </c>
      <c r="AI1092">
        <v>0</v>
      </c>
      <c r="AJ1092" t="str">
        <f t="shared" si="88"/>
        <v>0-2</v>
      </c>
      <c r="AK1092">
        <v>7</v>
      </c>
    </row>
    <row r="1093" spans="1:37" x14ac:dyDescent="0.25">
      <c r="A1093" s="8">
        <v>1092</v>
      </c>
      <c r="B1093" t="s">
        <v>44</v>
      </c>
      <c r="C1093" t="s">
        <v>37</v>
      </c>
      <c r="D1093" s="8">
        <v>33</v>
      </c>
      <c r="E1093" t="str">
        <f t="shared" si="89"/>
        <v>26-35</v>
      </c>
      <c r="F1093" t="s">
        <v>46</v>
      </c>
      <c r="G1093" t="s">
        <v>39</v>
      </c>
      <c r="H1093" s="8" t="s">
        <v>48</v>
      </c>
      <c r="I1093" s="10">
        <v>25</v>
      </c>
      <c r="J1093" t="str">
        <f t="shared" si="85"/>
        <v>Far</v>
      </c>
      <c r="K1093">
        <v>3</v>
      </c>
      <c r="L1093" t="s">
        <v>41</v>
      </c>
      <c r="M1093">
        <v>4</v>
      </c>
      <c r="N1093">
        <v>2</v>
      </c>
      <c r="O1093">
        <v>2</v>
      </c>
      <c r="P1093" t="s">
        <v>55</v>
      </c>
      <c r="Q1093">
        <v>2</v>
      </c>
      <c r="R1093" s="11">
        <v>575</v>
      </c>
      <c r="S1093" s="14">
        <v>44</v>
      </c>
      <c r="T1093" s="13">
        <v>4320</v>
      </c>
      <c r="U1093" s="13">
        <f t="shared" si="86"/>
        <v>51840</v>
      </c>
      <c r="V1093" s="14">
        <v>24152</v>
      </c>
      <c r="W1093">
        <v>1</v>
      </c>
      <c r="X1093" s="8" t="s">
        <v>46</v>
      </c>
      <c r="Y1093" s="15">
        <v>0.13</v>
      </c>
      <c r="Z1093">
        <v>3</v>
      </c>
      <c r="AA1093">
        <v>4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 t="str">
        <f t="shared" si="87"/>
        <v>0-3</v>
      </c>
      <c r="AI1093">
        <v>0</v>
      </c>
      <c r="AJ1093" t="str">
        <f t="shared" si="88"/>
        <v>0-2</v>
      </c>
      <c r="AK1093">
        <v>2</v>
      </c>
    </row>
    <row r="1094" spans="1:37" x14ac:dyDescent="0.25">
      <c r="A1094" s="8">
        <v>1093</v>
      </c>
      <c r="B1094" t="s">
        <v>44</v>
      </c>
      <c r="C1094" t="s">
        <v>45</v>
      </c>
      <c r="D1094" s="8">
        <v>45</v>
      </c>
      <c r="E1094" t="str">
        <f t="shared" si="89"/>
        <v>36-45</v>
      </c>
      <c r="F1094" t="s">
        <v>46</v>
      </c>
      <c r="G1094" t="s">
        <v>39</v>
      </c>
      <c r="H1094" s="8" t="s">
        <v>48</v>
      </c>
      <c r="I1094" s="10">
        <v>28</v>
      </c>
      <c r="J1094" t="str">
        <f t="shared" si="85"/>
        <v>Far</v>
      </c>
      <c r="K1094">
        <v>3</v>
      </c>
      <c r="L1094" t="s">
        <v>63</v>
      </c>
      <c r="M1094">
        <v>4</v>
      </c>
      <c r="N1094">
        <v>3</v>
      </c>
      <c r="O1094">
        <v>1</v>
      </c>
      <c r="P1094" t="s">
        <v>49</v>
      </c>
      <c r="Q1094">
        <v>4</v>
      </c>
      <c r="R1094" s="11">
        <v>950</v>
      </c>
      <c r="S1094" s="14">
        <v>97</v>
      </c>
      <c r="T1094" s="13">
        <v>2132</v>
      </c>
      <c r="U1094" s="13">
        <f t="shared" si="86"/>
        <v>25584</v>
      </c>
      <c r="V1094" s="14">
        <v>4585</v>
      </c>
      <c r="W1094">
        <v>4</v>
      </c>
      <c r="X1094" s="8" t="s">
        <v>46</v>
      </c>
      <c r="Y1094" s="15">
        <v>0.2</v>
      </c>
      <c r="Z1094">
        <v>4</v>
      </c>
      <c r="AA1094">
        <v>4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 t="str">
        <f t="shared" si="87"/>
        <v>4-7</v>
      </c>
      <c r="AI1094">
        <v>0</v>
      </c>
      <c r="AJ1094" t="str">
        <f t="shared" si="88"/>
        <v>0-2</v>
      </c>
      <c r="AK1094">
        <v>3</v>
      </c>
    </row>
    <row r="1095" spans="1:37" x14ac:dyDescent="0.25">
      <c r="A1095" s="8">
        <v>1094</v>
      </c>
      <c r="B1095" t="s">
        <v>44</v>
      </c>
      <c r="C1095" t="s">
        <v>45</v>
      </c>
      <c r="D1095" s="8">
        <v>42</v>
      </c>
      <c r="E1095" t="str">
        <f t="shared" si="89"/>
        <v>36-45</v>
      </c>
      <c r="F1095" t="s">
        <v>46</v>
      </c>
      <c r="G1095" t="s">
        <v>47</v>
      </c>
      <c r="H1095" s="8" t="s">
        <v>48</v>
      </c>
      <c r="I1095" s="10">
        <v>2</v>
      </c>
      <c r="J1095" t="str">
        <f t="shared" si="85"/>
        <v>Near</v>
      </c>
      <c r="K1095">
        <v>3</v>
      </c>
      <c r="L1095" t="s">
        <v>41</v>
      </c>
      <c r="M1095">
        <v>4</v>
      </c>
      <c r="N1095">
        <v>3</v>
      </c>
      <c r="O1095">
        <v>3</v>
      </c>
      <c r="P1095" t="s">
        <v>56</v>
      </c>
      <c r="Q1095">
        <v>4</v>
      </c>
      <c r="R1095" s="11">
        <v>288</v>
      </c>
      <c r="S1095" s="14">
        <v>40</v>
      </c>
      <c r="T1095" s="13">
        <v>10124</v>
      </c>
      <c r="U1095" s="13">
        <f t="shared" si="86"/>
        <v>121488</v>
      </c>
      <c r="V1095" s="14">
        <v>18611</v>
      </c>
      <c r="W1095">
        <v>2</v>
      </c>
      <c r="X1095" s="8" t="s">
        <v>38</v>
      </c>
      <c r="Y1095" s="15">
        <v>0.14000000000000001</v>
      </c>
      <c r="Z1095">
        <v>3</v>
      </c>
      <c r="AA1095">
        <v>3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 t="str">
        <f t="shared" si="87"/>
        <v>8-11</v>
      </c>
      <c r="AI1095">
        <v>13</v>
      </c>
      <c r="AJ1095" t="str">
        <f t="shared" si="88"/>
        <v>12-15</v>
      </c>
      <c r="AK1095">
        <v>9</v>
      </c>
    </row>
    <row r="1096" spans="1:37" x14ac:dyDescent="0.25">
      <c r="A1096" s="8">
        <v>1095</v>
      </c>
      <c r="B1096" t="s">
        <v>44</v>
      </c>
      <c r="C1096" t="s">
        <v>45</v>
      </c>
      <c r="D1096" s="8">
        <v>40</v>
      </c>
      <c r="E1096" t="str">
        <f t="shared" si="89"/>
        <v>36-45</v>
      </c>
      <c r="F1096" t="s">
        <v>46</v>
      </c>
      <c r="G1096" t="s">
        <v>39</v>
      </c>
      <c r="H1096" s="8" t="s">
        <v>40</v>
      </c>
      <c r="I1096" s="10">
        <v>9</v>
      </c>
      <c r="J1096" t="str">
        <f t="shared" si="85"/>
        <v>Moderate</v>
      </c>
      <c r="K1096">
        <v>2</v>
      </c>
      <c r="L1096" t="s">
        <v>53</v>
      </c>
      <c r="M1096">
        <v>1</v>
      </c>
      <c r="N1096">
        <v>3</v>
      </c>
      <c r="O1096">
        <v>2</v>
      </c>
      <c r="P1096" t="s">
        <v>42</v>
      </c>
      <c r="Q1096">
        <v>1</v>
      </c>
      <c r="R1096" s="11">
        <v>1342</v>
      </c>
      <c r="S1096" s="14">
        <v>47</v>
      </c>
      <c r="T1096" s="13">
        <v>5473</v>
      </c>
      <c r="U1096" s="13">
        <f t="shared" si="86"/>
        <v>65676</v>
      </c>
      <c r="V1096" s="14">
        <v>19345</v>
      </c>
      <c r="W1096">
        <v>0</v>
      </c>
      <c r="X1096" s="8" t="s">
        <v>46</v>
      </c>
      <c r="Y1096" s="15">
        <v>0.12</v>
      </c>
      <c r="Z1096">
        <v>3</v>
      </c>
      <c r="AA1096">
        <v>4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 t="str">
        <f t="shared" si="87"/>
        <v>4-7</v>
      </c>
      <c r="AI1096">
        <v>7</v>
      </c>
      <c r="AJ1096" t="str">
        <f t="shared" si="88"/>
        <v>6-8</v>
      </c>
      <c r="AK1096">
        <v>1</v>
      </c>
    </row>
    <row r="1097" spans="1:37" x14ac:dyDescent="0.25">
      <c r="A1097" s="8">
        <v>1096</v>
      </c>
      <c r="B1097" t="s">
        <v>44</v>
      </c>
      <c r="C1097" t="s">
        <v>45</v>
      </c>
      <c r="D1097" s="8">
        <v>33</v>
      </c>
      <c r="E1097" t="str">
        <f t="shared" si="89"/>
        <v>26-35</v>
      </c>
      <c r="F1097" t="s">
        <v>46</v>
      </c>
      <c r="G1097" t="s">
        <v>39</v>
      </c>
      <c r="H1097" s="8" t="s">
        <v>48</v>
      </c>
      <c r="I1097" s="10">
        <v>28</v>
      </c>
      <c r="J1097" t="str">
        <f t="shared" si="85"/>
        <v>Far</v>
      </c>
      <c r="K1097">
        <v>4</v>
      </c>
      <c r="L1097" t="s">
        <v>41</v>
      </c>
      <c r="M1097">
        <v>2</v>
      </c>
      <c r="N1097">
        <v>3</v>
      </c>
      <c r="O1097">
        <v>2</v>
      </c>
      <c r="P1097" t="s">
        <v>51</v>
      </c>
      <c r="Q1097">
        <v>3</v>
      </c>
      <c r="R1097" s="11">
        <v>589</v>
      </c>
      <c r="S1097" s="14">
        <v>79</v>
      </c>
      <c r="T1097" s="13">
        <v>5207</v>
      </c>
      <c r="U1097" s="13">
        <f t="shared" si="86"/>
        <v>62484</v>
      </c>
      <c r="V1097" s="14">
        <v>22949</v>
      </c>
      <c r="W1097">
        <v>1</v>
      </c>
      <c r="X1097" s="8" t="s">
        <v>38</v>
      </c>
      <c r="Y1097" s="15">
        <v>0.12</v>
      </c>
      <c r="Z1097">
        <v>3</v>
      </c>
      <c r="AA1097">
        <v>2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 t="str">
        <f t="shared" si="87"/>
        <v>12-15</v>
      </c>
      <c r="AI1097">
        <v>5</v>
      </c>
      <c r="AJ1097" t="str">
        <f t="shared" si="88"/>
        <v>3-5</v>
      </c>
      <c r="AK1097">
        <v>7</v>
      </c>
    </row>
    <row r="1098" spans="1:37" x14ac:dyDescent="0.25">
      <c r="A1098" s="8">
        <v>1097</v>
      </c>
      <c r="B1098" t="s">
        <v>44</v>
      </c>
      <c r="C1098" t="s">
        <v>37</v>
      </c>
      <c r="D1098" s="8">
        <v>40</v>
      </c>
      <c r="E1098" t="str">
        <f t="shared" si="89"/>
        <v>36-45</v>
      </c>
      <c r="F1098" t="s">
        <v>46</v>
      </c>
      <c r="G1098" t="s">
        <v>39</v>
      </c>
      <c r="H1098" s="8" t="s">
        <v>64</v>
      </c>
      <c r="I1098" s="10">
        <v>6</v>
      </c>
      <c r="J1098" t="str">
        <f t="shared" si="85"/>
        <v>Moderate</v>
      </c>
      <c r="K1098">
        <v>2</v>
      </c>
      <c r="L1098" t="s">
        <v>53</v>
      </c>
      <c r="M1098">
        <v>3</v>
      </c>
      <c r="N1098">
        <v>3</v>
      </c>
      <c r="O1098">
        <v>4</v>
      </c>
      <c r="P1098" t="s">
        <v>59</v>
      </c>
      <c r="Q1098">
        <v>4</v>
      </c>
      <c r="R1098" s="11">
        <v>898</v>
      </c>
      <c r="S1098" s="14">
        <v>38</v>
      </c>
      <c r="T1098" s="13">
        <v>16437</v>
      </c>
      <c r="U1098" s="13">
        <f t="shared" si="86"/>
        <v>197244</v>
      </c>
      <c r="V1098" s="14">
        <v>17381</v>
      </c>
      <c r="W1098">
        <v>1</v>
      </c>
      <c r="X1098" s="8" t="s">
        <v>38</v>
      </c>
      <c r="Y1098" s="15">
        <v>0.21</v>
      </c>
      <c r="Z1098">
        <v>4</v>
      </c>
      <c r="AA1098">
        <v>4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 t="str">
        <f t="shared" si="87"/>
        <v>4-7</v>
      </c>
      <c r="AI1098">
        <v>7</v>
      </c>
      <c r="AJ1098" t="str">
        <f t="shared" si="88"/>
        <v>6-8</v>
      </c>
      <c r="AK1098">
        <v>7</v>
      </c>
    </row>
    <row r="1099" spans="1:37" x14ac:dyDescent="0.25">
      <c r="A1099" s="8">
        <v>1098</v>
      </c>
      <c r="B1099" t="s">
        <v>44</v>
      </c>
      <c r="C1099" t="s">
        <v>54</v>
      </c>
      <c r="D1099" s="8">
        <v>24</v>
      </c>
      <c r="E1099" t="str">
        <f t="shared" si="89"/>
        <v>18-25</v>
      </c>
      <c r="F1099" t="s">
        <v>46</v>
      </c>
      <c r="G1099" t="s">
        <v>39</v>
      </c>
      <c r="H1099" s="8" t="s">
        <v>48</v>
      </c>
      <c r="I1099" s="10">
        <v>21</v>
      </c>
      <c r="J1099" t="str">
        <f t="shared" si="85"/>
        <v>Far</v>
      </c>
      <c r="K1099">
        <v>2</v>
      </c>
      <c r="L1099" t="s">
        <v>63</v>
      </c>
      <c r="M1099">
        <v>3</v>
      </c>
      <c r="N1099">
        <v>2</v>
      </c>
      <c r="O1099">
        <v>1</v>
      </c>
      <c r="P1099" t="s">
        <v>51</v>
      </c>
      <c r="Q1099">
        <v>1</v>
      </c>
      <c r="R1099" s="11">
        <v>350</v>
      </c>
      <c r="S1099" s="14">
        <v>57</v>
      </c>
      <c r="T1099" s="13">
        <v>2296</v>
      </c>
      <c r="U1099" s="13">
        <f t="shared" si="86"/>
        <v>27552</v>
      </c>
      <c r="V1099" s="14">
        <v>10036</v>
      </c>
      <c r="W1099">
        <v>0</v>
      </c>
      <c r="X1099" s="8" t="s">
        <v>46</v>
      </c>
      <c r="Y1099" s="15">
        <v>0.14000000000000001</v>
      </c>
      <c r="Z1099">
        <v>3</v>
      </c>
      <c r="AA1099">
        <v>2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 t="str">
        <f t="shared" si="87"/>
        <v>0-3</v>
      </c>
      <c r="AI1099">
        <v>0</v>
      </c>
      <c r="AJ1099" t="str">
        <f t="shared" si="88"/>
        <v>0-2</v>
      </c>
      <c r="AK1099">
        <v>0</v>
      </c>
    </row>
    <row r="1100" spans="1:37" x14ac:dyDescent="0.25">
      <c r="A1100" s="8">
        <v>1099</v>
      </c>
      <c r="B1100" t="s">
        <v>44</v>
      </c>
      <c r="C1100" t="s">
        <v>54</v>
      </c>
      <c r="D1100" s="8">
        <v>40</v>
      </c>
      <c r="E1100" t="str">
        <f t="shared" si="89"/>
        <v>36-45</v>
      </c>
      <c r="F1100" t="s">
        <v>46</v>
      </c>
      <c r="G1100" t="s">
        <v>58</v>
      </c>
      <c r="H1100" s="8" t="s">
        <v>48</v>
      </c>
      <c r="I1100" s="10">
        <v>8</v>
      </c>
      <c r="J1100" t="str">
        <f t="shared" si="85"/>
        <v>Moderate</v>
      </c>
      <c r="K1100">
        <v>2</v>
      </c>
      <c r="L1100" t="s">
        <v>41</v>
      </c>
      <c r="M1100">
        <v>4</v>
      </c>
      <c r="N1100">
        <v>3</v>
      </c>
      <c r="O1100">
        <v>2</v>
      </c>
      <c r="P1100" t="s">
        <v>56</v>
      </c>
      <c r="Q1100">
        <v>4</v>
      </c>
      <c r="R1100" s="11">
        <v>1142</v>
      </c>
      <c r="S1100" s="14">
        <v>72</v>
      </c>
      <c r="T1100" s="13">
        <v>4069</v>
      </c>
      <c r="U1100" s="13">
        <f t="shared" si="86"/>
        <v>48828</v>
      </c>
      <c r="V1100" s="14">
        <v>8841</v>
      </c>
      <c r="W1100">
        <v>3</v>
      </c>
      <c r="X1100" s="8" t="s">
        <v>38</v>
      </c>
      <c r="Y1100" s="15">
        <v>0.18</v>
      </c>
      <c r="Z1100">
        <v>3</v>
      </c>
      <c r="AA1100">
        <v>3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 t="str">
        <f t="shared" si="87"/>
        <v>0-3</v>
      </c>
      <c r="AI1100">
        <v>2</v>
      </c>
      <c r="AJ1100" t="str">
        <f t="shared" si="88"/>
        <v>0-2</v>
      </c>
      <c r="AK1100">
        <v>2</v>
      </c>
    </row>
    <row r="1101" spans="1:37" x14ac:dyDescent="0.25">
      <c r="A1101" s="8">
        <v>1100</v>
      </c>
      <c r="B1101" t="s">
        <v>44</v>
      </c>
      <c r="C1101" t="s">
        <v>54</v>
      </c>
      <c r="D1101" s="8">
        <v>45</v>
      </c>
      <c r="E1101" t="str">
        <f t="shared" si="89"/>
        <v>36-45</v>
      </c>
      <c r="F1101" t="s">
        <v>46</v>
      </c>
      <c r="G1101" t="s">
        <v>39</v>
      </c>
      <c r="H1101" s="8" t="s">
        <v>48</v>
      </c>
      <c r="I1101" s="10">
        <v>1</v>
      </c>
      <c r="J1101" t="str">
        <f t="shared" si="85"/>
        <v>Near</v>
      </c>
      <c r="K1101">
        <v>4</v>
      </c>
      <c r="L1101" t="s">
        <v>63</v>
      </c>
      <c r="M1101">
        <v>1</v>
      </c>
      <c r="N1101">
        <v>3</v>
      </c>
      <c r="O1101">
        <v>3</v>
      </c>
      <c r="P1101" t="s">
        <v>56</v>
      </c>
      <c r="Q1101">
        <v>2</v>
      </c>
      <c r="R1101" s="11">
        <v>538</v>
      </c>
      <c r="S1101" s="14">
        <v>66</v>
      </c>
      <c r="T1101" s="13">
        <v>7441</v>
      </c>
      <c r="U1101" s="13">
        <f t="shared" si="86"/>
        <v>89292</v>
      </c>
      <c r="V1101" s="14">
        <v>20933</v>
      </c>
      <c r="W1101">
        <v>1</v>
      </c>
      <c r="X1101" s="8" t="s">
        <v>46</v>
      </c>
      <c r="Y1101" s="15">
        <v>0.12</v>
      </c>
      <c r="Z1101">
        <v>3</v>
      </c>
      <c r="AA1101">
        <v>1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 t="str">
        <f t="shared" si="87"/>
        <v>8-11</v>
      </c>
      <c r="AI1101">
        <v>7</v>
      </c>
      <c r="AJ1101" t="str">
        <f t="shared" si="88"/>
        <v>6-8</v>
      </c>
      <c r="AK1101">
        <v>7</v>
      </c>
    </row>
    <row r="1102" spans="1:37" x14ac:dyDescent="0.25">
      <c r="A1102" s="8">
        <v>1101</v>
      </c>
      <c r="B1102" t="s">
        <v>52</v>
      </c>
      <c r="C1102" t="s">
        <v>45</v>
      </c>
      <c r="D1102" s="8">
        <v>35</v>
      </c>
      <c r="E1102" t="str">
        <f t="shared" si="89"/>
        <v>26-35</v>
      </c>
      <c r="F1102" t="s">
        <v>46</v>
      </c>
      <c r="G1102" t="s">
        <v>39</v>
      </c>
      <c r="H1102" s="8" t="s">
        <v>40</v>
      </c>
      <c r="I1102" s="10">
        <v>28</v>
      </c>
      <c r="J1102" t="str">
        <f t="shared" si="85"/>
        <v>Far</v>
      </c>
      <c r="K1102">
        <v>4</v>
      </c>
      <c r="L1102" t="s">
        <v>41</v>
      </c>
      <c r="M1102">
        <v>2</v>
      </c>
      <c r="N1102">
        <v>2</v>
      </c>
      <c r="O1102">
        <v>1</v>
      </c>
      <c r="P1102" t="s">
        <v>60</v>
      </c>
      <c r="Q1102">
        <v>3</v>
      </c>
      <c r="R1102" s="11">
        <v>1402</v>
      </c>
      <c r="S1102" s="14">
        <v>98</v>
      </c>
      <c r="T1102" s="13">
        <v>2430</v>
      </c>
      <c r="U1102" s="13">
        <f t="shared" si="86"/>
        <v>29160</v>
      </c>
      <c r="V1102" s="14">
        <v>26204</v>
      </c>
      <c r="W1102">
        <v>0</v>
      </c>
      <c r="X1102" s="8" t="s">
        <v>46</v>
      </c>
      <c r="Y1102" s="15">
        <v>0.23</v>
      </c>
      <c r="Z1102">
        <v>4</v>
      </c>
      <c r="AA1102">
        <v>1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 t="str">
        <f t="shared" si="87"/>
        <v>0-3</v>
      </c>
      <c r="AI1102">
        <v>4</v>
      </c>
      <c r="AJ1102" t="str">
        <f t="shared" si="88"/>
        <v>3-5</v>
      </c>
      <c r="AK1102">
        <v>2</v>
      </c>
    </row>
    <row r="1103" spans="1:37" x14ac:dyDescent="0.25">
      <c r="A1103" s="8">
        <v>1102</v>
      </c>
      <c r="B1103" t="s">
        <v>52</v>
      </c>
      <c r="C1103" t="s">
        <v>45</v>
      </c>
      <c r="D1103" s="8">
        <v>32</v>
      </c>
      <c r="E1103" t="str">
        <f t="shared" si="89"/>
        <v>26-35</v>
      </c>
      <c r="F1103" t="s">
        <v>46</v>
      </c>
      <c r="G1103" t="s">
        <v>39</v>
      </c>
      <c r="H1103" s="8" t="s">
        <v>48</v>
      </c>
      <c r="I1103" s="10">
        <v>5</v>
      </c>
      <c r="J1103" t="str">
        <f t="shared" si="85"/>
        <v>Near</v>
      </c>
      <c r="K1103">
        <v>2</v>
      </c>
      <c r="L1103" t="s">
        <v>41</v>
      </c>
      <c r="M1103">
        <v>4</v>
      </c>
      <c r="N1103">
        <v>2</v>
      </c>
      <c r="O1103">
        <v>2</v>
      </c>
      <c r="P1103" t="s">
        <v>49</v>
      </c>
      <c r="Q1103">
        <v>2</v>
      </c>
      <c r="R1103" s="11">
        <v>824</v>
      </c>
      <c r="S1103" s="14">
        <v>67</v>
      </c>
      <c r="T1103" s="13">
        <v>5878</v>
      </c>
      <c r="U1103" s="13">
        <f t="shared" si="86"/>
        <v>70536</v>
      </c>
      <c r="V1103" s="14">
        <v>15624</v>
      </c>
      <c r="W1103">
        <v>3</v>
      </c>
      <c r="X1103" s="8" t="s">
        <v>46</v>
      </c>
      <c r="Y1103" s="15">
        <v>0.12</v>
      </c>
      <c r="Z1103">
        <v>3</v>
      </c>
      <c r="AA1103">
        <v>1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 t="str">
        <f t="shared" si="87"/>
        <v>0-3</v>
      </c>
      <c r="AI1103">
        <v>2</v>
      </c>
      <c r="AJ1103" t="str">
        <f t="shared" si="88"/>
        <v>0-2</v>
      </c>
      <c r="AK1103">
        <v>5</v>
      </c>
    </row>
    <row r="1104" spans="1:37" x14ac:dyDescent="0.25">
      <c r="A1104" s="8">
        <v>1103</v>
      </c>
      <c r="B1104" t="s">
        <v>44</v>
      </c>
      <c r="C1104" t="s">
        <v>37</v>
      </c>
      <c r="D1104" s="8">
        <v>36</v>
      </c>
      <c r="E1104" t="str">
        <f t="shared" si="89"/>
        <v>36-45</v>
      </c>
      <c r="F1104" t="s">
        <v>46</v>
      </c>
      <c r="G1104" t="s">
        <v>39</v>
      </c>
      <c r="H1104" s="8" t="s">
        <v>40</v>
      </c>
      <c r="I1104" s="10">
        <v>2</v>
      </c>
      <c r="J1104" t="str">
        <f t="shared" si="85"/>
        <v>Near</v>
      </c>
      <c r="K1104">
        <v>4</v>
      </c>
      <c r="L1104" t="s">
        <v>41</v>
      </c>
      <c r="M1104">
        <v>3</v>
      </c>
      <c r="N1104">
        <v>3</v>
      </c>
      <c r="O1104">
        <v>1</v>
      </c>
      <c r="P1104" t="s">
        <v>60</v>
      </c>
      <c r="Q1104">
        <v>4</v>
      </c>
      <c r="R1104" s="11">
        <v>1157</v>
      </c>
      <c r="S1104" s="14">
        <v>70</v>
      </c>
      <c r="T1104" s="13">
        <v>2644</v>
      </c>
      <c r="U1104" s="13">
        <f t="shared" si="86"/>
        <v>31728</v>
      </c>
      <c r="V1104" s="14">
        <v>17001</v>
      </c>
      <c r="W1104">
        <v>3</v>
      </c>
      <c r="X1104" s="8" t="s">
        <v>38</v>
      </c>
      <c r="Y1104" s="15">
        <v>0.21</v>
      </c>
      <c r="Z1104">
        <v>4</v>
      </c>
      <c r="AA1104">
        <v>4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 t="str">
        <f t="shared" si="87"/>
        <v>0-3</v>
      </c>
      <c r="AI1104">
        <v>1</v>
      </c>
      <c r="AJ1104" t="str">
        <f t="shared" si="88"/>
        <v>0-2</v>
      </c>
      <c r="AK1104">
        <v>2</v>
      </c>
    </row>
    <row r="1105" spans="1:37" x14ac:dyDescent="0.25">
      <c r="A1105" s="8">
        <v>1104</v>
      </c>
      <c r="B1105" t="s">
        <v>52</v>
      </c>
      <c r="C1105" t="s">
        <v>54</v>
      </c>
      <c r="D1105" s="8">
        <v>48</v>
      </c>
      <c r="E1105" t="str">
        <f t="shared" si="89"/>
        <v>46-55</v>
      </c>
      <c r="F1105" t="s">
        <v>46</v>
      </c>
      <c r="G1105" t="s">
        <v>39</v>
      </c>
      <c r="H1105" s="8" t="s">
        <v>40</v>
      </c>
      <c r="I1105" s="10">
        <v>16</v>
      </c>
      <c r="J1105" t="str">
        <f t="shared" si="85"/>
        <v>Far</v>
      </c>
      <c r="K1105">
        <v>4</v>
      </c>
      <c r="L1105" t="s">
        <v>41</v>
      </c>
      <c r="M1105">
        <v>3</v>
      </c>
      <c r="N1105">
        <v>3</v>
      </c>
      <c r="O1105">
        <v>2</v>
      </c>
      <c r="P1105" t="s">
        <v>42</v>
      </c>
      <c r="Q1105">
        <v>3</v>
      </c>
      <c r="R1105" s="11">
        <v>492</v>
      </c>
      <c r="S1105" s="14">
        <v>96</v>
      </c>
      <c r="T1105" s="13">
        <v>6439</v>
      </c>
      <c r="U1105" s="13">
        <f t="shared" si="86"/>
        <v>77268</v>
      </c>
      <c r="V1105" s="14">
        <v>13693</v>
      </c>
      <c r="W1105">
        <v>8</v>
      </c>
      <c r="X1105" s="8" t="s">
        <v>46</v>
      </c>
      <c r="Y1105" s="15">
        <v>0.14000000000000001</v>
      </c>
      <c r="Z1105">
        <v>3</v>
      </c>
      <c r="AA1105">
        <v>3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 t="str">
        <f t="shared" si="87"/>
        <v>4-7</v>
      </c>
      <c r="AI1105">
        <v>7</v>
      </c>
      <c r="AJ1105" t="str">
        <f t="shared" si="88"/>
        <v>6-8</v>
      </c>
      <c r="AK1105">
        <v>7</v>
      </c>
    </row>
    <row r="1106" spans="1:37" x14ac:dyDescent="0.25">
      <c r="A1106" s="8">
        <v>1105</v>
      </c>
      <c r="B1106" t="s">
        <v>44</v>
      </c>
      <c r="C1106" t="s">
        <v>45</v>
      </c>
      <c r="D1106" s="8">
        <v>29</v>
      </c>
      <c r="E1106" t="str">
        <f t="shared" si="89"/>
        <v>26-35</v>
      </c>
      <c r="F1106" t="s">
        <v>46</v>
      </c>
      <c r="G1106" t="s">
        <v>39</v>
      </c>
      <c r="H1106" s="8" t="s">
        <v>48</v>
      </c>
      <c r="I1106" s="10">
        <v>9</v>
      </c>
      <c r="J1106" t="str">
        <f t="shared" si="85"/>
        <v>Moderate</v>
      </c>
      <c r="K1106">
        <v>3</v>
      </c>
      <c r="L1106" t="s">
        <v>41</v>
      </c>
      <c r="M1106">
        <v>3</v>
      </c>
      <c r="N1106">
        <v>4</v>
      </c>
      <c r="O1106">
        <v>1</v>
      </c>
      <c r="P1106" t="s">
        <v>49</v>
      </c>
      <c r="Q1106">
        <v>3</v>
      </c>
      <c r="R1106" s="11">
        <v>598</v>
      </c>
      <c r="S1106" s="14">
        <v>91</v>
      </c>
      <c r="T1106" s="13">
        <v>2451</v>
      </c>
      <c r="U1106" s="13">
        <f t="shared" si="86"/>
        <v>29412</v>
      </c>
      <c r="V1106" s="14">
        <v>22376</v>
      </c>
      <c r="W1106">
        <v>6</v>
      </c>
      <c r="X1106" s="8" t="s">
        <v>46</v>
      </c>
      <c r="Y1106" s="15">
        <v>0.18</v>
      </c>
      <c r="Z1106">
        <v>3</v>
      </c>
      <c r="AA1106">
        <v>1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 t="str">
        <f t="shared" si="87"/>
        <v>0-3</v>
      </c>
      <c r="AI1106">
        <v>0</v>
      </c>
      <c r="AJ1106" t="str">
        <f t="shared" si="88"/>
        <v>0-2</v>
      </c>
      <c r="AK1106">
        <v>0</v>
      </c>
    </row>
    <row r="1107" spans="1:37" x14ac:dyDescent="0.25">
      <c r="A1107" s="8">
        <v>1106</v>
      </c>
      <c r="B1107" t="s">
        <v>44</v>
      </c>
      <c r="C1107" t="s">
        <v>45</v>
      </c>
      <c r="D1107" s="8">
        <v>33</v>
      </c>
      <c r="E1107" t="str">
        <f t="shared" si="89"/>
        <v>26-35</v>
      </c>
      <c r="F1107" t="s">
        <v>46</v>
      </c>
      <c r="G1107" t="s">
        <v>39</v>
      </c>
      <c r="H1107" s="8" t="s">
        <v>40</v>
      </c>
      <c r="I1107" s="10">
        <v>8</v>
      </c>
      <c r="J1107" t="str">
        <f t="shared" si="85"/>
        <v>Moderate</v>
      </c>
      <c r="K1107">
        <v>4</v>
      </c>
      <c r="L1107" t="s">
        <v>41</v>
      </c>
      <c r="M1107">
        <v>1</v>
      </c>
      <c r="N1107">
        <v>3</v>
      </c>
      <c r="O1107">
        <v>2</v>
      </c>
      <c r="P1107" t="s">
        <v>42</v>
      </c>
      <c r="Q1107">
        <v>1</v>
      </c>
      <c r="R1107" s="11">
        <v>1242</v>
      </c>
      <c r="S1107" s="14">
        <v>46</v>
      </c>
      <c r="T1107" s="13">
        <v>6392</v>
      </c>
      <c r="U1107" s="13">
        <f t="shared" si="86"/>
        <v>76704</v>
      </c>
      <c r="V1107" s="14">
        <v>10589</v>
      </c>
      <c r="W1107">
        <v>2</v>
      </c>
      <c r="X1107" s="8" t="s">
        <v>46</v>
      </c>
      <c r="Y1107" s="15">
        <v>0.13</v>
      </c>
      <c r="Z1107">
        <v>3</v>
      </c>
      <c r="AA1107">
        <v>4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 t="str">
        <f t="shared" si="87"/>
        <v>0-3</v>
      </c>
      <c r="AI1107">
        <v>2</v>
      </c>
      <c r="AJ1107" t="str">
        <f t="shared" si="88"/>
        <v>0-2</v>
      </c>
      <c r="AK1107">
        <v>2</v>
      </c>
    </row>
    <row r="1108" spans="1:37" x14ac:dyDescent="0.25">
      <c r="A1108" s="8">
        <v>1107</v>
      </c>
      <c r="B1108" t="s">
        <v>44</v>
      </c>
      <c r="C1108" t="s">
        <v>45</v>
      </c>
      <c r="D1108" s="8">
        <v>30</v>
      </c>
      <c r="E1108" t="str">
        <f t="shared" si="89"/>
        <v>26-35</v>
      </c>
      <c r="F1108" t="s">
        <v>38</v>
      </c>
      <c r="G1108" t="s">
        <v>39</v>
      </c>
      <c r="H1108" s="8" t="s">
        <v>40</v>
      </c>
      <c r="I1108" s="10">
        <v>1</v>
      </c>
      <c r="J1108" t="str">
        <f t="shared" si="85"/>
        <v>Near</v>
      </c>
      <c r="K1108">
        <v>3</v>
      </c>
      <c r="L1108" t="s">
        <v>41</v>
      </c>
      <c r="M1108">
        <v>2</v>
      </c>
      <c r="N1108">
        <v>2</v>
      </c>
      <c r="O1108">
        <v>2</v>
      </c>
      <c r="P1108" t="s">
        <v>42</v>
      </c>
      <c r="Q1108">
        <v>1</v>
      </c>
      <c r="R1108" s="11">
        <v>740</v>
      </c>
      <c r="S1108" s="14">
        <v>64</v>
      </c>
      <c r="T1108" s="13">
        <v>9714</v>
      </c>
      <c r="U1108" s="13">
        <f t="shared" si="86"/>
        <v>116568</v>
      </c>
      <c r="V1108" s="14">
        <v>5323</v>
      </c>
      <c r="W1108">
        <v>1</v>
      </c>
      <c r="X1108" s="8" t="s">
        <v>46</v>
      </c>
      <c r="Y1108" s="15">
        <v>0.11</v>
      </c>
      <c r="Z1108">
        <v>3</v>
      </c>
      <c r="AA1108">
        <v>4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 t="str">
        <f t="shared" si="87"/>
        <v>8-11</v>
      </c>
      <c r="AI1108">
        <v>6</v>
      </c>
      <c r="AJ1108" t="str">
        <f t="shared" si="88"/>
        <v>6-8</v>
      </c>
      <c r="AK1108">
        <v>7</v>
      </c>
    </row>
    <row r="1109" spans="1:37" x14ac:dyDescent="0.25">
      <c r="A1109" s="8">
        <v>1108</v>
      </c>
      <c r="B1109" t="s">
        <v>44</v>
      </c>
      <c r="C1109" t="s">
        <v>45</v>
      </c>
      <c r="D1109" s="8">
        <v>38</v>
      </c>
      <c r="E1109" t="str">
        <f t="shared" si="89"/>
        <v>36-45</v>
      </c>
      <c r="F1109" t="s">
        <v>46</v>
      </c>
      <c r="G1109" t="s">
        <v>47</v>
      </c>
      <c r="H1109" s="8" t="s">
        <v>64</v>
      </c>
      <c r="I1109" s="10">
        <v>10</v>
      </c>
      <c r="J1109" t="str">
        <f t="shared" si="85"/>
        <v>Moderate</v>
      </c>
      <c r="K1109">
        <v>4</v>
      </c>
      <c r="L1109" t="s">
        <v>64</v>
      </c>
      <c r="M1109">
        <v>3</v>
      </c>
      <c r="N1109">
        <v>3</v>
      </c>
      <c r="O1109">
        <v>2</v>
      </c>
      <c r="P1109" t="s">
        <v>64</v>
      </c>
      <c r="Q1109">
        <v>3</v>
      </c>
      <c r="R1109" s="11">
        <v>888</v>
      </c>
      <c r="S1109" s="14">
        <v>71</v>
      </c>
      <c r="T1109" s="13">
        <v>6077</v>
      </c>
      <c r="U1109" s="13">
        <f t="shared" si="86"/>
        <v>72924</v>
      </c>
      <c r="V1109" s="14">
        <v>14814</v>
      </c>
      <c r="W1109">
        <v>3</v>
      </c>
      <c r="X1109" s="8" t="s">
        <v>46</v>
      </c>
      <c r="Y1109" s="15">
        <v>0.11</v>
      </c>
      <c r="Z1109">
        <v>3</v>
      </c>
      <c r="AA1109">
        <v>3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 t="str">
        <f t="shared" si="87"/>
        <v>0-3</v>
      </c>
      <c r="AI1109">
        <v>1</v>
      </c>
      <c r="AJ1109" t="str">
        <f t="shared" si="88"/>
        <v>0-2</v>
      </c>
      <c r="AK1109">
        <v>2</v>
      </c>
    </row>
    <row r="1110" spans="1:37" x14ac:dyDescent="0.25">
      <c r="A1110" s="8">
        <v>1109</v>
      </c>
      <c r="B1110" t="s">
        <v>44</v>
      </c>
      <c r="C1110" t="s">
        <v>37</v>
      </c>
      <c r="D1110" s="8">
        <v>35</v>
      </c>
      <c r="E1110" t="str">
        <f t="shared" si="89"/>
        <v>26-35</v>
      </c>
      <c r="F1110" t="s">
        <v>46</v>
      </c>
      <c r="G1110" t="s">
        <v>39</v>
      </c>
      <c r="H1110" s="8" t="s">
        <v>48</v>
      </c>
      <c r="I1110" s="10">
        <v>1</v>
      </c>
      <c r="J1110" t="str">
        <f t="shared" si="85"/>
        <v>Near</v>
      </c>
      <c r="K1110">
        <v>3</v>
      </c>
      <c r="L1110" t="s">
        <v>53</v>
      </c>
      <c r="M1110">
        <v>4</v>
      </c>
      <c r="N1110">
        <v>2</v>
      </c>
      <c r="O1110">
        <v>1</v>
      </c>
      <c r="P1110" t="s">
        <v>51</v>
      </c>
      <c r="Q1110">
        <v>1</v>
      </c>
      <c r="R1110" s="11">
        <v>992</v>
      </c>
      <c r="S1110" s="14">
        <v>68</v>
      </c>
      <c r="T1110" s="13">
        <v>2450</v>
      </c>
      <c r="U1110" s="13">
        <f t="shared" si="86"/>
        <v>29400</v>
      </c>
      <c r="V1110" s="14">
        <v>21731</v>
      </c>
      <c r="W1110">
        <v>1</v>
      </c>
      <c r="X1110" s="8" t="s">
        <v>46</v>
      </c>
      <c r="Y1110" s="15">
        <v>0.19</v>
      </c>
      <c r="Z1110">
        <v>3</v>
      </c>
      <c r="AA1110">
        <v>2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 t="str">
        <f t="shared" si="87"/>
        <v>0-3</v>
      </c>
      <c r="AI1110">
        <v>1</v>
      </c>
      <c r="AJ1110" t="str">
        <f t="shared" si="88"/>
        <v>0-2</v>
      </c>
      <c r="AK1110">
        <v>2</v>
      </c>
    </row>
    <row r="1111" spans="1:37" x14ac:dyDescent="0.25">
      <c r="A1111" s="8">
        <v>1110</v>
      </c>
      <c r="B1111" t="s">
        <v>44</v>
      </c>
      <c r="C1111" t="s">
        <v>45</v>
      </c>
      <c r="D1111" s="8">
        <v>30</v>
      </c>
      <c r="E1111" t="str">
        <f t="shared" si="89"/>
        <v>26-35</v>
      </c>
      <c r="F1111" t="s">
        <v>46</v>
      </c>
      <c r="G1111" t="s">
        <v>39</v>
      </c>
      <c r="H1111" s="8" t="s">
        <v>40</v>
      </c>
      <c r="I1111" s="10">
        <v>29</v>
      </c>
      <c r="J1111" t="str">
        <f t="shared" si="85"/>
        <v>Far</v>
      </c>
      <c r="K1111">
        <v>4</v>
      </c>
      <c r="L1111" t="s">
        <v>63</v>
      </c>
      <c r="M1111">
        <v>3</v>
      </c>
      <c r="N1111">
        <v>3</v>
      </c>
      <c r="O1111">
        <v>3</v>
      </c>
      <c r="P1111" t="s">
        <v>42</v>
      </c>
      <c r="Q1111">
        <v>2</v>
      </c>
      <c r="R1111" s="11">
        <v>1288</v>
      </c>
      <c r="S1111" s="14">
        <v>33</v>
      </c>
      <c r="T1111" s="13">
        <v>9250</v>
      </c>
      <c r="U1111" s="13">
        <f t="shared" si="86"/>
        <v>111000</v>
      </c>
      <c r="V1111" s="14">
        <v>17799</v>
      </c>
      <c r="W1111">
        <v>3</v>
      </c>
      <c r="X1111" s="8" t="s">
        <v>46</v>
      </c>
      <c r="Y1111" s="15">
        <v>0.12</v>
      </c>
      <c r="Z1111">
        <v>3</v>
      </c>
      <c r="AA1111">
        <v>2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 t="str">
        <f t="shared" si="87"/>
        <v>0-3</v>
      </c>
      <c r="AI1111">
        <v>1</v>
      </c>
      <c r="AJ1111" t="str">
        <f t="shared" si="88"/>
        <v>0-2</v>
      </c>
      <c r="AK1111">
        <v>3</v>
      </c>
    </row>
    <row r="1112" spans="1:37" x14ac:dyDescent="0.25">
      <c r="A1112" s="8">
        <v>1111</v>
      </c>
      <c r="B1112" t="s">
        <v>52</v>
      </c>
      <c r="C1112" t="s">
        <v>54</v>
      </c>
      <c r="D1112" s="8">
        <v>35</v>
      </c>
      <c r="E1112" t="str">
        <f t="shared" si="89"/>
        <v>26-35</v>
      </c>
      <c r="F1112" t="s">
        <v>38</v>
      </c>
      <c r="G1112" t="s">
        <v>39</v>
      </c>
      <c r="H1112" s="8" t="s">
        <v>48</v>
      </c>
      <c r="I1112" s="10">
        <v>2</v>
      </c>
      <c r="J1112" t="str">
        <f t="shared" si="85"/>
        <v>Near</v>
      </c>
      <c r="K1112">
        <v>3</v>
      </c>
      <c r="L1112" t="s">
        <v>41</v>
      </c>
      <c r="M1112">
        <v>1</v>
      </c>
      <c r="N1112">
        <v>3</v>
      </c>
      <c r="O1112">
        <v>1</v>
      </c>
      <c r="P1112" t="s">
        <v>51</v>
      </c>
      <c r="Q1112">
        <v>1</v>
      </c>
      <c r="R1112" s="11">
        <v>104</v>
      </c>
      <c r="S1112" s="14">
        <v>69</v>
      </c>
      <c r="T1112" s="13">
        <v>2074</v>
      </c>
      <c r="U1112" s="13">
        <f t="shared" si="86"/>
        <v>24888</v>
      </c>
      <c r="V1112" s="14">
        <v>26619</v>
      </c>
      <c r="W1112">
        <v>1</v>
      </c>
      <c r="X1112" s="8" t="s">
        <v>38</v>
      </c>
      <c r="Y1112" s="15">
        <v>0.12</v>
      </c>
      <c r="Z1112">
        <v>3</v>
      </c>
      <c r="AA1112">
        <v>4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 t="str">
        <f t="shared" si="87"/>
        <v>0-3</v>
      </c>
      <c r="AI1112">
        <v>0</v>
      </c>
      <c r="AJ1112" t="str">
        <f t="shared" si="88"/>
        <v>0-2</v>
      </c>
      <c r="AK1112">
        <v>0</v>
      </c>
    </row>
    <row r="1113" spans="1:37" x14ac:dyDescent="0.25">
      <c r="A1113" s="8">
        <v>1112</v>
      </c>
      <c r="B1113" t="s">
        <v>52</v>
      </c>
      <c r="C1113" t="s">
        <v>45</v>
      </c>
      <c r="D1113" s="8">
        <v>53</v>
      </c>
      <c r="E1113" t="str">
        <f t="shared" si="89"/>
        <v>46-55</v>
      </c>
      <c r="F1113" t="s">
        <v>38</v>
      </c>
      <c r="G1113" t="s">
        <v>39</v>
      </c>
      <c r="H1113" s="8" t="s">
        <v>48</v>
      </c>
      <c r="I1113" s="10">
        <v>2</v>
      </c>
      <c r="J1113" t="str">
        <f t="shared" si="85"/>
        <v>Near</v>
      </c>
      <c r="K1113">
        <v>5</v>
      </c>
      <c r="L1113" t="s">
        <v>63</v>
      </c>
      <c r="M1113">
        <v>3</v>
      </c>
      <c r="N1113">
        <v>2</v>
      </c>
      <c r="O1113">
        <v>3</v>
      </c>
      <c r="P1113" t="s">
        <v>55</v>
      </c>
      <c r="Q1113">
        <v>4</v>
      </c>
      <c r="R1113" s="11">
        <v>607</v>
      </c>
      <c r="S1113" s="14">
        <v>78</v>
      </c>
      <c r="T1113" s="13">
        <v>10169</v>
      </c>
      <c r="U1113" s="13">
        <f t="shared" si="86"/>
        <v>122028</v>
      </c>
      <c r="V1113" s="14">
        <v>14618</v>
      </c>
      <c r="W1113">
        <v>0</v>
      </c>
      <c r="X1113" s="8" t="s">
        <v>46</v>
      </c>
      <c r="Y1113" s="15">
        <v>0.16</v>
      </c>
      <c r="Z1113">
        <v>3</v>
      </c>
      <c r="AA1113">
        <v>2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 t="str">
        <f t="shared" si="87"/>
        <v>4-7</v>
      </c>
      <c r="AI1113">
        <v>1</v>
      </c>
      <c r="AJ1113" t="str">
        <f t="shared" si="88"/>
        <v>0-2</v>
      </c>
      <c r="AK1113">
        <v>9</v>
      </c>
    </row>
    <row r="1114" spans="1:37" x14ac:dyDescent="0.25">
      <c r="A1114" s="8">
        <v>1113</v>
      </c>
      <c r="B1114" t="s">
        <v>44</v>
      </c>
      <c r="C1114" t="s">
        <v>45</v>
      </c>
      <c r="D1114" s="8">
        <v>38</v>
      </c>
      <c r="E1114" t="str">
        <f t="shared" si="89"/>
        <v>36-45</v>
      </c>
      <c r="F1114" t="s">
        <v>38</v>
      </c>
      <c r="G1114" t="s">
        <v>39</v>
      </c>
      <c r="H1114" s="8" t="s">
        <v>48</v>
      </c>
      <c r="I1114" s="10">
        <v>2</v>
      </c>
      <c r="J1114" t="str">
        <f t="shared" si="85"/>
        <v>Near</v>
      </c>
      <c r="K1114">
        <v>3</v>
      </c>
      <c r="L1114" t="s">
        <v>53</v>
      </c>
      <c r="M1114">
        <v>3</v>
      </c>
      <c r="N1114">
        <v>3</v>
      </c>
      <c r="O1114">
        <v>2</v>
      </c>
      <c r="P1114" t="s">
        <v>55</v>
      </c>
      <c r="Q1114">
        <v>2</v>
      </c>
      <c r="R1114" s="11">
        <v>903</v>
      </c>
      <c r="S1114" s="14">
        <v>81</v>
      </c>
      <c r="T1114" s="13">
        <v>4855</v>
      </c>
      <c r="U1114" s="13">
        <f t="shared" si="86"/>
        <v>58260</v>
      </c>
      <c r="V1114" s="14">
        <v>7653</v>
      </c>
      <c r="W1114">
        <v>4</v>
      </c>
      <c r="X1114" s="8" t="s">
        <v>46</v>
      </c>
      <c r="Y1114" s="15">
        <v>0.11</v>
      </c>
      <c r="Z1114">
        <v>3</v>
      </c>
      <c r="AA1114">
        <v>1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 t="str">
        <f t="shared" si="87"/>
        <v>0-3</v>
      </c>
      <c r="AI1114">
        <v>1</v>
      </c>
      <c r="AJ1114" t="str">
        <f t="shared" si="88"/>
        <v>0-2</v>
      </c>
      <c r="AK1114">
        <v>4</v>
      </c>
    </row>
    <row r="1115" spans="1:37" x14ac:dyDescent="0.25">
      <c r="A1115" s="8">
        <v>1114</v>
      </c>
      <c r="B1115" t="s">
        <v>44</v>
      </c>
      <c r="C1115" t="s">
        <v>45</v>
      </c>
      <c r="D1115" s="8">
        <v>32</v>
      </c>
      <c r="E1115" t="str">
        <f t="shared" si="89"/>
        <v>26-35</v>
      </c>
      <c r="F1115" t="s">
        <v>46</v>
      </c>
      <c r="G1115" t="s">
        <v>58</v>
      </c>
      <c r="H1115" s="8" t="s">
        <v>48</v>
      </c>
      <c r="I1115" s="10">
        <v>1</v>
      </c>
      <c r="J1115" t="str">
        <f t="shared" si="85"/>
        <v>Near</v>
      </c>
      <c r="K1115">
        <v>4</v>
      </c>
      <c r="L1115" t="s">
        <v>63</v>
      </c>
      <c r="M1115">
        <v>4</v>
      </c>
      <c r="N1115">
        <v>3</v>
      </c>
      <c r="O1115">
        <v>2</v>
      </c>
      <c r="P1115" t="s">
        <v>49</v>
      </c>
      <c r="Q1115">
        <v>1</v>
      </c>
      <c r="R1115" s="11">
        <v>1200</v>
      </c>
      <c r="S1115" s="14">
        <v>62</v>
      </c>
      <c r="T1115" s="13">
        <v>4087</v>
      </c>
      <c r="U1115" s="13">
        <f t="shared" si="86"/>
        <v>49044</v>
      </c>
      <c r="V1115" s="14">
        <v>25174</v>
      </c>
      <c r="W1115">
        <v>4</v>
      </c>
      <c r="X1115" s="8" t="s">
        <v>46</v>
      </c>
      <c r="Y1115" s="15">
        <v>0.14000000000000001</v>
      </c>
      <c r="Z1115">
        <v>3</v>
      </c>
      <c r="AA1115">
        <v>2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 t="str">
        <f t="shared" si="87"/>
        <v>4-7</v>
      </c>
      <c r="AI1115">
        <v>1</v>
      </c>
      <c r="AJ1115" t="str">
        <f t="shared" si="88"/>
        <v>0-2</v>
      </c>
      <c r="AK1115">
        <v>2</v>
      </c>
    </row>
    <row r="1116" spans="1:37" x14ac:dyDescent="0.25">
      <c r="A1116" s="8">
        <v>1115</v>
      </c>
      <c r="B1116" t="s">
        <v>52</v>
      </c>
      <c r="C1116" t="s">
        <v>45</v>
      </c>
      <c r="D1116" s="8">
        <v>48</v>
      </c>
      <c r="E1116" t="str">
        <f t="shared" si="89"/>
        <v>46-55</v>
      </c>
      <c r="F1116" t="s">
        <v>46</v>
      </c>
      <c r="G1116" t="s">
        <v>39</v>
      </c>
      <c r="H1116" s="8" t="s">
        <v>48</v>
      </c>
      <c r="I1116" s="10">
        <v>15</v>
      </c>
      <c r="J1116" t="str">
        <f t="shared" si="85"/>
        <v>Moderate</v>
      </c>
      <c r="K1116">
        <v>4</v>
      </c>
      <c r="L1116" t="s">
        <v>50</v>
      </c>
      <c r="M1116">
        <v>3</v>
      </c>
      <c r="N1116">
        <v>3</v>
      </c>
      <c r="O1116">
        <v>1</v>
      </c>
      <c r="P1116" t="s">
        <v>49</v>
      </c>
      <c r="Q1116">
        <v>1</v>
      </c>
      <c r="R1116" s="11">
        <v>1108</v>
      </c>
      <c r="S1116" s="14">
        <v>65</v>
      </c>
      <c r="T1116" s="13">
        <v>2367</v>
      </c>
      <c r="U1116" s="13">
        <f t="shared" si="86"/>
        <v>28404</v>
      </c>
      <c r="V1116" s="14">
        <v>16530</v>
      </c>
      <c r="W1116">
        <v>8</v>
      </c>
      <c r="X1116" s="8" t="s">
        <v>46</v>
      </c>
      <c r="Y1116" s="15">
        <v>0.12</v>
      </c>
      <c r="Z1116">
        <v>3</v>
      </c>
      <c r="AA1116">
        <v>4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 t="str">
        <f t="shared" si="87"/>
        <v>0-3</v>
      </c>
      <c r="AI1116">
        <v>7</v>
      </c>
      <c r="AJ1116" t="str">
        <f t="shared" si="88"/>
        <v>6-8</v>
      </c>
      <c r="AK1116">
        <v>6</v>
      </c>
    </row>
    <row r="1117" spans="1:37" x14ac:dyDescent="0.25">
      <c r="A1117" s="8">
        <v>1116</v>
      </c>
      <c r="B1117" t="s">
        <v>44</v>
      </c>
      <c r="C1117" t="s">
        <v>37</v>
      </c>
      <c r="D1117" s="8">
        <v>34</v>
      </c>
      <c r="E1117" t="str">
        <f t="shared" si="89"/>
        <v>26-35</v>
      </c>
      <c r="F1117" t="s">
        <v>46</v>
      </c>
      <c r="G1117" t="s">
        <v>39</v>
      </c>
      <c r="H1117" s="8" t="s">
        <v>48</v>
      </c>
      <c r="I1117" s="10">
        <v>7</v>
      </c>
      <c r="J1117" t="str">
        <f t="shared" si="85"/>
        <v>Moderate</v>
      </c>
      <c r="K1117">
        <v>4</v>
      </c>
      <c r="L1117" t="s">
        <v>53</v>
      </c>
      <c r="M1117">
        <v>1</v>
      </c>
      <c r="N1117">
        <v>3</v>
      </c>
      <c r="O1117">
        <v>1</v>
      </c>
      <c r="P1117" t="s">
        <v>49</v>
      </c>
      <c r="Q1117">
        <v>4</v>
      </c>
      <c r="R1117" s="11">
        <v>479</v>
      </c>
      <c r="S1117" s="14">
        <v>35</v>
      </c>
      <c r="T1117" s="13">
        <v>2972</v>
      </c>
      <c r="U1117" s="13">
        <f t="shared" si="86"/>
        <v>35664</v>
      </c>
      <c r="V1117" s="14">
        <v>22061</v>
      </c>
      <c r="W1117">
        <v>1</v>
      </c>
      <c r="X1117" s="8" t="s">
        <v>46</v>
      </c>
      <c r="Y1117" s="15">
        <v>0.13</v>
      </c>
      <c r="Z1117">
        <v>3</v>
      </c>
      <c r="AA1117">
        <v>3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 t="str">
        <f t="shared" si="87"/>
        <v>0-3</v>
      </c>
      <c r="AI1117">
        <v>0</v>
      </c>
      <c r="AJ1117" t="str">
        <f t="shared" si="88"/>
        <v>0-2</v>
      </c>
      <c r="AK1117">
        <v>0</v>
      </c>
    </row>
    <row r="1118" spans="1:37" x14ac:dyDescent="0.25">
      <c r="A1118" s="8">
        <v>1117</v>
      </c>
      <c r="B1118" t="s">
        <v>44</v>
      </c>
      <c r="C1118" t="s">
        <v>45</v>
      </c>
      <c r="D1118" s="8">
        <v>55</v>
      </c>
      <c r="E1118" t="str">
        <f t="shared" si="89"/>
        <v>46-55</v>
      </c>
      <c r="F1118" t="s">
        <v>46</v>
      </c>
      <c r="G1118" t="s">
        <v>39</v>
      </c>
      <c r="H1118" s="8" t="s">
        <v>40</v>
      </c>
      <c r="I1118" s="10">
        <v>26</v>
      </c>
      <c r="J1118" t="str">
        <f t="shared" si="85"/>
        <v>Far</v>
      </c>
      <c r="K1118">
        <v>5</v>
      </c>
      <c r="L1118" t="s">
        <v>62</v>
      </c>
      <c r="M1118">
        <v>3</v>
      </c>
      <c r="N1118">
        <v>2</v>
      </c>
      <c r="O1118">
        <v>5</v>
      </c>
      <c r="P1118" t="s">
        <v>59</v>
      </c>
      <c r="Q1118">
        <v>4</v>
      </c>
      <c r="R1118" s="11">
        <v>685</v>
      </c>
      <c r="S1118" s="14">
        <v>60</v>
      </c>
      <c r="T1118" s="13">
        <v>19586</v>
      </c>
      <c r="U1118" s="13">
        <f t="shared" si="86"/>
        <v>235032</v>
      </c>
      <c r="V1118" s="14">
        <v>23037</v>
      </c>
      <c r="W1118">
        <v>1</v>
      </c>
      <c r="X1118" s="8" t="s">
        <v>46</v>
      </c>
      <c r="Y1118" s="15">
        <v>0.21</v>
      </c>
      <c r="Z1118">
        <v>4</v>
      </c>
      <c r="AA1118">
        <v>3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 t="str">
        <f t="shared" si="87"/>
        <v>4-7</v>
      </c>
      <c r="AI1118">
        <v>2</v>
      </c>
      <c r="AJ1118" t="str">
        <f t="shared" si="88"/>
        <v>0-2</v>
      </c>
      <c r="AK1118">
        <v>13</v>
      </c>
    </row>
    <row r="1119" spans="1:37" x14ac:dyDescent="0.25">
      <c r="A1119" s="8">
        <v>1118</v>
      </c>
      <c r="B1119" t="s">
        <v>44</v>
      </c>
      <c r="C1119" t="s">
        <v>45</v>
      </c>
      <c r="D1119" s="8">
        <v>34</v>
      </c>
      <c r="E1119" t="str">
        <f t="shared" si="89"/>
        <v>26-35</v>
      </c>
      <c r="F1119" t="s">
        <v>46</v>
      </c>
      <c r="G1119" t="s">
        <v>39</v>
      </c>
      <c r="H1119" s="8" t="s">
        <v>48</v>
      </c>
      <c r="I1119" s="10">
        <v>1</v>
      </c>
      <c r="J1119" t="str">
        <f t="shared" si="85"/>
        <v>Near</v>
      </c>
      <c r="K1119">
        <v>4</v>
      </c>
      <c r="L1119" t="s">
        <v>41</v>
      </c>
      <c r="M1119">
        <v>2</v>
      </c>
      <c r="N1119">
        <v>3</v>
      </c>
      <c r="O1119">
        <v>2</v>
      </c>
      <c r="P1119" t="s">
        <v>49</v>
      </c>
      <c r="Q1119">
        <v>4</v>
      </c>
      <c r="R1119" s="11">
        <v>1351</v>
      </c>
      <c r="S1119" s="14">
        <v>45</v>
      </c>
      <c r="T1119" s="13">
        <v>5484</v>
      </c>
      <c r="U1119" s="13">
        <f t="shared" si="86"/>
        <v>65808</v>
      </c>
      <c r="V1119" s="14">
        <v>13008</v>
      </c>
      <c r="W1119">
        <v>9</v>
      </c>
      <c r="X1119" s="8" t="s">
        <v>46</v>
      </c>
      <c r="Y1119" s="15">
        <v>0.17</v>
      </c>
      <c r="Z1119">
        <v>3</v>
      </c>
      <c r="AA1119">
        <v>2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 t="str">
        <f t="shared" si="87"/>
        <v>0-3</v>
      </c>
      <c r="AI1119">
        <v>2</v>
      </c>
      <c r="AJ1119" t="str">
        <f t="shared" si="88"/>
        <v>0-2</v>
      </c>
      <c r="AK1119">
        <v>1</v>
      </c>
    </row>
    <row r="1120" spans="1:37" x14ac:dyDescent="0.25">
      <c r="A1120" s="8">
        <v>1119</v>
      </c>
      <c r="B1120" t="s">
        <v>52</v>
      </c>
      <c r="C1120" t="s">
        <v>45</v>
      </c>
      <c r="D1120" s="8">
        <v>26</v>
      </c>
      <c r="E1120" t="str">
        <f t="shared" si="89"/>
        <v>26-35</v>
      </c>
      <c r="F1120" t="s">
        <v>46</v>
      </c>
      <c r="G1120" t="s">
        <v>39</v>
      </c>
      <c r="H1120" s="8" t="s">
        <v>48</v>
      </c>
      <c r="I1120" s="10">
        <v>3</v>
      </c>
      <c r="J1120" t="str">
        <f t="shared" si="85"/>
        <v>Near</v>
      </c>
      <c r="K1120">
        <v>3</v>
      </c>
      <c r="L1120" t="s">
        <v>41</v>
      </c>
      <c r="M1120">
        <v>1</v>
      </c>
      <c r="N1120">
        <v>3</v>
      </c>
      <c r="O1120">
        <v>1</v>
      </c>
      <c r="P1120" t="s">
        <v>49</v>
      </c>
      <c r="Q1120">
        <v>4</v>
      </c>
      <c r="R1120" s="11">
        <v>474</v>
      </c>
      <c r="S1120" s="14">
        <v>89</v>
      </c>
      <c r="T1120" s="13">
        <v>2061</v>
      </c>
      <c r="U1120" s="13">
        <f t="shared" si="86"/>
        <v>24732</v>
      </c>
      <c r="V1120" s="14">
        <v>11133</v>
      </c>
      <c r="W1120">
        <v>1</v>
      </c>
      <c r="X1120" s="8" t="s">
        <v>46</v>
      </c>
      <c r="Y1120" s="15">
        <v>0.21</v>
      </c>
      <c r="Z1120">
        <v>4</v>
      </c>
      <c r="AA1120">
        <v>1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 t="str">
        <f t="shared" si="87"/>
        <v>0-3</v>
      </c>
      <c r="AI1120">
        <v>0</v>
      </c>
      <c r="AJ1120" t="str">
        <f t="shared" si="88"/>
        <v>0-2</v>
      </c>
      <c r="AK1120">
        <v>0</v>
      </c>
    </row>
    <row r="1121" spans="1:37" x14ac:dyDescent="0.25">
      <c r="A1121" s="8">
        <v>1120</v>
      </c>
      <c r="B1121" t="s">
        <v>44</v>
      </c>
      <c r="C1121" t="s">
        <v>45</v>
      </c>
      <c r="D1121" s="8">
        <v>38</v>
      </c>
      <c r="E1121" t="str">
        <f t="shared" si="89"/>
        <v>36-45</v>
      </c>
      <c r="F1121" t="s">
        <v>46</v>
      </c>
      <c r="G1121" t="s">
        <v>39</v>
      </c>
      <c r="H1121" s="8" t="s">
        <v>40</v>
      </c>
      <c r="I1121" s="10">
        <v>14</v>
      </c>
      <c r="J1121" t="str">
        <f t="shared" si="85"/>
        <v>Moderate</v>
      </c>
      <c r="K1121">
        <v>3</v>
      </c>
      <c r="L1121" t="s">
        <v>41</v>
      </c>
      <c r="M1121">
        <v>3</v>
      </c>
      <c r="N1121">
        <v>3</v>
      </c>
      <c r="O1121">
        <v>2</v>
      </c>
      <c r="P1121" t="s">
        <v>42</v>
      </c>
      <c r="Q1121">
        <v>2</v>
      </c>
      <c r="R1121" s="11">
        <v>1245</v>
      </c>
      <c r="S1121" s="14">
        <v>80</v>
      </c>
      <c r="T1121" s="13">
        <v>9924</v>
      </c>
      <c r="U1121" s="13">
        <f t="shared" si="86"/>
        <v>119088</v>
      </c>
      <c r="V1121" s="14">
        <v>12355</v>
      </c>
      <c r="W1121">
        <v>0</v>
      </c>
      <c r="X1121" s="8" t="s">
        <v>46</v>
      </c>
      <c r="Y1121" s="15">
        <v>0.11</v>
      </c>
      <c r="Z1121">
        <v>3</v>
      </c>
      <c r="AA1121">
        <v>4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 t="str">
        <f t="shared" si="87"/>
        <v>8-11</v>
      </c>
      <c r="AI1121">
        <v>7</v>
      </c>
      <c r="AJ1121" t="str">
        <f t="shared" si="88"/>
        <v>6-8</v>
      </c>
      <c r="AK1121">
        <v>7</v>
      </c>
    </row>
    <row r="1122" spans="1:37" x14ac:dyDescent="0.25">
      <c r="A1122" s="8">
        <v>1121</v>
      </c>
      <c r="B1122" t="s">
        <v>52</v>
      </c>
      <c r="C1122" t="s">
        <v>37</v>
      </c>
      <c r="D1122" s="8">
        <v>38</v>
      </c>
      <c r="E1122" t="str">
        <f t="shared" si="89"/>
        <v>36-45</v>
      </c>
      <c r="F1122" t="s">
        <v>46</v>
      </c>
      <c r="G1122" t="s">
        <v>39</v>
      </c>
      <c r="H1122" s="8" t="s">
        <v>40</v>
      </c>
      <c r="I1122" s="10">
        <v>16</v>
      </c>
      <c r="J1122" t="str">
        <f t="shared" si="85"/>
        <v>Far</v>
      </c>
      <c r="K1122">
        <v>3</v>
      </c>
      <c r="L1122" t="s">
        <v>41</v>
      </c>
      <c r="M1122">
        <v>2</v>
      </c>
      <c r="N1122">
        <v>3</v>
      </c>
      <c r="O1122">
        <v>2</v>
      </c>
      <c r="P1122" t="s">
        <v>42</v>
      </c>
      <c r="Q1122">
        <v>2</v>
      </c>
      <c r="R1122" s="11">
        <v>437</v>
      </c>
      <c r="S1122" s="14">
        <v>90</v>
      </c>
      <c r="T1122" s="13">
        <v>4198</v>
      </c>
      <c r="U1122" s="13">
        <f t="shared" si="86"/>
        <v>50376</v>
      </c>
      <c r="V1122" s="14">
        <v>16379</v>
      </c>
      <c r="W1122">
        <v>2</v>
      </c>
      <c r="X1122" s="8" t="s">
        <v>46</v>
      </c>
      <c r="Y1122" s="15">
        <v>0.12</v>
      </c>
      <c r="Z1122">
        <v>3</v>
      </c>
      <c r="AA1122">
        <v>2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 t="str">
        <f t="shared" si="87"/>
        <v>0-3</v>
      </c>
      <c r="AI1122">
        <v>1</v>
      </c>
      <c r="AJ1122" t="str">
        <f t="shared" si="88"/>
        <v>0-2</v>
      </c>
      <c r="AK1122">
        <v>2</v>
      </c>
    </row>
    <row r="1123" spans="1:37" x14ac:dyDescent="0.25">
      <c r="A1123" s="8">
        <v>1122</v>
      </c>
      <c r="B1123" t="s">
        <v>52</v>
      </c>
      <c r="C1123" t="s">
        <v>37</v>
      </c>
      <c r="D1123" s="8">
        <v>36</v>
      </c>
      <c r="E1123" t="str">
        <f t="shared" si="89"/>
        <v>36-45</v>
      </c>
      <c r="F1123" t="s">
        <v>46</v>
      </c>
      <c r="G1123" t="s">
        <v>39</v>
      </c>
      <c r="H1123" s="8" t="s">
        <v>40</v>
      </c>
      <c r="I1123" s="10">
        <v>1</v>
      </c>
      <c r="J1123" t="str">
        <f t="shared" si="85"/>
        <v>Near</v>
      </c>
      <c r="K1123">
        <v>4</v>
      </c>
      <c r="L1123" t="s">
        <v>41</v>
      </c>
      <c r="M1123">
        <v>2</v>
      </c>
      <c r="N1123">
        <v>3</v>
      </c>
      <c r="O1123">
        <v>2</v>
      </c>
      <c r="P1123" t="s">
        <v>42</v>
      </c>
      <c r="Q1123">
        <v>3</v>
      </c>
      <c r="R1123" s="11">
        <v>884</v>
      </c>
      <c r="S1123" s="14">
        <v>73</v>
      </c>
      <c r="T1123" s="13">
        <v>6815</v>
      </c>
      <c r="U1123" s="13">
        <f t="shared" si="86"/>
        <v>81780</v>
      </c>
      <c r="V1123" s="14">
        <v>21447</v>
      </c>
      <c r="W1123">
        <v>6</v>
      </c>
      <c r="X1123" s="8" t="s">
        <v>46</v>
      </c>
      <c r="Y1123" s="15">
        <v>0.13</v>
      </c>
      <c r="Z1123">
        <v>3</v>
      </c>
      <c r="AA1123">
        <v>1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 t="str">
        <f t="shared" si="87"/>
        <v>0-3</v>
      </c>
      <c r="AI1123">
        <v>0</v>
      </c>
      <c r="AJ1123" t="str">
        <f t="shared" si="88"/>
        <v>0-2</v>
      </c>
      <c r="AK1123">
        <v>0</v>
      </c>
    </row>
    <row r="1124" spans="1:37" x14ac:dyDescent="0.25">
      <c r="A1124" s="8">
        <v>1123</v>
      </c>
      <c r="B1124" t="s">
        <v>44</v>
      </c>
      <c r="C1124" t="s">
        <v>37</v>
      </c>
      <c r="D1124" s="8">
        <v>29</v>
      </c>
      <c r="E1124" t="str">
        <f t="shared" si="89"/>
        <v>26-35</v>
      </c>
      <c r="F1124" t="s">
        <v>46</v>
      </c>
      <c r="G1124" t="s">
        <v>39</v>
      </c>
      <c r="H1124" s="8" t="s">
        <v>48</v>
      </c>
      <c r="I1124" s="10">
        <v>3</v>
      </c>
      <c r="J1124" t="str">
        <f t="shared" si="85"/>
        <v>Near</v>
      </c>
      <c r="K1124">
        <v>1</v>
      </c>
      <c r="L1124" t="s">
        <v>53</v>
      </c>
      <c r="M1124">
        <v>2</v>
      </c>
      <c r="N1124">
        <v>3</v>
      </c>
      <c r="O1124">
        <v>1</v>
      </c>
      <c r="P1124" t="s">
        <v>51</v>
      </c>
      <c r="Q1124">
        <v>1</v>
      </c>
      <c r="R1124" s="11">
        <v>1370</v>
      </c>
      <c r="S1124" s="14">
        <v>87</v>
      </c>
      <c r="T1124" s="13">
        <v>4723</v>
      </c>
      <c r="U1124" s="13">
        <f t="shared" si="86"/>
        <v>56676</v>
      </c>
      <c r="V1124" s="14">
        <v>16213</v>
      </c>
      <c r="W1124">
        <v>1</v>
      </c>
      <c r="X1124" s="8" t="s">
        <v>38</v>
      </c>
      <c r="Y1124" s="15">
        <v>0.18</v>
      </c>
      <c r="Z1124">
        <v>3</v>
      </c>
      <c r="AA1124">
        <v>4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 t="str">
        <f t="shared" si="87"/>
        <v>8-11</v>
      </c>
      <c r="AI1124">
        <v>1</v>
      </c>
      <c r="AJ1124" t="str">
        <f t="shared" si="88"/>
        <v>0-2</v>
      </c>
      <c r="AK1124">
        <v>5</v>
      </c>
    </row>
    <row r="1125" spans="1:37" x14ac:dyDescent="0.25">
      <c r="A1125" s="8">
        <v>1124</v>
      </c>
      <c r="B1125" t="s">
        <v>52</v>
      </c>
      <c r="C1125" t="s">
        <v>37</v>
      </c>
      <c r="D1125" s="8">
        <v>35</v>
      </c>
      <c r="E1125" t="str">
        <f t="shared" si="89"/>
        <v>26-35</v>
      </c>
      <c r="F1125" t="s">
        <v>46</v>
      </c>
      <c r="G1125" t="s">
        <v>39</v>
      </c>
      <c r="H1125" s="8" t="s">
        <v>48</v>
      </c>
      <c r="I1125" s="10">
        <v>10</v>
      </c>
      <c r="J1125" t="str">
        <f t="shared" si="85"/>
        <v>Moderate</v>
      </c>
      <c r="K1125">
        <v>4</v>
      </c>
      <c r="L1125" t="s">
        <v>53</v>
      </c>
      <c r="M1125">
        <v>1</v>
      </c>
      <c r="N1125">
        <v>3</v>
      </c>
      <c r="O1125">
        <v>2</v>
      </c>
      <c r="P1125" t="s">
        <v>56</v>
      </c>
      <c r="Q1125">
        <v>3</v>
      </c>
      <c r="R1125" s="11">
        <v>670</v>
      </c>
      <c r="S1125" s="14">
        <v>51</v>
      </c>
      <c r="T1125" s="13">
        <v>6142</v>
      </c>
      <c r="U1125" s="13">
        <f t="shared" si="86"/>
        <v>73704</v>
      </c>
      <c r="V1125" s="14">
        <v>4223</v>
      </c>
      <c r="W1125">
        <v>3</v>
      </c>
      <c r="X1125" s="8" t="s">
        <v>38</v>
      </c>
      <c r="Y1125" s="15">
        <v>0.16</v>
      </c>
      <c r="Z1125">
        <v>3</v>
      </c>
      <c r="AA1125">
        <v>3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 t="str">
        <f t="shared" si="87"/>
        <v>0-3</v>
      </c>
      <c r="AI1125">
        <v>0</v>
      </c>
      <c r="AJ1125" t="str">
        <f t="shared" si="88"/>
        <v>0-2</v>
      </c>
      <c r="AK1125">
        <v>4</v>
      </c>
    </row>
    <row r="1126" spans="1:37" x14ac:dyDescent="0.25">
      <c r="A1126" s="8">
        <v>1125</v>
      </c>
      <c r="B1126" t="s">
        <v>44</v>
      </c>
      <c r="C1126" t="s">
        <v>45</v>
      </c>
      <c r="D1126" s="8">
        <v>39</v>
      </c>
      <c r="E1126" t="str">
        <f t="shared" si="89"/>
        <v>36-45</v>
      </c>
      <c r="F1126" t="s">
        <v>46</v>
      </c>
      <c r="G1126" t="s">
        <v>39</v>
      </c>
      <c r="H1126" s="8" t="s">
        <v>40</v>
      </c>
      <c r="I1126" s="10">
        <v>6</v>
      </c>
      <c r="J1126" t="str">
        <f t="shared" si="85"/>
        <v>Moderate</v>
      </c>
      <c r="K1126">
        <v>3</v>
      </c>
      <c r="L1126" t="s">
        <v>53</v>
      </c>
      <c r="M1126">
        <v>4</v>
      </c>
      <c r="N1126">
        <v>4</v>
      </c>
      <c r="O1126">
        <v>3</v>
      </c>
      <c r="P1126" t="s">
        <v>42</v>
      </c>
      <c r="Q1126">
        <v>3</v>
      </c>
      <c r="R1126" s="11">
        <v>1462</v>
      </c>
      <c r="S1126" s="14">
        <v>38</v>
      </c>
      <c r="T1126" s="13">
        <v>8237</v>
      </c>
      <c r="U1126" s="13">
        <f t="shared" si="86"/>
        <v>98844</v>
      </c>
      <c r="V1126" s="14">
        <v>4658</v>
      </c>
      <c r="W1126">
        <v>2</v>
      </c>
      <c r="X1126" s="8" t="s">
        <v>46</v>
      </c>
      <c r="Y1126" s="15">
        <v>0.11</v>
      </c>
      <c r="Z1126">
        <v>3</v>
      </c>
      <c r="AA1126">
        <v>1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 t="str">
        <f t="shared" si="87"/>
        <v>4-7</v>
      </c>
      <c r="AI1126">
        <v>7</v>
      </c>
      <c r="AJ1126" t="str">
        <f t="shared" si="88"/>
        <v>6-8</v>
      </c>
      <c r="AK1126">
        <v>6</v>
      </c>
    </row>
    <row r="1127" spans="1:37" x14ac:dyDescent="0.25">
      <c r="A1127" s="8">
        <v>1126</v>
      </c>
      <c r="B1127" t="s">
        <v>44</v>
      </c>
      <c r="C1127" t="s">
        <v>54</v>
      </c>
      <c r="D1127" s="8">
        <v>29</v>
      </c>
      <c r="E1127" t="str">
        <f t="shared" si="89"/>
        <v>26-35</v>
      </c>
      <c r="F1127" t="s">
        <v>46</v>
      </c>
      <c r="G1127" t="s">
        <v>47</v>
      </c>
      <c r="H1127" s="8" t="s">
        <v>48</v>
      </c>
      <c r="I1127" s="10">
        <v>2</v>
      </c>
      <c r="J1127" t="str">
        <f t="shared" si="85"/>
        <v>Near</v>
      </c>
      <c r="K1127">
        <v>1</v>
      </c>
      <c r="L1127" t="s">
        <v>41</v>
      </c>
      <c r="M1127">
        <v>1</v>
      </c>
      <c r="N1127">
        <v>3</v>
      </c>
      <c r="O1127">
        <v>2</v>
      </c>
      <c r="P1127" t="s">
        <v>56</v>
      </c>
      <c r="Q1127">
        <v>4</v>
      </c>
      <c r="R1127" s="11">
        <v>995</v>
      </c>
      <c r="S1127" s="14">
        <v>87</v>
      </c>
      <c r="T1127" s="13">
        <v>8853</v>
      </c>
      <c r="U1127" s="13">
        <f t="shared" si="86"/>
        <v>106236</v>
      </c>
      <c r="V1127" s="14">
        <v>24483</v>
      </c>
      <c r="W1127">
        <v>1</v>
      </c>
      <c r="X1127" s="8" t="s">
        <v>46</v>
      </c>
      <c r="Y1127" s="15">
        <v>0.19</v>
      </c>
      <c r="Z1127">
        <v>3</v>
      </c>
      <c r="AA1127">
        <v>4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 t="str">
        <f t="shared" si="87"/>
        <v>4-7</v>
      </c>
      <c r="AI1127">
        <v>1</v>
      </c>
      <c r="AJ1127" t="str">
        <f t="shared" si="88"/>
        <v>0-2</v>
      </c>
      <c r="AK1127">
        <v>3</v>
      </c>
    </row>
    <row r="1128" spans="1:37" x14ac:dyDescent="0.25">
      <c r="A1128" s="8">
        <v>1127</v>
      </c>
      <c r="B1128" t="s">
        <v>44</v>
      </c>
      <c r="C1128" t="s">
        <v>45</v>
      </c>
      <c r="D1128" s="8">
        <v>50</v>
      </c>
      <c r="E1128" t="str">
        <f t="shared" si="89"/>
        <v>46-55</v>
      </c>
      <c r="F1128" t="s">
        <v>46</v>
      </c>
      <c r="G1128" t="s">
        <v>39</v>
      </c>
      <c r="H1128" s="8" t="s">
        <v>40</v>
      </c>
      <c r="I1128" s="10">
        <v>9</v>
      </c>
      <c r="J1128" t="str">
        <f t="shared" si="85"/>
        <v>Moderate</v>
      </c>
      <c r="K1128">
        <v>3</v>
      </c>
      <c r="L1128" t="s">
        <v>62</v>
      </c>
      <c r="M1128">
        <v>3</v>
      </c>
      <c r="N1128">
        <v>3</v>
      </c>
      <c r="O1128">
        <v>5</v>
      </c>
      <c r="P1128" t="s">
        <v>59</v>
      </c>
      <c r="Q1128">
        <v>3</v>
      </c>
      <c r="R1128" s="11">
        <v>264</v>
      </c>
      <c r="S1128" s="14">
        <v>59</v>
      </c>
      <c r="T1128" s="13">
        <v>19331</v>
      </c>
      <c r="U1128" s="13">
        <f t="shared" si="86"/>
        <v>231972</v>
      </c>
      <c r="V1128" s="14">
        <v>19519</v>
      </c>
      <c r="W1128">
        <v>4</v>
      </c>
      <c r="X1128" s="8" t="s">
        <v>38</v>
      </c>
      <c r="Y1128" s="15">
        <v>0.16</v>
      </c>
      <c r="Z1128">
        <v>3</v>
      </c>
      <c r="AA1128">
        <v>3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 t="str">
        <f t="shared" si="87"/>
        <v>0-3</v>
      </c>
      <c r="AI1128">
        <v>0</v>
      </c>
      <c r="AJ1128" t="str">
        <f t="shared" si="88"/>
        <v>0-2</v>
      </c>
      <c r="AK1128">
        <v>0</v>
      </c>
    </row>
    <row r="1129" spans="1:37" x14ac:dyDescent="0.25">
      <c r="A1129" s="8">
        <v>1128</v>
      </c>
      <c r="B1129" t="s">
        <v>44</v>
      </c>
      <c r="C1129" t="s">
        <v>45</v>
      </c>
      <c r="D1129" s="8">
        <v>23</v>
      </c>
      <c r="E1129" t="str">
        <f t="shared" si="89"/>
        <v>18-25</v>
      </c>
      <c r="F1129" t="s">
        <v>46</v>
      </c>
      <c r="G1129" t="s">
        <v>39</v>
      </c>
      <c r="H1129" s="8" t="s">
        <v>48</v>
      </c>
      <c r="I1129" s="10">
        <v>10</v>
      </c>
      <c r="J1129" t="str">
        <f t="shared" si="85"/>
        <v>Moderate</v>
      </c>
      <c r="K1129">
        <v>3</v>
      </c>
      <c r="L1129" t="s">
        <v>63</v>
      </c>
      <c r="M1129">
        <v>4</v>
      </c>
      <c r="N1129">
        <v>4</v>
      </c>
      <c r="O1129">
        <v>1</v>
      </c>
      <c r="P1129" t="s">
        <v>49</v>
      </c>
      <c r="Q1129">
        <v>3</v>
      </c>
      <c r="R1129" s="11">
        <v>977</v>
      </c>
      <c r="S1129" s="14">
        <v>45</v>
      </c>
      <c r="T1129" s="13">
        <v>2073</v>
      </c>
      <c r="U1129" s="13">
        <f t="shared" si="86"/>
        <v>24876</v>
      </c>
      <c r="V1129" s="14">
        <v>12826</v>
      </c>
      <c r="W1129">
        <v>2</v>
      </c>
      <c r="X1129" s="8" t="s">
        <v>46</v>
      </c>
      <c r="Y1129" s="15">
        <v>0.16</v>
      </c>
      <c r="Z1129">
        <v>3</v>
      </c>
      <c r="AA1129">
        <v>4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 t="str">
        <f t="shared" si="87"/>
        <v>0-3</v>
      </c>
      <c r="AI1129">
        <v>2</v>
      </c>
      <c r="AJ1129" t="str">
        <f t="shared" si="88"/>
        <v>0-2</v>
      </c>
      <c r="AK1129">
        <v>2</v>
      </c>
    </row>
    <row r="1130" spans="1:37" x14ac:dyDescent="0.25">
      <c r="A1130" s="8">
        <v>1129</v>
      </c>
      <c r="B1130" t="s">
        <v>44</v>
      </c>
      <c r="C1130" t="s">
        <v>45</v>
      </c>
      <c r="D1130" s="8">
        <v>36</v>
      </c>
      <c r="E1130" t="str">
        <f t="shared" si="89"/>
        <v>36-45</v>
      </c>
      <c r="F1130" t="s">
        <v>46</v>
      </c>
      <c r="G1130" t="s">
        <v>47</v>
      </c>
      <c r="H1130" s="8" t="s">
        <v>48</v>
      </c>
      <c r="I1130" s="10">
        <v>6</v>
      </c>
      <c r="J1130" t="str">
        <f t="shared" si="85"/>
        <v>Moderate</v>
      </c>
      <c r="K1130">
        <v>4</v>
      </c>
      <c r="L1130" t="s">
        <v>41</v>
      </c>
      <c r="M1130">
        <v>1</v>
      </c>
      <c r="N1130">
        <v>4</v>
      </c>
      <c r="O1130">
        <v>2</v>
      </c>
      <c r="P1130" t="s">
        <v>51</v>
      </c>
      <c r="Q1130">
        <v>1</v>
      </c>
      <c r="R1130" s="11">
        <v>1302</v>
      </c>
      <c r="S1130" s="14">
        <v>80</v>
      </c>
      <c r="T1130" s="13">
        <v>5562</v>
      </c>
      <c r="U1130" s="13">
        <f t="shared" si="86"/>
        <v>66744</v>
      </c>
      <c r="V1130" s="14">
        <v>19711</v>
      </c>
      <c r="W1130">
        <v>3</v>
      </c>
      <c r="X1130" s="8" t="s">
        <v>38</v>
      </c>
      <c r="Y1130" s="15">
        <v>0.13</v>
      </c>
      <c r="Z1130">
        <v>3</v>
      </c>
      <c r="AA1130">
        <v>4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 t="str">
        <f t="shared" si="87"/>
        <v>0-3</v>
      </c>
      <c r="AI1130">
        <v>0</v>
      </c>
      <c r="AJ1130" t="str">
        <f t="shared" si="88"/>
        <v>0-2</v>
      </c>
      <c r="AK1130">
        <v>2</v>
      </c>
    </row>
    <row r="1131" spans="1:37" x14ac:dyDescent="0.25">
      <c r="A1131" s="8">
        <v>1130</v>
      </c>
      <c r="B1131" t="s">
        <v>44</v>
      </c>
      <c r="C1131" t="s">
        <v>37</v>
      </c>
      <c r="D1131" s="8">
        <v>42</v>
      </c>
      <c r="E1131" t="str">
        <f t="shared" si="89"/>
        <v>36-45</v>
      </c>
      <c r="F1131" t="s">
        <v>46</v>
      </c>
      <c r="G1131" t="s">
        <v>39</v>
      </c>
      <c r="H1131" s="8" t="s">
        <v>48</v>
      </c>
      <c r="I1131" s="10">
        <v>9</v>
      </c>
      <c r="J1131" t="str">
        <f t="shared" si="85"/>
        <v>Moderate</v>
      </c>
      <c r="K1131">
        <v>2</v>
      </c>
      <c r="L1131" t="s">
        <v>50</v>
      </c>
      <c r="M1131">
        <v>4</v>
      </c>
      <c r="N1131">
        <v>2</v>
      </c>
      <c r="O1131">
        <v>5</v>
      </c>
      <c r="P1131" t="s">
        <v>59</v>
      </c>
      <c r="Q1131">
        <v>4</v>
      </c>
      <c r="R1131" s="11">
        <v>1059</v>
      </c>
      <c r="S1131" s="14">
        <v>93</v>
      </c>
      <c r="T1131" s="13">
        <v>19613</v>
      </c>
      <c r="U1131" s="13">
        <f t="shared" si="86"/>
        <v>235356</v>
      </c>
      <c r="V1131" s="14">
        <v>26362</v>
      </c>
      <c r="W1131">
        <v>8</v>
      </c>
      <c r="X1131" s="8" t="s">
        <v>46</v>
      </c>
      <c r="Y1131" s="15">
        <v>0.22</v>
      </c>
      <c r="Z1131">
        <v>4</v>
      </c>
      <c r="AA1131">
        <v>4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 t="str">
        <f t="shared" si="87"/>
        <v>0-3</v>
      </c>
      <c r="AI1131">
        <v>0</v>
      </c>
      <c r="AJ1131" t="str">
        <f t="shared" si="88"/>
        <v>0-2</v>
      </c>
      <c r="AK1131">
        <v>1</v>
      </c>
    </row>
    <row r="1132" spans="1:37" x14ac:dyDescent="0.25">
      <c r="A1132" s="8">
        <v>1131</v>
      </c>
      <c r="B1132" t="s">
        <v>44</v>
      </c>
      <c r="C1132" t="s">
        <v>45</v>
      </c>
      <c r="D1132" s="8">
        <v>35</v>
      </c>
      <c r="E1132" t="str">
        <f t="shared" si="89"/>
        <v>26-35</v>
      </c>
      <c r="F1132" t="s">
        <v>46</v>
      </c>
      <c r="G1132" t="s">
        <v>39</v>
      </c>
      <c r="H1132" s="8" t="s">
        <v>48</v>
      </c>
      <c r="I1132" s="10">
        <v>28</v>
      </c>
      <c r="J1132" t="str">
        <f t="shared" si="85"/>
        <v>Far</v>
      </c>
      <c r="K1132">
        <v>3</v>
      </c>
      <c r="L1132" t="s">
        <v>41</v>
      </c>
      <c r="M1132">
        <v>2</v>
      </c>
      <c r="N1132">
        <v>4</v>
      </c>
      <c r="O1132">
        <v>2</v>
      </c>
      <c r="P1132" t="s">
        <v>51</v>
      </c>
      <c r="Q1132">
        <v>3</v>
      </c>
      <c r="R1132" s="11">
        <v>750</v>
      </c>
      <c r="S1132" s="14">
        <v>46</v>
      </c>
      <c r="T1132" s="13">
        <v>3407</v>
      </c>
      <c r="U1132" s="13">
        <f t="shared" si="86"/>
        <v>40884</v>
      </c>
      <c r="V1132" s="14">
        <v>25348</v>
      </c>
      <c r="W1132">
        <v>1</v>
      </c>
      <c r="X1132" s="8" t="s">
        <v>46</v>
      </c>
      <c r="Y1132" s="15">
        <v>0.17</v>
      </c>
      <c r="Z1132">
        <v>3</v>
      </c>
      <c r="AA1132">
        <v>4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 t="str">
        <f t="shared" si="87"/>
        <v>8-11</v>
      </c>
      <c r="AI1132">
        <v>6</v>
      </c>
      <c r="AJ1132" t="str">
        <f t="shared" si="88"/>
        <v>6-8</v>
      </c>
      <c r="AK1132">
        <v>8</v>
      </c>
    </row>
    <row r="1133" spans="1:37" x14ac:dyDescent="0.25">
      <c r="A1133" s="8">
        <v>1132</v>
      </c>
      <c r="B1133" t="s">
        <v>44</v>
      </c>
      <c r="C1133" t="s">
        <v>45</v>
      </c>
      <c r="D1133" s="8">
        <v>34</v>
      </c>
      <c r="E1133" t="str">
        <f t="shared" si="89"/>
        <v>26-35</v>
      </c>
      <c r="F1133" t="s">
        <v>46</v>
      </c>
      <c r="G1133" t="s">
        <v>47</v>
      </c>
      <c r="H1133" s="8" t="s">
        <v>48</v>
      </c>
      <c r="I1133" s="10">
        <v>10</v>
      </c>
      <c r="J1133" t="str">
        <f t="shared" si="85"/>
        <v>Moderate</v>
      </c>
      <c r="K1133">
        <v>4</v>
      </c>
      <c r="L1133" t="s">
        <v>63</v>
      </c>
      <c r="M1133">
        <v>4</v>
      </c>
      <c r="N1133">
        <v>2</v>
      </c>
      <c r="O1133">
        <v>2</v>
      </c>
      <c r="P1133" t="s">
        <v>56</v>
      </c>
      <c r="Q1133">
        <v>3</v>
      </c>
      <c r="R1133" s="11">
        <v>653</v>
      </c>
      <c r="S1133" s="14">
        <v>92</v>
      </c>
      <c r="T1133" s="13">
        <v>5063</v>
      </c>
      <c r="U1133" s="13">
        <f t="shared" si="86"/>
        <v>60756</v>
      </c>
      <c r="V1133" s="14">
        <v>15332</v>
      </c>
      <c r="W1133">
        <v>1</v>
      </c>
      <c r="X1133" s="8" t="s">
        <v>46</v>
      </c>
      <c r="Y1133" s="15">
        <v>0.14000000000000001</v>
      </c>
      <c r="Z1133">
        <v>3</v>
      </c>
      <c r="AA1133">
        <v>2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 t="str">
        <f t="shared" si="87"/>
        <v>0-3</v>
      </c>
      <c r="AI1133">
        <v>7</v>
      </c>
      <c r="AJ1133" t="str">
        <f t="shared" si="88"/>
        <v>6-8</v>
      </c>
      <c r="AK1133">
        <v>7</v>
      </c>
    </row>
    <row r="1134" spans="1:37" x14ac:dyDescent="0.25">
      <c r="A1134" s="8">
        <v>1133</v>
      </c>
      <c r="B1134" t="s">
        <v>52</v>
      </c>
      <c r="C1134" t="s">
        <v>45</v>
      </c>
      <c r="D1134" s="8">
        <v>40</v>
      </c>
      <c r="E1134" t="str">
        <f t="shared" si="89"/>
        <v>36-45</v>
      </c>
      <c r="F1134" t="s">
        <v>46</v>
      </c>
      <c r="G1134" t="s">
        <v>39</v>
      </c>
      <c r="H1134" s="8" t="s">
        <v>40</v>
      </c>
      <c r="I1134" s="10">
        <v>14</v>
      </c>
      <c r="J1134" t="str">
        <f t="shared" si="85"/>
        <v>Moderate</v>
      </c>
      <c r="K1134">
        <v>2</v>
      </c>
      <c r="L1134" t="s">
        <v>41</v>
      </c>
      <c r="M1134">
        <v>4</v>
      </c>
      <c r="N1134">
        <v>3</v>
      </c>
      <c r="O1134">
        <v>2</v>
      </c>
      <c r="P1134" t="s">
        <v>42</v>
      </c>
      <c r="Q1134">
        <v>1</v>
      </c>
      <c r="R1134" s="11">
        <v>118</v>
      </c>
      <c r="S1134" s="14">
        <v>84</v>
      </c>
      <c r="T1134" s="13">
        <v>4639</v>
      </c>
      <c r="U1134" s="13">
        <f t="shared" si="86"/>
        <v>55668</v>
      </c>
      <c r="V1134" s="14">
        <v>11262</v>
      </c>
      <c r="W1134">
        <v>1</v>
      </c>
      <c r="X1134" s="8" t="s">
        <v>46</v>
      </c>
      <c r="Y1134" s="15">
        <v>0.15</v>
      </c>
      <c r="Z1134">
        <v>3</v>
      </c>
      <c r="AA1134">
        <v>3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 t="str">
        <f t="shared" si="87"/>
        <v>4-7</v>
      </c>
      <c r="AI1134">
        <v>1</v>
      </c>
      <c r="AJ1134" t="str">
        <f t="shared" si="88"/>
        <v>0-2</v>
      </c>
      <c r="AK1134">
        <v>2</v>
      </c>
    </row>
    <row r="1135" spans="1:37" x14ac:dyDescent="0.25">
      <c r="A1135" s="8">
        <v>1134</v>
      </c>
      <c r="B1135" t="s">
        <v>44</v>
      </c>
      <c r="C1135" t="s">
        <v>54</v>
      </c>
      <c r="D1135" s="8">
        <v>43</v>
      </c>
      <c r="E1135" t="str">
        <f t="shared" si="89"/>
        <v>36-45</v>
      </c>
      <c r="F1135" t="s">
        <v>46</v>
      </c>
      <c r="G1135" t="s">
        <v>39</v>
      </c>
      <c r="H1135" s="8" t="s">
        <v>48</v>
      </c>
      <c r="I1135" s="10">
        <v>27</v>
      </c>
      <c r="J1135" t="str">
        <f t="shared" si="85"/>
        <v>Far</v>
      </c>
      <c r="K1135">
        <v>3</v>
      </c>
      <c r="L1135" t="s">
        <v>63</v>
      </c>
      <c r="M1135">
        <v>4</v>
      </c>
      <c r="N1135">
        <v>4</v>
      </c>
      <c r="O1135">
        <v>1</v>
      </c>
      <c r="P1135" t="s">
        <v>51</v>
      </c>
      <c r="Q1135">
        <v>2</v>
      </c>
      <c r="R1135" s="11">
        <v>990</v>
      </c>
      <c r="S1135" s="14">
        <v>87</v>
      </c>
      <c r="T1135" s="13">
        <v>4876</v>
      </c>
      <c r="U1135" s="13">
        <f t="shared" si="86"/>
        <v>58512</v>
      </c>
      <c r="V1135" s="14">
        <v>5855</v>
      </c>
      <c r="W1135">
        <v>5</v>
      </c>
      <c r="X1135" s="8" t="s">
        <v>46</v>
      </c>
      <c r="Y1135" s="15">
        <v>0.12</v>
      </c>
      <c r="Z1135">
        <v>3</v>
      </c>
      <c r="AA1135">
        <v>3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 t="str">
        <f t="shared" si="87"/>
        <v>4-7</v>
      </c>
      <c r="AI1135">
        <v>0</v>
      </c>
      <c r="AJ1135" t="str">
        <f t="shared" si="88"/>
        <v>0-2</v>
      </c>
      <c r="AK1135">
        <v>2</v>
      </c>
    </row>
    <row r="1136" spans="1:37" x14ac:dyDescent="0.25">
      <c r="A1136" s="8">
        <v>1135</v>
      </c>
      <c r="B1136" t="s">
        <v>44</v>
      </c>
      <c r="C1136" t="s">
        <v>45</v>
      </c>
      <c r="D1136" s="8">
        <v>35</v>
      </c>
      <c r="E1136" t="str">
        <f t="shared" si="89"/>
        <v>26-35</v>
      </c>
      <c r="F1136" t="s">
        <v>46</v>
      </c>
      <c r="G1136" t="s">
        <v>39</v>
      </c>
      <c r="H1136" s="8" t="s">
        <v>48</v>
      </c>
      <c r="I1136" s="10">
        <v>7</v>
      </c>
      <c r="J1136" t="str">
        <f t="shared" si="85"/>
        <v>Moderate</v>
      </c>
      <c r="K1136">
        <v>2</v>
      </c>
      <c r="L1136" t="s">
        <v>41</v>
      </c>
      <c r="M1136">
        <v>3</v>
      </c>
      <c r="N1136">
        <v>2</v>
      </c>
      <c r="O1136">
        <v>1</v>
      </c>
      <c r="P1136" t="s">
        <v>51</v>
      </c>
      <c r="Q1136">
        <v>4</v>
      </c>
      <c r="R1136" s="11">
        <v>1349</v>
      </c>
      <c r="S1136" s="14">
        <v>63</v>
      </c>
      <c r="T1136" s="13">
        <v>2690</v>
      </c>
      <c r="U1136" s="13">
        <f t="shared" si="86"/>
        <v>32280</v>
      </c>
      <c r="V1136" s="14">
        <v>7713</v>
      </c>
      <c r="W1136">
        <v>1</v>
      </c>
      <c r="X1136" s="8" t="s">
        <v>46</v>
      </c>
      <c r="Y1136" s="15">
        <v>0.18</v>
      </c>
      <c r="Z1136">
        <v>3</v>
      </c>
      <c r="AA1136">
        <v>4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 t="str">
        <f t="shared" si="87"/>
        <v>0-3</v>
      </c>
      <c r="AI1136">
        <v>0</v>
      </c>
      <c r="AJ1136" t="str">
        <f t="shared" si="88"/>
        <v>0-2</v>
      </c>
      <c r="AK1136">
        <v>1</v>
      </c>
    </row>
    <row r="1137" spans="1:37" x14ac:dyDescent="0.25">
      <c r="A1137" s="8">
        <v>1136</v>
      </c>
      <c r="B1137" t="s">
        <v>44</v>
      </c>
      <c r="C1137" t="s">
        <v>37</v>
      </c>
      <c r="D1137" s="8">
        <v>46</v>
      </c>
      <c r="E1137" t="str">
        <f t="shared" si="89"/>
        <v>46-55</v>
      </c>
      <c r="F1137" t="s">
        <v>46</v>
      </c>
      <c r="G1137" t="s">
        <v>39</v>
      </c>
      <c r="H1137" s="8" t="s">
        <v>40</v>
      </c>
      <c r="I1137" s="10">
        <v>1</v>
      </c>
      <c r="J1137" t="str">
        <f t="shared" si="85"/>
        <v>Near</v>
      </c>
      <c r="K1137">
        <v>4</v>
      </c>
      <c r="L1137" t="s">
        <v>41</v>
      </c>
      <c r="M1137">
        <v>4</v>
      </c>
      <c r="N1137">
        <v>4</v>
      </c>
      <c r="O1137">
        <v>4</v>
      </c>
      <c r="P1137" t="s">
        <v>59</v>
      </c>
      <c r="Q1137">
        <v>1</v>
      </c>
      <c r="R1137" s="11">
        <v>563</v>
      </c>
      <c r="S1137" s="14">
        <v>56</v>
      </c>
      <c r="T1137" s="13">
        <v>17567</v>
      </c>
      <c r="U1137" s="13">
        <f t="shared" si="86"/>
        <v>210804</v>
      </c>
      <c r="V1137" s="14">
        <v>3156</v>
      </c>
      <c r="W1137">
        <v>1</v>
      </c>
      <c r="X1137" s="8" t="s">
        <v>46</v>
      </c>
      <c r="Y1137" s="15">
        <v>0.15</v>
      </c>
      <c r="Z1137">
        <v>3</v>
      </c>
      <c r="AA1137">
        <v>2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 t="str">
        <f t="shared" si="87"/>
        <v>0-3</v>
      </c>
      <c r="AI1137">
        <v>0</v>
      </c>
      <c r="AJ1137" t="str">
        <f t="shared" si="88"/>
        <v>0-2</v>
      </c>
      <c r="AK1137">
        <v>12</v>
      </c>
    </row>
    <row r="1138" spans="1:37" x14ac:dyDescent="0.25">
      <c r="A1138" s="8">
        <v>1137</v>
      </c>
      <c r="B1138" t="s">
        <v>44</v>
      </c>
      <c r="C1138" t="s">
        <v>45</v>
      </c>
      <c r="D1138" s="8">
        <v>28</v>
      </c>
      <c r="E1138" t="str">
        <f t="shared" si="89"/>
        <v>26-35</v>
      </c>
      <c r="F1138" t="s">
        <v>38</v>
      </c>
      <c r="G1138" t="s">
        <v>39</v>
      </c>
      <c r="H1138" s="8" t="s">
        <v>48</v>
      </c>
      <c r="I1138" s="10">
        <v>24</v>
      </c>
      <c r="J1138" t="str">
        <f t="shared" si="85"/>
        <v>Far</v>
      </c>
      <c r="K1138">
        <v>3</v>
      </c>
      <c r="L1138" t="s">
        <v>53</v>
      </c>
      <c r="M1138">
        <v>3</v>
      </c>
      <c r="N1138">
        <v>3</v>
      </c>
      <c r="O1138">
        <v>1</v>
      </c>
      <c r="P1138" t="s">
        <v>51</v>
      </c>
      <c r="Q1138">
        <v>2</v>
      </c>
      <c r="R1138" s="11">
        <v>329</v>
      </c>
      <c r="S1138" s="14">
        <v>51</v>
      </c>
      <c r="T1138" s="13">
        <v>2408</v>
      </c>
      <c r="U1138" s="13">
        <f t="shared" si="86"/>
        <v>28896</v>
      </c>
      <c r="V1138" s="14">
        <v>7324</v>
      </c>
      <c r="W1138">
        <v>1</v>
      </c>
      <c r="X1138" s="8" t="s">
        <v>38</v>
      </c>
      <c r="Y1138" s="15">
        <v>0.17</v>
      </c>
      <c r="Z1138">
        <v>3</v>
      </c>
      <c r="AA1138">
        <v>3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 t="str">
        <f t="shared" si="87"/>
        <v>0-3</v>
      </c>
      <c r="AI1138">
        <v>0</v>
      </c>
      <c r="AJ1138" t="str">
        <f t="shared" si="88"/>
        <v>0-2</v>
      </c>
      <c r="AK1138">
        <v>0</v>
      </c>
    </row>
    <row r="1139" spans="1:37" x14ac:dyDescent="0.25">
      <c r="A1139" s="8">
        <v>1138</v>
      </c>
      <c r="B1139" t="s">
        <v>52</v>
      </c>
      <c r="C1139" t="s">
        <v>45</v>
      </c>
      <c r="D1139" s="8">
        <v>22</v>
      </c>
      <c r="E1139" t="str">
        <f t="shared" si="89"/>
        <v>18-25</v>
      </c>
      <c r="F1139" t="s">
        <v>46</v>
      </c>
      <c r="G1139" t="s">
        <v>58</v>
      </c>
      <c r="H1139" s="8" t="s">
        <v>48</v>
      </c>
      <c r="I1139" s="10">
        <v>26</v>
      </c>
      <c r="J1139" t="str">
        <f t="shared" si="85"/>
        <v>Far</v>
      </c>
      <c r="K1139">
        <v>2</v>
      </c>
      <c r="L1139" t="s">
        <v>50</v>
      </c>
      <c r="M1139">
        <v>2</v>
      </c>
      <c r="N1139">
        <v>2</v>
      </c>
      <c r="O1139">
        <v>1</v>
      </c>
      <c r="P1139" t="s">
        <v>49</v>
      </c>
      <c r="Q1139">
        <v>3</v>
      </c>
      <c r="R1139" s="11">
        <v>457</v>
      </c>
      <c r="S1139" s="14">
        <v>85</v>
      </c>
      <c r="T1139" s="13">
        <v>2814</v>
      </c>
      <c r="U1139" s="13">
        <f t="shared" si="86"/>
        <v>33768</v>
      </c>
      <c r="V1139" s="14">
        <v>10293</v>
      </c>
      <c r="W1139">
        <v>1</v>
      </c>
      <c r="X1139" s="8" t="s">
        <v>38</v>
      </c>
      <c r="Y1139" s="15">
        <v>0.14000000000000001</v>
      </c>
      <c r="Z1139">
        <v>3</v>
      </c>
      <c r="AA1139">
        <v>2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 t="str">
        <f t="shared" si="87"/>
        <v>0-3</v>
      </c>
      <c r="AI1139">
        <v>1</v>
      </c>
      <c r="AJ1139" t="str">
        <f t="shared" si="88"/>
        <v>0-2</v>
      </c>
      <c r="AK1139">
        <v>3</v>
      </c>
    </row>
    <row r="1140" spans="1:37" x14ac:dyDescent="0.25">
      <c r="A1140" s="8">
        <v>1139</v>
      </c>
      <c r="B1140" t="s">
        <v>44</v>
      </c>
      <c r="C1140" t="s">
        <v>45</v>
      </c>
      <c r="D1140" s="8">
        <v>50</v>
      </c>
      <c r="E1140" t="str">
        <f t="shared" si="89"/>
        <v>46-55</v>
      </c>
      <c r="F1140" t="s">
        <v>46</v>
      </c>
      <c r="G1140" t="s">
        <v>47</v>
      </c>
      <c r="H1140" s="8" t="s">
        <v>48</v>
      </c>
      <c r="I1140" s="10">
        <v>20</v>
      </c>
      <c r="J1140" t="str">
        <f t="shared" si="85"/>
        <v>Far</v>
      </c>
      <c r="K1140">
        <v>5</v>
      </c>
      <c r="L1140" t="s">
        <v>53</v>
      </c>
      <c r="M1140">
        <v>2</v>
      </c>
      <c r="N1140">
        <v>3</v>
      </c>
      <c r="O1140">
        <v>4</v>
      </c>
      <c r="P1140" t="s">
        <v>56</v>
      </c>
      <c r="Q1140">
        <v>3</v>
      </c>
      <c r="R1140" s="11">
        <v>1234</v>
      </c>
      <c r="S1140" s="14">
        <v>41</v>
      </c>
      <c r="T1140" s="13">
        <v>11245</v>
      </c>
      <c r="U1140" s="13">
        <f t="shared" si="86"/>
        <v>134940</v>
      </c>
      <c r="V1140" s="14">
        <v>20689</v>
      </c>
      <c r="W1140">
        <v>2</v>
      </c>
      <c r="X1140" s="8" t="s">
        <v>38</v>
      </c>
      <c r="Y1140" s="15">
        <v>0.15</v>
      </c>
      <c r="Z1140">
        <v>3</v>
      </c>
      <c r="AA1140">
        <v>3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 t="str">
        <f t="shared" si="87"/>
        <v>8-11</v>
      </c>
      <c r="AI1140">
        <v>12</v>
      </c>
      <c r="AJ1140" t="str">
        <f t="shared" si="88"/>
        <v>12-15</v>
      </c>
      <c r="AK1140">
        <v>13</v>
      </c>
    </row>
    <row r="1141" spans="1:37" x14ac:dyDescent="0.25">
      <c r="A1141" s="8">
        <v>1140</v>
      </c>
      <c r="B1141" t="s">
        <v>52</v>
      </c>
      <c r="C1141" t="s">
        <v>45</v>
      </c>
      <c r="D1141" s="8">
        <v>32</v>
      </c>
      <c r="E1141" t="str">
        <f t="shared" si="89"/>
        <v>26-35</v>
      </c>
      <c r="F1141" t="s">
        <v>46</v>
      </c>
      <c r="G1141" t="s">
        <v>39</v>
      </c>
      <c r="H1141" s="8" t="s">
        <v>48</v>
      </c>
      <c r="I1141" s="10">
        <v>5</v>
      </c>
      <c r="J1141" t="str">
        <f t="shared" si="85"/>
        <v>Near</v>
      </c>
      <c r="K1141">
        <v>4</v>
      </c>
      <c r="L1141" t="s">
        <v>50</v>
      </c>
      <c r="M1141">
        <v>2</v>
      </c>
      <c r="N1141">
        <v>4</v>
      </c>
      <c r="O1141">
        <v>1</v>
      </c>
      <c r="P1141" t="s">
        <v>49</v>
      </c>
      <c r="Q1141">
        <v>4</v>
      </c>
      <c r="R1141" s="11">
        <v>634</v>
      </c>
      <c r="S1141" s="14">
        <v>35</v>
      </c>
      <c r="T1141" s="13">
        <v>3312</v>
      </c>
      <c r="U1141" s="13">
        <f t="shared" si="86"/>
        <v>39744</v>
      </c>
      <c r="V1141" s="14">
        <v>18783</v>
      </c>
      <c r="W1141">
        <v>3</v>
      </c>
      <c r="X1141" s="8" t="s">
        <v>46</v>
      </c>
      <c r="Y1141" s="15">
        <v>0.17</v>
      </c>
      <c r="Z1141">
        <v>3</v>
      </c>
      <c r="AA1141">
        <v>4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 t="str">
        <f t="shared" si="87"/>
        <v>0-3</v>
      </c>
      <c r="AI1141">
        <v>0</v>
      </c>
      <c r="AJ1141" t="str">
        <f t="shared" si="88"/>
        <v>0-2</v>
      </c>
      <c r="AK1141">
        <v>2</v>
      </c>
    </row>
    <row r="1142" spans="1:37" x14ac:dyDescent="0.25">
      <c r="A1142" s="8">
        <v>1141</v>
      </c>
      <c r="B1142" t="s">
        <v>52</v>
      </c>
      <c r="C1142" t="s">
        <v>54</v>
      </c>
      <c r="D1142" s="8">
        <v>44</v>
      </c>
      <c r="E1142" t="str">
        <f t="shared" si="89"/>
        <v>36-45</v>
      </c>
      <c r="F1142" t="s">
        <v>46</v>
      </c>
      <c r="G1142" t="s">
        <v>39</v>
      </c>
      <c r="H1142" s="8" t="s">
        <v>48</v>
      </c>
      <c r="I1142" s="10">
        <v>7</v>
      </c>
      <c r="J1142" t="str">
        <f t="shared" si="85"/>
        <v>Moderate</v>
      </c>
      <c r="K1142">
        <v>3</v>
      </c>
      <c r="L1142" t="s">
        <v>53</v>
      </c>
      <c r="M1142">
        <v>2</v>
      </c>
      <c r="N1142">
        <v>3</v>
      </c>
      <c r="O1142">
        <v>5</v>
      </c>
      <c r="P1142" t="s">
        <v>61</v>
      </c>
      <c r="Q1142">
        <v>4</v>
      </c>
      <c r="R1142" s="11">
        <v>1313</v>
      </c>
      <c r="S1142" s="14">
        <v>31</v>
      </c>
      <c r="T1142" s="13">
        <v>19049</v>
      </c>
      <c r="U1142" s="13">
        <f t="shared" si="86"/>
        <v>228588</v>
      </c>
      <c r="V1142" s="14">
        <v>3549</v>
      </c>
      <c r="W1142">
        <v>0</v>
      </c>
      <c r="X1142" s="8" t="s">
        <v>38</v>
      </c>
      <c r="Y1142" s="15">
        <v>0.14000000000000001</v>
      </c>
      <c r="Z1142">
        <v>3</v>
      </c>
      <c r="AA1142">
        <v>4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 t="str">
        <f t="shared" si="87"/>
        <v>4-7</v>
      </c>
      <c r="AI1142">
        <v>1</v>
      </c>
      <c r="AJ1142" t="str">
        <f t="shared" si="88"/>
        <v>0-2</v>
      </c>
      <c r="AK1142">
        <v>10</v>
      </c>
    </row>
    <row r="1143" spans="1:37" x14ac:dyDescent="0.25">
      <c r="A1143" s="8">
        <v>1142</v>
      </c>
      <c r="B1143" t="s">
        <v>44</v>
      </c>
      <c r="C1143" t="s">
        <v>45</v>
      </c>
      <c r="D1143" s="8">
        <v>30</v>
      </c>
      <c r="E1143" t="str">
        <f t="shared" si="89"/>
        <v>26-35</v>
      </c>
      <c r="F1143" t="s">
        <v>46</v>
      </c>
      <c r="G1143" t="s">
        <v>39</v>
      </c>
      <c r="H1143" s="8" t="s">
        <v>48</v>
      </c>
      <c r="I1143" s="10">
        <v>7</v>
      </c>
      <c r="J1143" t="str">
        <f t="shared" si="85"/>
        <v>Moderate</v>
      </c>
      <c r="K1143">
        <v>3</v>
      </c>
      <c r="L1143" t="s">
        <v>53</v>
      </c>
      <c r="M1143">
        <v>2</v>
      </c>
      <c r="N1143">
        <v>2</v>
      </c>
      <c r="O1143">
        <v>1</v>
      </c>
      <c r="P1143" t="s">
        <v>49</v>
      </c>
      <c r="Q1143">
        <v>2</v>
      </c>
      <c r="R1143" s="11">
        <v>241</v>
      </c>
      <c r="S1143" s="14">
        <v>48</v>
      </c>
      <c r="T1143" s="13">
        <v>2141</v>
      </c>
      <c r="U1143" s="13">
        <f t="shared" si="86"/>
        <v>25692</v>
      </c>
      <c r="V1143" s="14">
        <v>5348</v>
      </c>
      <c r="W1143">
        <v>1</v>
      </c>
      <c r="X1143" s="8" t="s">
        <v>46</v>
      </c>
      <c r="Y1143" s="15">
        <v>0.12</v>
      </c>
      <c r="Z1143">
        <v>3</v>
      </c>
      <c r="AA1143">
        <v>2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 t="str">
        <f t="shared" si="87"/>
        <v>4-7</v>
      </c>
      <c r="AI1143">
        <v>1</v>
      </c>
      <c r="AJ1143" t="str">
        <f t="shared" si="88"/>
        <v>0-2</v>
      </c>
      <c r="AK1143">
        <v>1</v>
      </c>
    </row>
    <row r="1144" spans="1:37" x14ac:dyDescent="0.25">
      <c r="A1144" s="8">
        <v>1143</v>
      </c>
      <c r="B1144" t="s">
        <v>52</v>
      </c>
      <c r="C1144" t="s">
        <v>37</v>
      </c>
      <c r="D1144" s="8">
        <v>45</v>
      </c>
      <c r="E1144" t="str">
        <f t="shared" si="89"/>
        <v>36-45</v>
      </c>
      <c r="F1144" t="s">
        <v>46</v>
      </c>
      <c r="G1144" t="s">
        <v>39</v>
      </c>
      <c r="H1144" s="8" t="s">
        <v>48</v>
      </c>
      <c r="I1144" s="10">
        <v>5</v>
      </c>
      <c r="J1144" t="str">
        <f t="shared" si="85"/>
        <v>Near</v>
      </c>
      <c r="K1144">
        <v>5</v>
      </c>
      <c r="L1144" t="s">
        <v>53</v>
      </c>
      <c r="M1144">
        <v>3</v>
      </c>
      <c r="N1144">
        <v>1</v>
      </c>
      <c r="O1144">
        <v>2</v>
      </c>
      <c r="P1144" t="s">
        <v>51</v>
      </c>
      <c r="Q1144">
        <v>1</v>
      </c>
      <c r="R1144" s="11">
        <v>1015</v>
      </c>
      <c r="S1144" s="14">
        <v>50</v>
      </c>
      <c r="T1144" s="13">
        <v>5769</v>
      </c>
      <c r="U1144" s="13">
        <f t="shared" si="86"/>
        <v>69228</v>
      </c>
      <c r="V1144" s="14">
        <v>23447</v>
      </c>
      <c r="W1144">
        <v>1</v>
      </c>
      <c r="X1144" s="8" t="s">
        <v>38</v>
      </c>
      <c r="Y1144" s="15">
        <v>0.14000000000000001</v>
      </c>
      <c r="Z1144">
        <v>3</v>
      </c>
      <c r="AA1144">
        <v>1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 t="str">
        <f t="shared" si="87"/>
        <v>4-7</v>
      </c>
      <c r="AI1144">
        <v>1</v>
      </c>
      <c r="AJ1144" t="str">
        <f t="shared" si="88"/>
        <v>0-2</v>
      </c>
      <c r="AK1144">
        <v>4</v>
      </c>
    </row>
    <row r="1145" spans="1:37" x14ac:dyDescent="0.25">
      <c r="A1145" s="8">
        <v>1144</v>
      </c>
      <c r="B1145" t="s">
        <v>44</v>
      </c>
      <c r="C1145" t="s">
        <v>45</v>
      </c>
      <c r="D1145" s="8">
        <v>45</v>
      </c>
      <c r="E1145" t="str">
        <f t="shared" si="89"/>
        <v>36-45</v>
      </c>
      <c r="F1145" t="s">
        <v>46</v>
      </c>
      <c r="G1145" t="s">
        <v>58</v>
      </c>
      <c r="H1145" s="8" t="s">
        <v>40</v>
      </c>
      <c r="I1145" s="10">
        <v>26</v>
      </c>
      <c r="J1145" t="str">
        <f t="shared" si="85"/>
        <v>Far</v>
      </c>
      <c r="K1145">
        <v>3</v>
      </c>
      <c r="L1145" t="s">
        <v>62</v>
      </c>
      <c r="M1145">
        <v>1</v>
      </c>
      <c r="N1145">
        <v>2</v>
      </c>
      <c r="O1145">
        <v>2</v>
      </c>
      <c r="P1145" t="s">
        <v>42</v>
      </c>
      <c r="Q1145">
        <v>1</v>
      </c>
      <c r="R1145" s="11">
        <v>336</v>
      </c>
      <c r="S1145" s="14">
        <v>52</v>
      </c>
      <c r="T1145" s="13">
        <v>4385</v>
      </c>
      <c r="U1145" s="13">
        <f t="shared" si="86"/>
        <v>52620</v>
      </c>
      <c r="V1145" s="14">
        <v>24162</v>
      </c>
      <c r="W1145">
        <v>1</v>
      </c>
      <c r="X1145" s="8" t="s">
        <v>46</v>
      </c>
      <c r="Y1145" s="15">
        <v>0.15</v>
      </c>
      <c r="Z1145">
        <v>3</v>
      </c>
      <c r="AA1145">
        <v>1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 t="str">
        <f t="shared" si="87"/>
        <v>4-7</v>
      </c>
      <c r="AI1145">
        <v>4</v>
      </c>
      <c r="AJ1145" t="str">
        <f t="shared" si="88"/>
        <v>3-5</v>
      </c>
      <c r="AK1145">
        <v>5</v>
      </c>
    </row>
    <row r="1146" spans="1:37" x14ac:dyDescent="0.25">
      <c r="A1146" s="8">
        <v>1145</v>
      </c>
      <c r="B1146" t="s">
        <v>44</v>
      </c>
      <c r="C1146" t="s">
        <v>37</v>
      </c>
      <c r="D1146" s="8">
        <v>31</v>
      </c>
      <c r="E1146" t="str">
        <f t="shared" si="89"/>
        <v>26-35</v>
      </c>
      <c r="F1146" t="s">
        <v>46</v>
      </c>
      <c r="G1146" t="s">
        <v>47</v>
      </c>
      <c r="H1146" s="8" t="s">
        <v>40</v>
      </c>
      <c r="I1146" s="10">
        <v>2</v>
      </c>
      <c r="J1146" t="str">
        <f t="shared" si="85"/>
        <v>Near</v>
      </c>
      <c r="K1146">
        <v>4</v>
      </c>
      <c r="L1146" t="s">
        <v>50</v>
      </c>
      <c r="M1146">
        <v>4</v>
      </c>
      <c r="N1146">
        <v>3</v>
      </c>
      <c r="O1146">
        <v>2</v>
      </c>
      <c r="P1146" t="s">
        <v>42</v>
      </c>
      <c r="Q1146">
        <v>1</v>
      </c>
      <c r="R1146" s="11">
        <v>715</v>
      </c>
      <c r="S1146" s="14">
        <v>54</v>
      </c>
      <c r="T1146" s="13">
        <v>5332</v>
      </c>
      <c r="U1146" s="13">
        <f t="shared" si="86"/>
        <v>63984</v>
      </c>
      <c r="V1146" s="14">
        <v>21602</v>
      </c>
      <c r="W1146">
        <v>7</v>
      </c>
      <c r="X1146" s="8" t="s">
        <v>46</v>
      </c>
      <c r="Y1146" s="15">
        <v>0.13</v>
      </c>
      <c r="Z1146">
        <v>3</v>
      </c>
      <c r="AA1146">
        <v>4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 t="str">
        <f t="shared" si="87"/>
        <v>0-3</v>
      </c>
      <c r="AI1146">
        <v>0</v>
      </c>
      <c r="AJ1146" t="str">
        <f t="shared" si="88"/>
        <v>0-2</v>
      </c>
      <c r="AK1146">
        <v>3</v>
      </c>
    </row>
    <row r="1147" spans="1:37" x14ac:dyDescent="0.25">
      <c r="A1147" s="8">
        <v>1146</v>
      </c>
      <c r="B1147" t="s">
        <v>52</v>
      </c>
      <c r="C1147" t="s">
        <v>45</v>
      </c>
      <c r="D1147" s="8">
        <v>36</v>
      </c>
      <c r="E1147" t="str">
        <f t="shared" si="89"/>
        <v>36-45</v>
      </c>
      <c r="F1147" t="s">
        <v>46</v>
      </c>
      <c r="G1147" t="s">
        <v>39</v>
      </c>
      <c r="H1147" s="8" t="s">
        <v>48</v>
      </c>
      <c r="I1147" s="10">
        <v>12</v>
      </c>
      <c r="J1147" t="str">
        <f t="shared" si="85"/>
        <v>Moderate</v>
      </c>
      <c r="K1147">
        <v>4</v>
      </c>
      <c r="L1147" t="s">
        <v>41</v>
      </c>
      <c r="M1147">
        <v>3</v>
      </c>
      <c r="N1147">
        <v>3</v>
      </c>
      <c r="O1147">
        <v>2</v>
      </c>
      <c r="P1147" t="s">
        <v>55</v>
      </c>
      <c r="Q1147">
        <v>3</v>
      </c>
      <c r="R1147" s="11">
        <v>559</v>
      </c>
      <c r="S1147" s="14">
        <v>76</v>
      </c>
      <c r="T1147" s="13">
        <v>4663</v>
      </c>
      <c r="U1147" s="13">
        <f t="shared" si="86"/>
        <v>55956</v>
      </c>
      <c r="V1147" s="14">
        <v>12421</v>
      </c>
      <c r="W1147">
        <v>9</v>
      </c>
      <c r="X1147" s="8" t="s">
        <v>38</v>
      </c>
      <c r="Y1147" s="15">
        <v>0.12</v>
      </c>
      <c r="Z1147">
        <v>3</v>
      </c>
      <c r="AA1147">
        <v>2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 t="str">
        <f t="shared" si="87"/>
        <v>0-3</v>
      </c>
      <c r="AI1147">
        <v>1</v>
      </c>
      <c r="AJ1147" t="str">
        <f t="shared" si="88"/>
        <v>0-2</v>
      </c>
      <c r="AK1147">
        <v>1</v>
      </c>
    </row>
    <row r="1148" spans="1:37" x14ac:dyDescent="0.25">
      <c r="A1148" s="8">
        <v>1147</v>
      </c>
      <c r="B1148" t="s">
        <v>44</v>
      </c>
      <c r="C1148" t="s">
        <v>54</v>
      </c>
      <c r="D1148" s="8">
        <v>34</v>
      </c>
      <c r="E1148" t="str">
        <f t="shared" si="89"/>
        <v>26-35</v>
      </c>
      <c r="F1148" t="s">
        <v>46</v>
      </c>
      <c r="G1148" t="s">
        <v>47</v>
      </c>
      <c r="H1148" s="8" t="s">
        <v>48</v>
      </c>
      <c r="I1148" s="10">
        <v>10</v>
      </c>
      <c r="J1148" t="str">
        <f t="shared" si="85"/>
        <v>Moderate</v>
      </c>
      <c r="K1148">
        <v>4</v>
      </c>
      <c r="L1148" t="s">
        <v>41</v>
      </c>
      <c r="M1148">
        <v>3</v>
      </c>
      <c r="N1148">
        <v>4</v>
      </c>
      <c r="O1148">
        <v>2</v>
      </c>
      <c r="P1148" t="s">
        <v>55</v>
      </c>
      <c r="Q1148">
        <v>4</v>
      </c>
      <c r="R1148" s="11">
        <v>426</v>
      </c>
      <c r="S1148" s="14">
        <v>42</v>
      </c>
      <c r="T1148" s="13">
        <v>4724</v>
      </c>
      <c r="U1148" s="13">
        <f t="shared" si="86"/>
        <v>56688</v>
      </c>
      <c r="V1148" s="14">
        <v>17000</v>
      </c>
      <c r="W1148">
        <v>1</v>
      </c>
      <c r="X1148" s="8" t="s">
        <v>46</v>
      </c>
      <c r="Y1148" s="15">
        <v>0.13</v>
      </c>
      <c r="Z1148">
        <v>3</v>
      </c>
      <c r="AA1148">
        <v>1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 t="str">
        <f t="shared" si="87"/>
        <v>4-7</v>
      </c>
      <c r="AI1148">
        <v>7</v>
      </c>
      <c r="AJ1148" t="str">
        <f t="shared" si="88"/>
        <v>6-8</v>
      </c>
      <c r="AK1148">
        <v>2</v>
      </c>
    </row>
    <row r="1149" spans="1:37" x14ac:dyDescent="0.25">
      <c r="A1149" s="8">
        <v>1148</v>
      </c>
      <c r="B1149" t="s">
        <v>52</v>
      </c>
      <c r="C1149" t="s">
        <v>45</v>
      </c>
      <c r="D1149" s="8">
        <v>49</v>
      </c>
      <c r="E1149" t="str">
        <f t="shared" si="89"/>
        <v>46-55</v>
      </c>
      <c r="F1149" t="s">
        <v>46</v>
      </c>
      <c r="G1149" t="s">
        <v>39</v>
      </c>
      <c r="H1149" s="8" t="s">
        <v>48</v>
      </c>
      <c r="I1149" s="10">
        <v>25</v>
      </c>
      <c r="J1149" t="str">
        <f t="shared" si="85"/>
        <v>Far</v>
      </c>
      <c r="K1149">
        <v>4</v>
      </c>
      <c r="L1149" t="s">
        <v>41</v>
      </c>
      <c r="M1149">
        <v>3</v>
      </c>
      <c r="N1149">
        <v>3</v>
      </c>
      <c r="O1149">
        <v>1</v>
      </c>
      <c r="P1149" t="s">
        <v>51</v>
      </c>
      <c r="Q1149">
        <v>1</v>
      </c>
      <c r="R1149" s="11">
        <v>722</v>
      </c>
      <c r="S1149" s="14">
        <v>84</v>
      </c>
      <c r="T1149" s="13">
        <v>3211</v>
      </c>
      <c r="U1149" s="13">
        <f t="shared" si="86"/>
        <v>38532</v>
      </c>
      <c r="V1149" s="14">
        <v>22102</v>
      </c>
      <c r="W1149">
        <v>1</v>
      </c>
      <c r="X1149" s="8" t="s">
        <v>46</v>
      </c>
      <c r="Y1149" s="15">
        <v>0.14000000000000001</v>
      </c>
      <c r="Z1149">
        <v>3</v>
      </c>
      <c r="AA1149">
        <v>4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 t="str">
        <f t="shared" si="87"/>
        <v>4-7</v>
      </c>
      <c r="AI1149">
        <v>1</v>
      </c>
      <c r="AJ1149" t="str">
        <f t="shared" si="88"/>
        <v>0-2</v>
      </c>
      <c r="AK1149">
        <v>4</v>
      </c>
    </row>
    <row r="1150" spans="1:37" x14ac:dyDescent="0.25">
      <c r="A1150" s="8">
        <v>1149</v>
      </c>
      <c r="B1150" t="s">
        <v>44</v>
      </c>
      <c r="C1150" t="s">
        <v>45</v>
      </c>
      <c r="D1150" s="8">
        <v>39</v>
      </c>
      <c r="E1150" t="str">
        <f t="shared" si="89"/>
        <v>36-45</v>
      </c>
      <c r="F1150" t="s">
        <v>46</v>
      </c>
      <c r="G1150" t="s">
        <v>39</v>
      </c>
      <c r="H1150" s="8" t="s">
        <v>48</v>
      </c>
      <c r="I1150" s="10">
        <v>10</v>
      </c>
      <c r="J1150" t="str">
        <f t="shared" si="85"/>
        <v>Moderate</v>
      </c>
      <c r="K1150">
        <v>5</v>
      </c>
      <c r="L1150" t="s">
        <v>53</v>
      </c>
      <c r="M1150">
        <v>2</v>
      </c>
      <c r="N1150">
        <v>3</v>
      </c>
      <c r="O1150">
        <v>2</v>
      </c>
      <c r="P1150" t="s">
        <v>55</v>
      </c>
      <c r="Q1150">
        <v>1</v>
      </c>
      <c r="R1150" s="11">
        <v>1387</v>
      </c>
      <c r="S1150" s="14">
        <v>76</v>
      </c>
      <c r="T1150" s="13">
        <v>5377</v>
      </c>
      <c r="U1150" s="13">
        <f t="shared" si="86"/>
        <v>64524</v>
      </c>
      <c r="V1150" s="14">
        <v>3835</v>
      </c>
      <c r="W1150">
        <v>2</v>
      </c>
      <c r="X1150" s="8" t="s">
        <v>46</v>
      </c>
      <c r="Y1150" s="15">
        <v>0.13</v>
      </c>
      <c r="Z1150">
        <v>3</v>
      </c>
      <c r="AA1150">
        <v>4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 t="str">
        <f t="shared" si="87"/>
        <v>4-7</v>
      </c>
      <c r="AI1150">
        <v>7</v>
      </c>
      <c r="AJ1150" t="str">
        <f t="shared" si="88"/>
        <v>6-8</v>
      </c>
      <c r="AK1150">
        <v>7</v>
      </c>
    </row>
    <row r="1151" spans="1:37" x14ac:dyDescent="0.25">
      <c r="A1151" s="8">
        <v>1150</v>
      </c>
      <c r="B1151" t="s">
        <v>44</v>
      </c>
      <c r="C1151" t="s">
        <v>54</v>
      </c>
      <c r="D1151" s="8">
        <v>27</v>
      </c>
      <c r="E1151" t="str">
        <f t="shared" si="89"/>
        <v>26-35</v>
      </c>
      <c r="F1151" t="s">
        <v>46</v>
      </c>
      <c r="G1151" t="s">
        <v>39</v>
      </c>
      <c r="H1151" s="8" t="s">
        <v>48</v>
      </c>
      <c r="I1151" s="10">
        <v>19</v>
      </c>
      <c r="J1151" t="str">
        <f t="shared" si="85"/>
        <v>Far</v>
      </c>
      <c r="K1151">
        <v>3</v>
      </c>
      <c r="L1151" t="s">
        <v>50</v>
      </c>
      <c r="M1151">
        <v>4</v>
      </c>
      <c r="N1151">
        <v>2</v>
      </c>
      <c r="O1151">
        <v>1</v>
      </c>
      <c r="P1151" t="s">
        <v>51</v>
      </c>
      <c r="Q1151">
        <v>1</v>
      </c>
      <c r="R1151" s="11">
        <v>1302</v>
      </c>
      <c r="S1151" s="14">
        <v>67</v>
      </c>
      <c r="T1151" s="13">
        <v>4066</v>
      </c>
      <c r="U1151" s="13">
        <f t="shared" si="86"/>
        <v>48792</v>
      </c>
      <c r="V1151" s="14">
        <v>16290</v>
      </c>
      <c r="W1151">
        <v>1</v>
      </c>
      <c r="X1151" s="8" t="s">
        <v>46</v>
      </c>
      <c r="Y1151" s="15">
        <v>0.11</v>
      </c>
      <c r="Z1151">
        <v>3</v>
      </c>
      <c r="AA1151">
        <v>1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 t="str">
        <f t="shared" si="87"/>
        <v>4-7</v>
      </c>
      <c r="AI1151">
        <v>0</v>
      </c>
      <c r="AJ1151" t="str">
        <f t="shared" si="88"/>
        <v>0-2</v>
      </c>
      <c r="AK1151">
        <v>7</v>
      </c>
    </row>
    <row r="1152" spans="1:37" x14ac:dyDescent="0.25">
      <c r="A1152" s="8">
        <v>1151</v>
      </c>
      <c r="B1152" t="s">
        <v>44</v>
      </c>
      <c r="C1152" t="s">
        <v>45</v>
      </c>
      <c r="D1152" s="8">
        <v>35</v>
      </c>
      <c r="E1152" t="str">
        <f t="shared" si="89"/>
        <v>26-35</v>
      </c>
      <c r="F1152" t="s">
        <v>46</v>
      </c>
      <c r="G1152" t="s">
        <v>39</v>
      </c>
      <c r="H1152" s="8" t="s">
        <v>48</v>
      </c>
      <c r="I1152" s="10">
        <v>18</v>
      </c>
      <c r="J1152" t="str">
        <f t="shared" si="85"/>
        <v>Far</v>
      </c>
      <c r="K1152">
        <v>5</v>
      </c>
      <c r="L1152" t="s">
        <v>41</v>
      </c>
      <c r="M1152">
        <v>2</v>
      </c>
      <c r="N1152">
        <v>4</v>
      </c>
      <c r="O1152">
        <v>2</v>
      </c>
      <c r="P1152" t="s">
        <v>49</v>
      </c>
      <c r="Q1152">
        <v>1</v>
      </c>
      <c r="R1152" s="11">
        <v>819</v>
      </c>
      <c r="S1152" s="14">
        <v>48</v>
      </c>
      <c r="T1152" s="13">
        <v>5208</v>
      </c>
      <c r="U1152" s="13">
        <f t="shared" si="86"/>
        <v>62496</v>
      </c>
      <c r="V1152" s="14">
        <v>26312</v>
      </c>
      <c r="W1152">
        <v>1</v>
      </c>
      <c r="X1152" s="8" t="s">
        <v>46</v>
      </c>
      <c r="Y1152" s="15">
        <v>0.11</v>
      </c>
      <c r="Z1152">
        <v>3</v>
      </c>
      <c r="AA1152">
        <v>4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 t="str">
        <f t="shared" si="87"/>
        <v>12-15</v>
      </c>
      <c r="AI1152">
        <v>1</v>
      </c>
      <c r="AJ1152" t="str">
        <f t="shared" si="88"/>
        <v>0-2</v>
      </c>
      <c r="AK1152">
        <v>10</v>
      </c>
    </row>
    <row r="1153" spans="1:37" x14ac:dyDescent="0.25">
      <c r="A1153" s="8">
        <v>1152</v>
      </c>
      <c r="B1153" t="s">
        <v>52</v>
      </c>
      <c r="C1153" t="s">
        <v>54</v>
      </c>
      <c r="D1153" s="8">
        <v>28</v>
      </c>
      <c r="E1153" t="str">
        <f t="shared" si="89"/>
        <v>26-35</v>
      </c>
      <c r="F1153" t="s">
        <v>46</v>
      </c>
      <c r="G1153" t="s">
        <v>39</v>
      </c>
      <c r="H1153" s="8" t="s">
        <v>48</v>
      </c>
      <c r="I1153" s="10">
        <v>27</v>
      </c>
      <c r="J1153" t="str">
        <f t="shared" si="85"/>
        <v>Far</v>
      </c>
      <c r="K1153">
        <v>3</v>
      </c>
      <c r="L1153" t="s">
        <v>53</v>
      </c>
      <c r="M1153">
        <v>2</v>
      </c>
      <c r="N1153">
        <v>1</v>
      </c>
      <c r="O1153">
        <v>2</v>
      </c>
      <c r="P1153" t="s">
        <v>55</v>
      </c>
      <c r="Q1153">
        <v>1</v>
      </c>
      <c r="R1153" s="11">
        <v>580</v>
      </c>
      <c r="S1153" s="14">
        <v>39</v>
      </c>
      <c r="T1153" s="13">
        <v>4877</v>
      </c>
      <c r="U1153" s="13">
        <f t="shared" si="86"/>
        <v>58524</v>
      </c>
      <c r="V1153" s="14">
        <v>20460</v>
      </c>
      <c r="W1153">
        <v>0</v>
      </c>
      <c r="X1153" s="8" t="s">
        <v>46</v>
      </c>
      <c r="Y1153" s="15">
        <v>0.21</v>
      </c>
      <c r="Z1153">
        <v>4</v>
      </c>
      <c r="AA1153">
        <v>2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 t="str">
        <f t="shared" si="87"/>
        <v>0-3</v>
      </c>
      <c r="AI1153">
        <v>0</v>
      </c>
      <c r="AJ1153" t="str">
        <f t="shared" si="88"/>
        <v>0-2</v>
      </c>
      <c r="AK1153">
        <v>0</v>
      </c>
    </row>
    <row r="1154" spans="1:37" x14ac:dyDescent="0.25">
      <c r="A1154" s="8">
        <v>1153</v>
      </c>
      <c r="B1154" t="s">
        <v>44</v>
      </c>
      <c r="C1154" t="s">
        <v>37</v>
      </c>
      <c r="D1154" s="8">
        <v>21</v>
      </c>
      <c r="E1154" t="str">
        <f t="shared" si="89"/>
        <v>18-25</v>
      </c>
      <c r="F1154" t="s">
        <v>46</v>
      </c>
      <c r="G1154" t="s">
        <v>39</v>
      </c>
      <c r="H1154" s="8" t="s">
        <v>48</v>
      </c>
      <c r="I1154" s="10">
        <v>5</v>
      </c>
      <c r="J1154" t="str">
        <f t="shared" si="85"/>
        <v>Near</v>
      </c>
      <c r="K1154">
        <v>1</v>
      </c>
      <c r="L1154" t="s">
        <v>53</v>
      </c>
      <c r="M1154">
        <v>3</v>
      </c>
      <c r="N1154">
        <v>3</v>
      </c>
      <c r="O1154">
        <v>1</v>
      </c>
      <c r="P1154" t="s">
        <v>49</v>
      </c>
      <c r="Q1154">
        <v>4</v>
      </c>
      <c r="R1154" s="11">
        <v>546</v>
      </c>
      <c r="S1154" s="14">
        <v>97</v>
      </c>
      <c r="T1154" s="13">
        <v>3117</v>
      </c>
      <c r="U1154" s="13">
        <f t="shared" si="86"/>
        <v>37404</v>
      </c>
      <c r="V1154" s="14">
        <v>26009</v>
      </c>
      <c r="W1154">
        <v>1</v>
      </c>
      <c r="X1154" s="8" t="s">
        <v>46</v>
      </c>
      <c r="Y1154" s="15">
        <v>0.18</v>
      </c>
      <c r="Z1154">
        <v>3</v>
      </c>
      <c r="AA1154">
        <v>3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 t="str">
        <f t="shared" si="87"/>
        <v>0-3</v>
      </c>
      <c r="AI1154">
        <v>2</v>
      </c>
      <c r="AJ1154" t="str">
        <f t="shared" si="88"/>
        <v>0-2</v>
      </c>
      <c r="AK1154">
        <v>2</v>
      </c>
    </row>
    <row r="1155" spans="1:37" x14ac:dyDescent="0.25">
      <c r="A1155" s="8">
        <v>1154</v>
      </c>
      <c r="B1155" t="s">
        <v>52</v>
      </c>
      <c r="C1155" t="s">
        <v>37</v>
      </c>
      <c r="D1155" s="8">
        <v>18</v>
      </c>
      <c r="E1155" t="str">
        <f t="shared" si="89"/>
        <v>18-25</v>
      </c>
      <c r="F1155" t="s">
        <v>38</v>
      </c>
      <c r="G1155" t="s">
        <v>47</v>
      </c>
      <c r="H1155" s="8" t="s">
        <v>40</v>
      </c>
      <c r="I1155" s="10">
        <v>3</v>
      </c>
      <c r="J1155" t="str">
        <f t="shared" ref="J1155:J1218" si="90">IF(I1155&lt;=5,"Near",IF(I1155&lt;=15,"Moderate",IF(I1155&gt;15,"Far")))</f>
        <v>Near</v>
      </c>
      <c r="K1155">
        <v>2</v>
      </c>
      <c r="L1155" t="s">
        <v>53</v>
      </c>
      <c r="M1155">
        <v>2</v>
      </c>
      <c r="N1155">
        <v>3</v>
      </c>
      <c r="O1155">
        <v>1</v>
      </c>
      <c r="P1155" t="s">
        <v>60</v>
      </c>
      <c r="Q1155">
        <v>4</v>
      </c>
      <c r="R1155" s="11">
        <v>544</v>
      </c>
      <c r="S1155" s="14">
        <v>70</v>
      </c>
      <c r="T1155" s="13">
        <v>1569</v>
      </c>
      <c r="U1155" s="13">
        <f t="shared" ref="U1155:U1218" si="91">T1155*12</f>
        <v>18828</v>
      </c>
      <c r="V1155" s="14">
        <v>18420</v>
      </c>
      <c r="W1155">
        <v>1</v>
      </c>
      <c r="X1155" s="8" t="s">
        <v>38</v>
      </c>
      <c r="Y1155" s="15">
        <v>0.12</v>
      </c>
      <c r="Z1155">
        <v>3</v>
      </c>
      <c r="AA1155">
        <v>3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 t="str">
        <f t="shared" ref="AH1155:AH1218" si="92">IF(AG:AG&lt;=3,"0-3", IF(AG:AG&lt;=7,"4-7", IF(AG:AG&lt;=11,"8-11", IF(AG:AG&lt;=15,"12-15","16-19"))))</f>
        <v>0-3</v>
      </c>
      <c r="AI1155">
        <v>0</v>
      </c>
      <c r="AJ1155" t="str">
        <f t="shared" ref="AJ1155:AJ1218" si="93">IF(AI:AI&lt;=2,"0-2",IF(AI:AI&lt;=5,"3-5", IF(AI:AI&lt;=8,"6-8", IF(AI:AI&lt;=11,"9-11","12-15"))))</f>
        <v>0-2</v>
      </c>
      <c r="AK1155">
        <v>0</v>
      </c>
    </row>
    <row r="1156" spans="1:37" x14ac:dyDescent="0.25">
      <c r="A1156" s="8">
        <v>1155</v>
      </c>
      <c r="B1156" t="s">
        <v>52</v>
      </c>
      <c r="C1156" t="s">
        <v>45</v>
      </c>
      <c r="D1156" s="8">
        <v>47</v>
      </c>
      <c r="E1156" t="str">
        <f t="shared" ref="E1156:E1219" si="94">IF(D1156&lt;25,"18-25",IF(D1156&lt;=35,"26-35",IF(D1156&lt;=45,"36-45",IF(D1156&lt;=55,"46-55",IF(D1156&gt;55,"55+")))))</f>
        <v>46-55</v>
      </c>
      <c r="F1156" t="s">
        <v>46</v>
      </c>
      <c r="G1156" t="s">
        <v>39</v>
      </c>
      <c r="H1156" s="8" t="s">
        <v>64</v>
      </c>
      <c r="I1156" s="10">
        <v>26</v>
      </c>
      <c r="J1156" t="str">
        <f t="shared" si="90"/>
        <v>Far</v>
      </c>
      <c r="K1156">
        <v>4</v>
      </c>
      <c r="L1156" t="s">
        <v>41</v>
      </c>
      <c r="M1156">
        <v>4</v>
      </c>
      <c r="N1156">
        <v>3</v>
      </c>
      <c r="O1156">
        <v>5</v>
      </c>
      <c r="P1156" t="s">
        <v>59</v>
      </c>
      <c r="Q1156">
        <v>3</v>
      </c>
      <c r="R1156" s="11">
        <v>1176</v>
      </c>
      <c r="S1156" s="14">
        <v>98</v>
      </c>
      <c r="T1156" s="13">
        <v>19658</v>
      </c>
      <c r="U1156" s="13">
        <f t="shared" si="91"/>
        <v>235896</v>
      </c>
      <c r="V1156" s="14">
        <v>5220</v>
      </c>
      <c r="W1156">
        <v>3</v>
      </c>
      <c r="X1156" s="8" t="s">
        <v>46</v>
      </c>
      <c r="Y1156" s="15">
        <v>0.11</v>
      </c>
      <c r="Z1156">
        <v>3</v>
      </c>
      <c r="AA1156">
        <v>3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 t="str">
        <f t="shared" si="92"/>
        <v>0-3</v>
      </c>
      <c r="AI1156">
        <v>1</v>
      </c>
      <c r="AJ1156" t="str">
        <f t="shared" si="93"/>
        <v>0-2</v>
      </c>
      <c r="AK1156">
        <v>0</v>
      </c>
    </row>
    <row r="1157" spans="1:37" x14ac:dyDescent="0.25">
      <c r="A1157" s="8">
        <v>1156</v>
      </c>
      <c r="B1157" t="s">
        <v>44</v>
      </c>
      <c r="C1157" t="s">
        <v>54</v>
      </c>
      <c r="D1157" s="8">
        <v>39</v>
      </c>
      <c r="E1157" t="str">
        <f t="shared" si="94"/>
        <v>36-45</v>
      </c>
      <c r="F1157" t="s">
        <v>46</v>
      </c>
      <c r="G1157" t="s">
        <v>39</v>
      </c>
      <c r="H1157" s="8" t="s">
        <v>48</v>
      </c>
      <c r="I1157" s="10">
        <v>3</v>
      </c>
      <c r="J1157" t="str">
        <f t="shared" si="90"/>
        <v>Near</v>
      </c>
      <c r="K1157">
        <v>2</v>
      </c>
      <c r="L1157" t="s">
        <v>53</v>
      </c>
      <c r="M1157">
        <v>3</v>
      </c>
      <c r="N1157">
        <v>2</v>
      </c>
      <c r="O1157">
        <v>2</v>
      </c>
      <c r="P1157" t="s">
        <v>51</v>
      </c>
      <c r="Q1157">
        <v>3</v>
      </c>
      <c r="R1157" s="11">
        <v>170</v>
      </c>
      <c r="S1157" s="14">
        <v>76</v>
      </c>
      <c r="T1157" s="13">
        <v>3069</v>
      </c>
      <c r="U1157" s="13">
        <f t="shared" si="91"/>
        <v>36828</v>
      </c>
      <c r="V1157" s="14">
        <v>10302</v>
      </c>
      <c r="W1157">
        <v>0</v>
      </c>
      <c r="X1157" s="8" t="s">
        <v>46</v>
      </c>
      <c r="Y1157" s="15">
        <v>0.15</v>
      </c>
      <c r="Z1157">
        <v>3</v>
      </c>
      <c r="AA1157">
        <v>4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 t="str">
        <f t="shared" si="92"/>
        <v>8-11</v>
      </c>
      <c r="AI1157">
        <v>0</v>
      </c>
      <c r="AJ1157" t="str">
        <f t="shared" si="93"/>
        <v>0-2</v>
      </c>
      <c r="AK1157">
        <v>7</v>
      </c>
    </row>
    <row r="1158" spans="1:37" x14ac:dyDescent="0.25">
      <c r="A1158" s="8">
        <v>1157</v>
      </c>
      <c r="B1158" t="s">
        <v>52</v>
      </c>
      <c r="C1158" t="s">
        <v>45</v>
      </c>
      <c r="D1158" s="8">
        <v>40</v>
      </c>
      <c r="E1158" t="str">
        <f t="shared" si="94"/>
        <v>36-45</v>
      </c>
      <c r="F1158" t="s">
        <v>46</v>
      </c>
      <c r="G1158" t="s">
        <v>39</v>
      </c>
      <c r="H1158" s="8" t="s">
        <v>48</v>
      </c>
      <c r="I1158" s="10">
        <v>15</v>
      </c>
      <c r="J1158" t="str">
        <f t="shared" si="90"/>
        <v>Moderate</v>
      </c>
      <c r="K1158">
        <v>3</v>
      </c>
      <c r="L1158" t="s">
        <v>41</v>
      </c>
      <c r="M1158">
        <v>1</v>
      </c>
      <c r="N1158">
        <v>2</v>
      </c>
      <c r="O1158">
        <v>3</v>
      </c>
      <c r="P1158" t="s">
        <v>55</v>
      </c>
      <c r="Q1158">
        <v>3</v>
      </c>
      <c r="R1158" s="11">
        <v>884</v>
      </c>
      <c r="S1158" s="14">
        <v>80</v>
      </c>
      <c r="T1158" s="13">
        <v>10435</v>
      </c>
      <c r="U1158" s="13">
        <f t="shared" si="91"/>
        <v>125220</v>
      </c>
      <c r="V1158" s="14">
        <v>25800</v>
      </c>
      <c r="W1158">
        <v>1</v>
      </c>
      <c r="X1158" s="8" t="s">
        <v>46</v>
      </c>
      <c r="Y1158" s="15">
        <v>0.13</v>
      </c>
      <c r="Z1158">
        <v>3</v>
      </c>
      <c r="AA1158">
        <v>4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 t="str">
        <f t="shared" si="92"/>
        <v>12-15</v>
      </c>
      <c r="AI1158">
        <v>14</v>
      </c>
      <c r="AJ1158" t="str">
        <f t="shared" si="93"/>
        <v>12-15</v>
      </c>
      <c r="AK1158">
        <v>12</v>
      </c>
    </row>
    <row r="1159" spans="1:37" x14ac:dyDescent="0.25">
      <c r="A1159" s="8">
        <v>1158</v>
      </c>
      <c r="B1159" t="s">
        <v>52</v>
      </c>
      <c r="C1159" t="s">
        <v>45</v>
      </c>
      <c r="D1159" s="8">
        <v>35</v>
      </c>
      <c r="E1159" t="str">
        <f t="shared" si="94"/>
        <v>26-35</v>
      </c>
      <c r="F1159" t="s">
        <v>46</v>
      </c>
      <c r="G1159" t="s">
        <v>58</v>
      </c>
      <c r="H1159" s="8" t="s">
        <v>48</v>
      </c>
      <c r="I1159" s="10">
        <v>8</v>
      </c>
      <c r="J1159" t="str">
        <f t="shared" si="90"/>
        <v>Moderate</v>
      </c>
      <c r="K1159">
        <v>4</v>
      </c>
      <c r="L1159" t="s">
        <v>41</v>
      </c>
      <c r="M1159">
        <v>3</v>
      </c>
      <c r="N1159">
        <v>3</v>
      </c>
      <c r="O1159">
        <v>2</v>
      </c>
      <c r="P1159" t="s">
        <v>56</v>
      </c>
      <c r="Q1159">
        <v>3</v>
      </c>
      <c r="R1159" s="11">
        <v>208</v>
      </c>
      <c r="S1159" s="14">
        <v>52</v>
      </c>
      <c r="T1159" s="13">
        <v>4148</v>
      </c>
      <c r="U1159" s="13">
        <f t="shared" si="91"/>
        <v>49776</v>
      </c>
      <c r="V1159" s="14">
        <v>12250</v>
      </c>
      <c r="W1159">
        <v>1</v>
      </c>
      <c r="X1159" s="8" t="s">
        <v>46</v>
      </c>
      <c r="Y1159" s="15">
        <v>0.12</v>
      </c>
      <c r="Z1159">
        <v>3</v>
      </c>
      <c r="AA1159">
        <v>4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 t="str">
        <f t="shared" si="92"/>
        <v>8-11</v>
      </c>
      <c r="AI1159">
        <v>2</v>
      </c>
      <c r="AJ1159" t="str">
        <f t="shared" si="93"/>
        <v>0-2</v>
      </c>
      <c r="AK1159">
        <v>9</v>
      </c>
    </row>
    <row r="1160" spans="1:37" x14ac:dyDescent="0.25">
      <c r="A1160" s="8">
        <v>1159</v>
      </c>
      <c r="B1160" t="s">
        <v>44</v>
      </c>
      <c r="C1160" t="s">
        <v>45</v>
      </c>
      <c r="D1160" s="8">
        <v>37</v>
      </c>
      <c r="E1160" t="str">
        <f t="shared" si="94"/>
        <v>36-45</v>
      </c>
      <c r="F1160" t="s">
        <v>46</v>
      </c>
      <c r="G1160" t="s">
        <v>39</v>
      </c>
      <c r="H1160" s="8" t="s">
        <v>48</v>
      </c>
      <c r="I1160" s="10">
        <v>19</v>
      </c>
      <c r="J1160" t="str">
        <f t="shared" si="90"/>
        <v>Far</v>
      </c>
      <c r="K1160">
        <v>3</v>
      </c>
      <c r="L1160" t="s">
        <v>41</v>
      </c>
      <c r="M1160">
        <v>3</v>
      </c>
      <c r="N1160">
        <v>3</v>
      </c>
      <c r="O1160">
        <v>2</v>
      </c>
      <c r="P1160" t="s">
        <v>55</v>
      </c>
      <c r="Q1160">
        <v>3</v>
      </c>
      <c r="R1160" s="11">
        <v>671</v>
      </c>
      <c r="S1160" s="14">
        <v>85</v>
      </c>
      <c r="T1160" s="13">
        <v>5768</v>
      </c>
      <c r="U1160" s="13">
        <f t="shared" si="91"/>
        <v>69216</v>
      </c>
      <c r="V1160" s="14">
        <v>26493</v>
      </c>
      <c r="W1160">
        <v>3</v>
      </c>
      <c r="X1160" s="8" t="s">
        <v>46</v>
      </c>
      <c r="Y1160" s="15">
        <v>0.17</v>
      </c>
      <c r="Z1160">
        <v>3</v>
      </c>
      <c r="AA1160">
        <v>1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 t="str">
        <f t="shared" si="92"/>
        <v>0-3</v>
      </c>
      <c r="AI1160">
        <v>0</v>
      </c>
      <c r="AJ1160" t="str">
        <f t="shared" si="93"/>
        <v>0-2</v>
      </c>
      <c r="AK1160">
        <v>2</v>
      </c>
    </row>
    <row r="1161" spans="1:37" x14ac:dyDescent="0.25">
      <c r="A1161" s="8">
        <v>1160</v>
      </c>
      <c r="B1161" t="s">
        <v>52</v>
      </c>
      <c r="C1161" t="s">
        <v>37</v>
      </c>
      <c r="D1161" s="8">
        <v>39</v>
      </c>
      <c r="E1161" t="str">
        <f t="shared" si="94"/>
        <v>36-45</v>
      </c>
      <c r="F1161" t="s">
        <v>46</v>
      </c>
      <c r="G1161" t="s">
        <v>47</v>
      </c>
      <c r="H1161" s="8" t="s">
        <v>48</v>
      </c>
      <c r="I1161" s="10">
        <v>4</v>
      </c>
      <c r="J1161" t="str">
        <f t="shared" si="90"/>
        <v>Near</v>
      </c>
      <c r="K1161">
        <v>3</v>
      </c>
      <c r="L1161" t="s">
        <v>53</v>
      </c>
      <c r="M1161">
        <v>1</v>
      </c>
      <c r="N1161">
        <v>3</v>
      </c>
      <c r="O1161">
        <v>2</v>
      </c>
      <c r="P1161" t="s">
        <v>55</v>
      </c>
      <c r="Q1161">
        <v>3</v>
      </c>
      <c r="R1161" s="11">
        <v>711</v>
      </c>
      <c r="S1161" s="14">
        <v>81</v>
      </c>
      <c r="T1161" s="13">
        <v>5042</v>
      </c>
      <c r="U1161" s="13">
        <f t="shared" si="91"/>
        <v>60504</v>
      </c>
      <c r="V1161" s="14">
        <v>3140</v>
      </c>
      <c r="W1161">
        <v>0</v>
      </c>
      <c r="X1161" s="8" t="s">
        <v>46</v>
      </c>
      <c r="Y1161" s="15">
        <v>0.13</v>
      </c>
      <c r="Z1161">
        <v>3</v>
      </c>
      <c r="AA1161">
        <v>4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 t="str">
        <f t="shared" si="92"/>
        <v>0-3</v>
      </c>
      <c r="AI1161">
        <v>3</v>
      </c>
      <c r="AJ1161" t="str">
        <f t="shared" si="93"/>
        <v>3-5</v>
      </c>
      <c r="AK1161">
        <v>8</v>
      </c>
    </row>
    <row r="1162" spans="1:37" x14ac:dyDescent="0.25">
      <c r="A1162" s="8">
        <v>1161</v>
      </c>
      <c r="B1162" t="s">
        <v>52</v>
      </c>
      <c r="C1162" t="s">
        <v>54</v>
      </c>
      <c r="D1162" s="8">
        <v>45</v>
      </c>
      <c r="E1162" t="str">
        <f t="shared" si="94"/>
        <v>36-45</v>
      </c>
      <c r="F1162" t="s">
        <v>46</v>
      </c>
      <c r="G1162" t="s">
        <v>39</v>
      </c>
      <c r="H1162" s="8" t="s">
        <v>48</v>
      </c>
      <c r="I1162" s="10">
        <v>2</v>
      </c>
      <c r="J1162" t="str">
        <f t="shared" si="90"/>
        <v>Near</v>
      </c>
      <c r="K1162">
        <v>2</v>
      </c>
      <c r="L1162" t="s">
        <v>50</v>
      </c>
      <c r="M1162">
        <v>4</v>
      </c>
      <c r="N1162">
        <v>2</v>
      </c>
      <c r="O1162">
        <v>2</v>
      </c>
      <c r="P1162" t="s">
        <v>55</v>
      </c>
      <c r="Q1162">
        <v>4</v>
      </c>
      <c r="R1162" s="11">
        <v>1329</v>
      </c>
      <c r="S1162" s="14">
        <v>59</v>
      </c>
      <c r="T1162" s="13">
        <v>5770</v>
      </c>
      <c r="U1162" s="13">
        <f t="shared" si="91"/>
        <v>69240</v>
      </c>
      <c r="V1162" s="14">
        <v>5388</v>
      </c>
      <c r="W1162">
        <v>1</v>
      </c>
      <c r="X1162" s="8" t="s">
        <v>46</v>
      </c>
      <c r="Y1162" s="15">
        <v>0.19</v>
      </c>
      <c r="Z1162">
        <v>3</v>
      </c>
      <c r="AA1162">
        <v>1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 t="str">
        <f t="shared" si="92"/>
        <v>4-7</v>
      </c>
      <c r="AI1162">
        <v>3</v>
      </c>
      <c r="AJ1162" t="str">
        <f t="shared" si="93"/>
        <v>3-5</v>
      </c>
      <c r="AK1162">
        <v>9</v>
      </c>
    </row>
    <row r="1163" spans="1:37" x14ac:dyDescent="0.25">
      <c r="A1163" s="8">
        <v>1162</v>
      </c>
      <c r="B1163" t="s">
        <v>52</v>
      </c>
      <c r="C1163" t="s">
        <v>45</v>
      </c>
      <c r="D1163" s="8">
        <v>38</v>
      </c>
      <c r="E1163" t="str">
        <f t="shared" si="94"/>
        <v>36-45</v>
      </c>
      <c r="F1163" t="s">
        <v>46</v>
      </c>
      <c r="G1163" t="s">
        <v>39</v>
      </c>
      <c r="H1163" s="8" t="s">
        <v>48</v>
      </c>
      <c r="I1163" s="10">
        <v>2</v>
      </c>
      <c r="J1163" t="str">
        <f t="shared" si="90"/>
        <v>Near</v>
      </c>
      <c r="K1163">
        <v>2</v>
      </c>
      <c r="L1163" t="s">
        <v>53</v>
      </c>
      <c r="M1163">
        <v>4</v>
      </c>
      <c r="N1163">
        <v>2</v>
      </c>
      <c r="O1163">
        <v>3</v>
      </c>
      <c r="P1163" t="s">
        <v>55</v>
      </c>
      <c r="Q1163">
        <v>3</v>
      </c>
      <c r="R1163" s="11">
        <v>397</v>
      </c>
      <c r="S1163" s="14">
        <v>54</v>
      </c>
      <c r="T1163" s="13">
        <v>7756</v>
      </c>
      <c r="U1163" s="13">
        <f t="shared" si="91"/>
        <v>93072</v>
      </c>
      <c r="V1163" s="14">
        <v>14199</v>
      </c>
      <c r="W1163">
        <v>3</v>
      </c>
      <c r="X1163" s="8" t="s">
        <v>38</v>
      </c>
      <c r="Y1163" s="15">
        <v>0.19</v>
      </c>
      <c r="Z1163">
        <v>3</v>
      </c>
      <c r="AA1163">
        <v>4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 t="str">
        <f t="shared" si="92"/>
        <v>4-7</v>
      </c>
      <c r="AI1163">
        <v>0</v>
      </c>
      <c r="AJ1163" t="str">
        <f t="shared" si="93"/>
        <v>0-2</v>
      </c>
      <c r="AK1163">
        <v>2</v>
      </c>
    </row>
    <row r="1164" spans="1:37" x14ac:dyDescent="0.25">
      <c r="A1164" s="8">
        <v>1163</v>
      </c>
      <c r="B1164" t="s">
        <v>44</v>
      </c>
      <c r="C1164" t="s">
        <v>45</v>
      </c>
      <c r="D1164" s="8">
        <v>35</v>
      </c>
      <c r="E1164" t="str">
        <f t="shared" si="94"/>
        <v>26-35</v>
      </c>
      <c r="F1164" t="s">
        <v>38</v>
      </c>
      <c r="G1164" t="s">
        <v>39</v>
      </c>
      <c r="H1164" s="8" t="s">
        <v>40</v>
      </c>
      <c r="I1164" s="10">
        <v>10</v>
      </c>
      <c r="J1164" t="str">
        <f t="shared" si="90"/>
        <v>Moderate</v>
      </c>
      <c r="K1164">
        <v>3</v>
      </c>
      <c r="L1164" t="s">
        <v>53</v>
      </c>
      <c r="M1164">
        <v>4</v>
      </c>
      <c r="N1164">
        <v>2</v>
      </c>
      <c r="O1164">
        <v>3</v>
      </c>
      <c r="P1164" t="s">
        <v>42</v>
      </c>
      <c r="Q1164">
        <v>1</v>
      </c>
      <c r="R1164" s="11">
        <v>737</v>
      </c>
      <c r="S1164" s="14">
        <v>55</v>
      </c>
      <c r="T1164" s="13">
        <v>10306</v>
      </c>
      <c r="U1164" s="13">
        <f t="shared" si="91"/>
        <v>123672</v>
      </c>
      <c r="V1164" s="14">
        <v>21530</v>
      </c>
      <c r="W1164">
        <v>9</v>
      </c>
      <c r="X1164" s="8" t="s">
        <v>46</v>
      </c>
      <c r="Y1164" s="15">
        <v>0.17</v>
      </c>
      <c r="Z1164">
        <v>3</v>
      </c>
      <c r="AA1164">
        <v>3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 t="str">
        <f t="shared" si="92"/>
        <v>12-15</v>
      </c>
      <c r="AI1164">
        <v>6</v>
      </c>
      <c r="AJ1164" t="str">
        <f t="shared" si="93"/>
        <v>6-8</v>
      </c>
      <c r="AK1164">
        <v>0</v>
      </c>
    </row>
    <row r="1165" spans="1:37" x14ac:dyDescent="0.25">
      <c r="A1165" s="8">
        <v>1164</v>
      </c>
      <c r="B1165" t="s">
        <v>52</v>
      </c>
      <c r="C1165" t="s">
        <v>45</v>
      </c>
      <c r="D1165" s="8">
        <v>37</v>
      </c>
      <c r="E1165" t="str">
        <f t="shared" si="94"/>
        <v>36-45</v>
      </c>
      <c r="F1165" t="s">
        <v>46</v>
      </c>
      <c r="G1165" t="s">
        <v>39</v>
      </c>
      <c r="H1165" s="8" t="s">
        <v>48</v>
      </c>
      <c r="I1165" s="10">
        <v>10</v>
      </c>
      <c r="J1165" t="str">
        <f t="shared" si="90"/>
        <v>Moderate</v>
      </c>
      <c r="K1165">
        <v>3</v>
      </c>
      <c r="L1165" t="s">
        <v>53</v>
      </c>
      <c r="M1165">
        <v>2</v>
      </c>
      <c r="N1165">
        <v>3</v>
      </c>
      <c r="O1165">
        <v>1</v>
      </c>
      <c r="P1165" t="s">
        <v>49</v>
      </c>
      <c r="Q1165">
        <v>2</v>
      </c>
      <c r="R1165" s="11">
        <v>1470</v>
      </c>
      <c r="S1165" s="14">
        <v>71</v>
      </c>
      <c r="T1165" s="13">
        <v>3936</v>
      </c>
      <c r="U1165" s="13">
        <f t="shared" si="91"/>
        <v>47232</v>
      </c>
      <c r="V1165" s="14">
        <v>9953</v>
      </c>
      <c r="W1165">
        <v>1</v>
      </c>
      <c r="X1165" s="8" t="s">
        <v>46</v>
      </c>
      <c r="Y1165" s="15">
        <v>0.11</v>
      </c>
      <c r="Z1165">
        <v>3</v>
      </c>
      <c r="AA1165">
        <v>1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 t="str">
        <f t="shared" si="92"/>
        <v>4-7</v>
      </c>
      <c r="AI1165">
        <v>7</v>
      </c>
      <c r="AJ1165" t="str">
        <f t="shared" si="93"/>
        <v>6-8</v>
      </c>
      <c r="AK1165">
        <v>7</v>
      </c>
    </row>
    <row r="1166" spans="1:37" x14ac:dyDescent="0.25">
      <c r="A1166" s="8">
        <v>1165</v>
      </c>
      <c r="B1166" t="s">
        <v>52</v>
      </c>
      <c r="C1166" t="s">
        <v>37</v>
      </c>
      <c r="D1166" s="8">
        <v>40</v>
      </c>
      <c r="E1166" t="str">
        <f t="shared" si="94"/>
        <v>36-45</v>
      </c>
      <c r="F1166" t="s">
        <v>46</v>
      </c>
      <c r="G1166" t="s">
        <v>39</v>
      </c>
      <c r="H1166" s="8" t="s">
        <v>48</v>
      </c>
      <c r="I1166" s="10">
        <v>16</v>
      </c>
      <c r="J1166" t="str">
        <f t="shared" si="90"/>
        <v>Far</v>
      </c>
      <c r="K1166">
        <v>3</v>
      </c>
      <c r="L1166" t="s">
        <v>41</v>
      </c>
      <c r="M1166">
        <v>3</v>
      </c>
      <c r="N1166">
        <v>3</v>
      </c>
      <c r="O1166">
        <v>3</v>
      </c>
      <c r="P1166" t="s">
        <v>55</v>
      </c>
      <c r="Q1166">
        <v>4</v>
      </c>
      <c r="R1166" s="11">
        <v>448</v>
      </c>
      <c r="S1166" s="14">
        <v>84</v>
      </c>
      <c r="T1166" s="13">
        <v>7945</v>
      </c>
      <c r="U1166" s="13">
        <f t="shared" si="91"/>
        <v>95340</v>
      </c>
      <c r="V1166" s="14">
        <v>19948</v>
      </c>
      <c r="W1166">
        <v>6</v>
      </c>
      <c r="X1166" s="8" t="s">
        <v>38</v>
      </c>
      <c r="Y1166" s="15">
        <v>0.15</v>
      </c>
      <c r="Z1166">
        <v>3</v>
      </c>
      <c r="AA1166">
        <v>4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 t="str">
        <f t="shared" si="92"/>
        <v>0-3</v>
      </c>
      <c r="AI1166">
        <v>3</v>
      </c>
      <c r="AJ1166" t="str">
        <f t="shared" si="93"/>
        <v>3-5</v>
      </c>
      <c r="AK1166">
        <v>3</v>
      </c>
    </row>
    <row r="1167" spans="1:37" x14ac:dyDescent="0.25">
      <c r="A1167" s="8">
        <v>1166</v>
      </c>
      <c r="B1167" t="s">
        <v>44</v>
      </c>
      <c r="C1167" t="s">
        <v>45</v>
      </c>
      <c r="D1167" s="8">
        <v>44</v>
      </c>
      <c r="E1167" t="str">
        <f t="shared" si="94"/>
        <v>36-45</v>
      </c>
      <c r="F1167" t="s">
        <v>46</v>
      </c>
      <c r="G1167" t="s">
        <v>47</v>
      </c>
      <c r="H1167" s="8" t="s">
        <v>64</v>
      </c>
      <c r="I1167" s="10">
        <v>1</v>
      </c>
      <c r="J1167" t="str">
        <f t="shared" si="90"/>
        <v>Near</v>
      </c>
      <c r="K1167">
        <v>5</v>
      </c>
      <c r="L1167" t="s">
        <v>64</v>
      </c>
      <c r="M1167">
        <v>1</v>
      </c>
      <c r="N1167">
        <v>3</v>
      </c>
      <c r="O1167">
        <v>2</v>
      </c>
      <c r="P1167" t="s">
        <v>64</v>
      </c>
      <c r="Q1167">
        <v>4</v>
      </c>
      <c r="R1167" s="11">
        <v>602</v>
      </c>
      <c r="S1167" s="14">
        <v>37</v>
      </c>
      <c r="T1167" s="13">
        <v>5743</v>
      </c>
      <c r="U1167" s="13">
        <f t="shared" si="91"/>
        <v>68916</v>
      </c>
      <c r="V1167" s="14">
        <v>10503</v>
      </c>
      <c r="W1167">
        <v>4</v>
      </c>
      <c r="X1167" s="8" t="s">
        <v>38</v>
      </c>
      <c r="Y1167" s="15">
        <v>0.11</v>
      </c>
      <c r="Z1167">
        <v>3</v>
      </c>
      <c r="AA1167">
        <v>3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 t="str">
        <f t="shared" si="92"/>
        <v>4-7</v>
      </c>
      <c r="AI1167">
        <v>0</v>
      </c>
      <c r="AJ1167" t="str">
        <f t="shared" si="93"/>
        <v>0-2</v>
      </c>
      <c r="AK1167">
        <v>2</v>
      </c>
    </row>
    <row r="1168" spans="1:37" x14ac:dyDescent="0.25">
      <c r="A1168" s="8">
        <v>1167</v>
      </c>
      <c r="B1168" t="s">
        <v>44</v>
      </c>
      <c r="C1168" t="s">
        <v>45</v>
      </c>
      <c r="D1168" s="8">
        <v>48</v>
      </c>
      <c r="E1168" t="str">
        <f t="shared" si="94"/>
        <v>46-55</v>
      </c>
      <c r="F1168" t="s">
        <v>46</v>
      </c>
      <c r="G1168" t="s">
        <v>47</v>
      </c>
      <c r="H1168" s="8" t="s">
        <v>48</v>
      </c>
      <c r="I1168" s="10">
        <v>4</v>
      </c>
      <c r="J1168" t="str">
        <f t="shared" si="90"/>
        <v>Near</v>
      </c>
      <c r="K1168">
        <v>5</v>
      </c>
      <c r="L1168" t="s">
        <v>53</v>
      </c>
      <c r="M1168">
        <v>3</v>
      </c>
      <c r="N1168">
        <v>2</v>
      </c>
      <c r="O1168">
        <v>4</v>
      </c>
      <c r="P1168" t="s">
        <v>59</v>
      </c>
      <c r="Q1168">
        <v>4</v>
      </c>
      <c r="R1168" s="11">
        <v>365</v>
      </c>
      <c r="S1168" s="14">
        <v>89</v>
      </c>
      <c r="T1168" s="13">
        <v>15202</v>
      </c>
      <c r="U1168" s="13">
        <f t="shared" si="91"/>
        <v>182424</v>
      </c>
      <c r="V1168" s="14">
        <v>5602</v>
      </c>
      <c r="W1168">
        <v>2</v>
      </c>
      <c r="X1168" s="8" t="s">
        <v>46</v>
      </c>
      <c r="Y1168" s="15">
        <v>0.25</v>
      </c>
      <c r="Z1168">
        <v>4</v>
      </c>
      <c r="AA1168">
        <v>2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 t="str">
        <f t="shared" si="92"/>
        <v>0-3</v>
      </c>
      <c r="AI1168">
        <v>2</v>
      </c>
      <c r="AJ1168" t="str">
        <f t="shared" si="93"/>
        <v>0-2</v>
      </c>
      <c r="AK1168">
        <v>2</v>
      </c>
    </row>
    <row r="1169" spans="1:37" x14ac:dyDescent="0.25">
      <c r="A1169" s="8">
        <v>1168</v>
      </c>
      <c r="B1169" t="s">
        <v>44</v>
      </c>
      <c r="C1169" t="s">
        <v>54</v>
      </c>
      <c r="D1169" s="8">
        <v>35</v>
      </c>
      <c r="E1169" t="str">
        <f t="shared" si="94"/>
        <v>26-35</v>
      </c>
      <c r="F1169" t="s">
        <v>38</v>
      </c>
      <c r="G1169" t="s">
        <v>39</v>
      </c>
      <c r="H1169" s="8" t="s">
        <v>40</v>
      </c>
      <c r="I1169" s="10">
        <v>15</v>
      </c>
      <c r="J1169" t="str">
        <f t="shared" si="90"/>
        <v>Moderate</v>
      </c>
      <c r="K1169">
        <v>2</v>
      </c>
      <c r="L1169" t="s">
        <v>53</v>
      </c>
      <c r="M1169">
        <v>1</v>
      </c>
      <c r="N1169">
        <v>1</v>
      </c>
      <c r="O1169">
        <v>2</v>
      </c>
      <c r="P1169" t="s">
        <v>42</v>
      </c>
      <c r="Q1169">
        <v>4</v>
      </c>
      <c r="R1169" s="11">
        <v>763</v>
      </c>
      <c r="S1169" s="14">
        <v>59</v>
      </c>
      <c r="T1169" s="13">
        <v>5440</v>
      </c>
      <c r="U1169" s="13">
        <f t="shared" si="91"/>
        <v>65280</v>
      </c>
      <c r="V1169" s="14">
        <v>22098</v>
      </c>
      <c r="W1169">
        <v>6</v>
      </c>
      <c r="X1169" s="8" t="s">
        <v>38</v>
      </c>
      <c r="Y1169" s="15">
        <v>0.14000000000000001</v>
      </c>
      <c r="Z1169">
        <v>3</v>
      </c>
      <c r="AA1169">
        <v>4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 t="str">
        <f t="shared" si="92"/>
        <v>0-3</v>
      </c>
      <c r="AI1169">
        <v>2</v>
      </c>
      <c r="AJ1169" t="str">
        <f t="shared" si="93"/>
        <v>0-2</v>
      </c>
      <c r="AK1169">
        <v>2</v>
      </c>
    </row>
    <row r="1170" spans="1:37" x14ac:dyDescent="0.25">
      <c r="A1170" s="8">
        <v>1169</v>
      </c>
      <c r="B1170" t="s">
        <v>52</v>
      </c>
      <c r="C1170" t="s">
        <v>37</v>
      </c>
      <c r="D1170" s="8">
        <v>24</v>
      </c>
      <c r="E1170" t="str">
        <f t="shared" si="94"/>
        <v>18-25</v>
      </c>
      <c r="F1170" t="s">
        <v>46</v>
      </c>
      <c r="G1170" t="s">
        <v>47</v>
      </c>
      <c r="H1170" s="8" t="s">
        <v>48</v>
      </c>
      <c r="I1170" s="10">
        <v>2</v>
      </c>
      <c r="J1170" t="str">
        <f t="shared" si="90"/>
        <v>Near</v>
      </c>
      <c r="K1170">
        <v>1</v>
      </c>
      <c r="L1170" t="s">
        <v>63</v>
      </c>
      <c r="M1170">
        <v>1</v>
      </c>
      <c r="N1170">
        <v>3</v>
      </c>
      <c r="O1170">
        <v>1</v>
      </c>
      <c r="P1170" t="s">
        <v>49</v>
      </c>
      <c r="Q1170">
        <v>4</v>
      </c>
      <c r="R1170" s="11">
        <v>567</v>
      </c>
      <c r="S1170" s="14">
        <v>32</v>
      </c>
      <c r="T1170" s="13">
        <v>3760</v>
      </c>
      <c r="U1170" s="13">
        <f t="shared" si="91"/>
        <v>45120</v>
      </c>
      <c r="V1170" s="14">
        <v>17218</v>
      </c>
      <c r="W1170">
        <v>1</v>
      </c>
      <c r="X1170" s="8" t="s">
        <v>38</v>
      </c>
      <c r="Y1170" s="15">
        <v>0.13</v>
      </c>
      <c r="Z1170">
        <v>3</v>
      </c>
      <c r="AA1170">
        <v>3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 t="str">
        <f t="shared" si="92"/>
        <v>0-3</v>
      </c>
      <c r="AI1170">
        <v>1</v>
      </c>
      <c r="AJ1170" t="str">
        <f t="shared" si="93"/>
        <v>0-2</v>
      </c>
      <c r="AK1170">
        <v>3</v>
      </c>
    </row>
    <row r="1171" spans="1:37" x14ac:dyDescent="0.25">
      <c r="A1171" s="8">
        <v>1170</v>
      </c>
      <c r="B1171" t="s">
        <v>52</v>
      </c>
      <c r="C1171" t="s">
        <v>45</v>
      </c>
      <c r="D1171" s="8">
        <v>27</v>
      </c>
      <c r="E1171" t="str">
        <f t="shared" si="94"/>
        <v>26-35</v>
      </c>
      <c r="F1171" t="s">
        <v>46</v>
      </c>
      <c r="G1171" t="s">
        <v>39</v>
      </c>
      <c r="H1171" s="8" t="s">
        <v>48</v>
      </c>
      <c r="I1171" s="10">
        <v>8</v>
      </c>
      <c r="J1171" t="str">
        <f t="shared" si="90"/>
        <v>Moderate</v>
      </c>
      <c r="K1171">
        <v>3</v>
      </c>
      <c r="L1171" t="s">
        <v>53</v>
      </c>
      <c r="M1171">
        <v>2</v>
      </c>
      <c r="N1171">
        <v>4</v>
      </c>
      <c r="O1171">
        <v>1</v>
      </c>
      <c r="P1171" t="s">
        <v>49</v>
      </c>
      <c r="Q1171">
        <v>3</v>
      </c>
      <c r="R1171" s="11">
        <v>486</v>
      </c>
      <c r="S1171" s="14">
        <v>86</v>
      </c>
      <c r="T1171" s="13">
        <v>3517</v>
      </c>
      <c r="U1171" s="13">
        <f t="shared" si="91"/>
        <v>42204</v>
      </c>
      <c r="V1171" s="14">
        <v>22490</v>
      </c>
      <c r="W1171">
        <v>7</v>
      </c>
      <c r="X1171" s="8" t="s">
        <v>46</v>
      </c>
      <c r="Y1171" s="15">
        <v>0.17</v>
      </c>
      <c r="Z1171">
        <v>3</v>
      </c>
      <c r="AA1171">
        <v>1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 t="str">
        <f t="shared" si="92"/>
        <v>0-3</v>
      </c>
      <c r="AI1171">
        <v>0</v>
      </c>
      <c r="AJ1171" t="str">
        <f t="shared" si="93"/>
        <v>0-2</v>
      </c>
      <c r="AK1171">
        <v>2</v>
      </c>
    </row>
    <row r="1172" spans="1:37" x14ac:dyDescent="0.25">
      <c r="A1172" s="8">
        <v>1171</v>
      </c>
      <c r="B1172" t="s">
        <v>44</v>
      </c>
      <c r="C1172" t="s">
        <v>37</v>
      </c>
      <c r="D1172" s="8">
        <v>27</v>
      </c>
      <c r="E1172" t="str">
        <f t="shared" si="94"/>
        <v>26-35</v>
      </c>
      <c r="F1172" t="s">
        <v>46</v>
      </c>
      <c r="G1172" t="s">
        <v>47</v>
      </c>
      <c r="H1172" s="8" t="s">
        <v>48</v>
      </c>
      <c r="I1172" s="10">
        <v>2</v>
      </c>
      <c r="J1172" t="str">
        <f t="shared" si="90"/>
        <v>Near</v>
      </c>
      <c r="K1172">
        <v>3</v>
      </c>
      <c r="L1172" t="s">
        <v>53</v>
      </c>
      <c r="M1172">
        <v>4</v>
      </c>
      <c r="N1172">
        <v>3</v>
      </c>
      <c r="O1172">
        <v>1</v>
      </c>
      <c r="P1172" t="s">
        <v>49</v>
      </c>
      <c r="Q1172">
        <v>4</v>
      </c>
      <c r="R1172" s="11">
        <v>591</v>
      </c>
      <c r="S1172" s="14">
        <v>87</v>
      </c>
      <c r="T1172" s="13">
        <v>2580</v>
      </c>
      <c r="U1172" s="13">
        <f t="shared" si="91"/>
        <v>30960</v>
      </c>
      <c r="V1172" s="14">
        <v>6297</v>
      </c>
      <c r="W1172">
        <v>2</v>
      </c>
      <c r="X1172" s="8" t="s">
        <v>46</v>
      </c>
      <c r="Y1172" s="15">
        <v>0.13</v>
      </c>
      <c r="Z1172">
        <v>3</v>
      </c>
      <c r="AA1172">
        <v>3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 t="str">
        <f t="shared" si="92"/>
        <v>0-3</v>
      </c>
      <c r="AI1172">
        <v>1</v>
      </c>
      <c r="AJ1172" t="str">
        <f t="shared" si="93"/>
        <v>0-2</v>
      </c>
      <c r="AK1172">
        <v>2</v>
      </c>
    </row>
    <row r="1173" spans="1:37" x14ac:dyDescent="0.25">
      <c r="A1173" s="8">
        <v>1172</v>
      </c>
      <c r="B1173" t="s">
        <v>44</v>
      </c>
      <c r="C1173" t="s">
        <v>37</v>
      </c>
      <c r="D1173" s="8">
        <v>40</v>
      </c>
      <c r="E1173" t="str">
        <f t="shared" si="94"/>
        <v>36-45</v>
      </c>
      <c r="F1173" t="s">
        <v>38</v>
      </c>
      <c r="G1173" t="s">
        <v>39</v>
      </c>
      <c r="H1173" s="8" t="s">
        <v>48</v>
      </c>
      <c r="I1173" s="10">
        <v>7</v>
      </c>
      <c r="J1173" t="str">
        <f t="shared" si="90"/>
        <v>Moderate</v>
      </c>
      <c r="K1173">
        <v>3</v>
      </c>
      <c r="L1173" t="s">
        <v>41</v>
      </c>
      <c r="M1173">
        <v>1</v>
      </c>
      <c r="N1173">
        <v>3</v>
      </c>
      <c r="O1173">
        <v>1</v>
      </c>
      <c r="P1173" t="s">
        <v>51</v>
      </c>
      <c r="Q1173">
        <v>1</v>
      </c>
      <c r="R1173" s="11">
        <v>1329</v>
      </c>
      <c r="S1173" s="14">
        <v>73</v>
      </c>
      <c r="T1173" s="13">
        <v>2166</v>
      </c>
      <c r="U1173" s="13">
        <f t="shared" si="91"/>
        <v>25992</v>
      </c>
      <c r="V1173" s="14">
        <v>3339</v>
      </c>
      <c r="W1173">
        <v>3</v>
      </c>
      <c r="X1173" s="8" t="s">
        <v>38</v>
      </c>
      <c r="Y1173" s="15">
        <v>0.14000000000000001</v>
      </c>
      <c r="Z1173">
        <v>3</v>
      </c>
      <c r="AA1173">
        <v>2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 t="str">
        <f t="shared" si="92"/>
        <v>0-3</v>
      </c>
      <c r="AI1173">
        <v>0</v>
      </c>
      <c r="AJ1173" t="str">
        <f t="shared" si="93"/>
        <v>0-2</v>
      </c>
      <c r="AK1173">
        <v>3</v>
      </c>
    </row>
    <row r="1174" spans="1:37" x14ac:dyDescent="0.25">
      <c r="A1174" s="8">
        <v>1173</v>
      </c>
      <c r="B1174" t="s">
        <v>44</v>
      </c>
      <c r="C1174" t="s">
        <v>37</v>
      </c>
      <c r="D1174" s="8">
        <v>29</v>
      </c>
      <c r="E1174" t="str">
        <f t="shared" si="94"/>
        <v>26-35</v>
      </c>
      <c r="F1174" t="s">
        <v>46</v>
      </c>
      <c r="G1174" t="s">
        <v>39</v>
      </c>
      <c r="H1174" s="8" t="s">
        <v>40</v>
      </c>
      <c r="I1174" s="10">
        <v>10</v>
      </c>
      <c r="J1174" t="str">
        <f t="shared" si="90"/>
        <v>Moderate</v>
      </c>
      <c r="K1174">
        <v>3</v>
      </c>
      <c r="L1174" t="s">
        <v>53</v>
      </c>
      <c r="M1174">
        <v>3</v>
      </c>
      <c r="N1174">
        <v>2</v>
      </c>
      <c r="O1174">
        <v>2</v>
      </c>
      <c r="P1174" t="s">
        <v>42</v>
      </c>
      <c r="Q1174">
        <v>3</v>
      </c>
      <c r="R1174" s="11">
        <v>469</v>
      </c>
      <c r="S1174" s="14">
        <v>42</v>
      </c>
      <c r="T1174" s="13">
        <v>5869</v>
      </c>
      <c r="U1174" s="13">
        <f t="shared" si="91"/>
        <v>70428</v>
      </c>
      <c r="V1174" s="14">
        <v>23413</v>
      </c>
      <c r="W1174">
        <v>9</v>
      </c>
      <c r="X1174" s="8" t="s">
        <v>46</v>
      </c>
      <c r="Y1174" s="15">
        <v>0.11</v>
      </c>
      <c r="Z1174">
        <v>3</v>
      </c>
      <c r="AA1174">
        <v>3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 t="str">
        <f t="shared" si="92"/>
        <v>0-3</v>
      </c>
      <c r="AI1174">
        <v>1</v>
      </c>
      <c r="AJ1174" t="str">
        <f t="shared" si="93"/>
        <v>0-2</v>
      </c>
      <c r="AK1174">
        <v>4</v>
      </c>
    </row>
    <row r="1175" spans="1:37" x14ac:dyDescent="0.25">
      <c r="A1175" s="8">
        <v>1174</v>
      </c>
      <c r="B1175" t="s">
        <v>52</v>
      </c>
      <c r="C1175" t="s">
        <v>45</v>
      </c>
      <c r="D1175" s="8">
        <v>36</v>
      </c>
      <c r="E1175" t="str">
        <f t="shared" si="94"/>
        <v>36-45</v>
      </c>
      <c r="F1175" t="s">
        <v>46</v>
      </c>
      <c r="G1175" t="s">
        <v>39</v>
      </c>
      <c r="H1175" s="8" t="s">
        <v>48</v>
      </c>
      <c r="I1175" s="10">
        <v>5</v>
      </c>
      <c r="J1175" t="str">
        <f t="shared" si="90"/>
        <v>Near</v>
      </c>
      <c r="K1175">
        <v>4</v>
      </c>
      <c r="L1175" t="s">
        <v>41</v>
      </c>
      <c r="M1175">
        <v>2</v>
      </c>
      <c r="N1175">
        <v>3</v>
      </c>
      <c r="O1175">
        <v>3</v>
      </c>
      <c r="P1175" t="s">
        <v>56</v>
      </c>
      <c r="Q1175">
        <v>1</v>
      </c>
      <c r="R1175" s="11">
        <v>711</v>
      </c>
      <c r="S1175" s="14">
        <v>42</v>
      </c>
      <c r="T1175" s="13">
        <v>8008</v>
      </c>
      <c r="U1175" s="13">
        <f t="shared" si="91"/>
        <v>96096</v>
      </c>
      <c r="V1175" s="14">
        <v>22792</v>
      </c>
      <c r="W1175">
        <v>4</v>
      </c>
      <c r="X1175" s="8" t="s">
        <v>46</v>
      </c>
      <c r="Y1175" s="15">
        <v>0.12</v>
      </c>
      <c r="Z1175">
        <v>3</v>
      </c>
      <c r="AA1175">
        <v>3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 t="str">
        <f t="shared" si="92"/>
        <v>0-3</v>
      </c>
      <c r="AI1175">
        <v>0</v>
      </c>
      <c r="AJ1175" t="str">
        <f t="shared" si="93"/>
        <v>0-2</v>
      </c>
      <c r="AK1175">
        <v>2</v>
      </c>
    </row>
    <row r="1176" spans="1:37" x14ac:dyDescent="0.25">
      <c r="A1176" s="8">
        <v>1175</v>
      </c>
      <c r="B1176" t="s">
        <v>44</v>
      </c>
      <c r="C1176" t="s">
        <v>54</v>
      </c>
      <c r="D1176" s="8">
        <v>25</v>
      </c>
      <c r="E1176" t="str">
        <f t="shared" si="94"/>
        <v>26-35</v>
      </c>
      <c r="F1176" t="s">
        <v>46</v>
      </c>
      <c r="G1176" t="s">
        <v>47</v>
      </c>
      <c r="H1176" s="8" t="s">
        <v>48</v>
      </c>
      <c r="I1176" s="10">
        <v>2</v>
      </c>
      <c r="J1176" t="str">
        <f t="shared" si="90"/>
        <v>Near</v>
      </c>
      <c r="K1176">
        <v>1</v>
      </c>
      <c r="L1176" t="s">
        <v>41</v>
      </c>
      <c r="M1176">
        <v>4</v>
      </c>
      <c r="N1176">
        <v>4</v>
      </c>
      <c r="O1176">
        <v>2</v>
      </c>
      <c r="P1176" t="s">
        <v>55</v>
      </c>
      <c r="Q1176">
        <v>3</v>
      </c>
      <c r="R1176" s="11">
        <v>772</v>
      </c>
      <c r="S1176" s="14">
        <v>77</v>
      </c>
      <c r="T1176" s="13">
        <v>5206</v>
      </c>
      <c r="U1176" s="13">
        <f t="shared" si="91"/>
        <v>62472</v>
      </c>
      <c r="V1176" s="14">
        <v>4973</v>
      </c>
      <c r="W1176">
        <v>1</v>
      </c>
      <c r="X1176" s="8" t="s">
        <v>46</v>
      </c>
      <c r="Y1176" s="15">
        <v>0.17</v>
      </c>
      <c r="Z1176">
        <v>3</v>
      </c>
      <c r="AA1176">
        <v>3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 t="str">
        <f t="shared" si="92"/>
        <v>4-7</v>
      </c>
      <c r="AI1176">
        <v>0</v>
      </c>
      <c r="AJ1176" t="str">
        <f t="shared" si="93"/>
        <v>0-2</v>
      </c>
      <c r="AK1176">
        <v>7</v>
      </c>
    </row>
    <row r="1177" spans="1:37" x14ac:dyDescent="0.25">
      <c r="A1177" s="8">
        <v>1176</v>
      </c>
      <c r="B1177" t="s">
        <v>44</v>
      </c>
      <c r="C1177" t="s">
        <v>45</v>
      </c>
      <c r="D1177" s="8">
        <v>39</v>
      </c>
      <c r="E1177" t="str">
        <f t="shared" si="94"/>
        <v>36-45</v>
      </c>
      <c r="F1177" t="s">
        <v>46</v>
      </c>
      <c r="G1177" t="s">
        <v>39</v>
      </c>
      <c r="H1177" s="8" t="s">
        <v>48</v>
      </c>
      <c r="I1177" s="10">
        <v>12</v>
      </c>
      <c r="J1177" t="str">
        <f t="shared" si="90"/>
        <v>Moderate</v>
      </c>
      <c r="K1177">
        <v>3</v>
      </c>
      <c r="L1177" t="s">
        <v>53</v>
      </c>
      <c r="M1177">
        <v>4</v>
      </c>
      <c r="N1177">
        <v>3</v>
      </c>
      <c r="O1177">
        <v>2</v>
      </c>
      <c r="P1177" t="s">
        <v>55</v>
      </c>
      <c r="Q1177">
        <v>2</v>
      </c>
      <c r="R1177" s="11">
        <v>492</v>
      </c>
      <c r="S1177" s="14">
        <v>66</v>
      </c>
      <c r="T1177" s="13">
        <v>5295</v>
      </c>
      <c r="U1177" s="13">
        <f t="shared" si="91"/>
        <v>63540</v>
      </c>
      <c r="V1177" s="14">
        <v>7693</v>
      </c>
      <c r="W1177">
        <v>4</v>
      </c>
      <c r="X1177" s="8" t="s">
        <v>46</v>
      </c>
      <c r="Y1177" s="15">
        <v>0.21</v>
      </c>
      <c r="Z1177">
        <v>4</v>
      </c>
      <c r="AA1177">
        <v>3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 t="str">
        <f t="shared" si="92"/>
        <v>4-7</v>
      </c>
      <c r="AI1177">
        <v>1</v>
      </c>
      <c r="AJ1177" t="str">
        <f t="shared" si="93"/>
        <v>0-2</v>
      </c>
      <c r="AK1177">
        <v>0</v>
      </c>
    </row>
    <row r="1178" spans="1:37" x14ac:dyDescent="0.25">
      <c r="A1178" s="8">
        <v>1177</v>
      </c>
      <c r="B1178" t="s">
        <v>52</v>
      </c>
      <c r="C1178" t="s">
        <v>45</v>
      </c>
      <c r="D1178" s="8">
        <v>49</v>
      </c>
      <c r="E1178" t="str">
        <f t="shared" si="94"/>
        <v>46-55</v>
      </c>
      <c r="F1178" t="s">
        <v>46</v>
      </c>
      <c r="G1178" t="s">
        <v>39</v>
      </c>
      <c r="H1178" s="8" t="s">
        <v>48</v>
      </c>
      <c r="I1178" s="10">
        <v>22</v>
      </c>
      <c r="J1178" t="str">
        <f t="shared" si="90"/>
        <v>Far</v>
      </c>
      <c r="K1178">
        <v>4</v>
      </c>
      <c r="L1178" t="s">
        <v>50</v>
      </c>
      <c r="M1178">
        <v>1</v>
      </c>
      <c r="N1178">
        <v>3</v>
      </c>
      <c r="O1178">
        <v>4</v>
      </c>
      <c r="P1178" t="s">
        <v>61</v>
      </c>
      <c r="Q1178">
        <v>2</v>
      </c>
      <c r="R1178" s="11">
        <v>301</v>
      </c>
      <c r="S1178" s="14">
        <v>72</v>
      </c>
      <c r="T1178" s="13">
        <v>16413</v>
      </c>
      <c r="U1178" s="13">
        <f t="shared" si="91"/>
        <v>196956</v>
      </c>
      <c r="V1178" s="14">
        <v>3498</v>
      </c>
      <c r="W1178">
        <v>3</v>
      </c>
      <c r="X1178" s="8" t="s">
        <v>46</v>
      </c>
      <c r="Y1178" s="15">
        <v>0.16</v>
      </c>
      <c r="Z1178">
        <v>3</v>
      </c>
      <c r="AA1178">
        <v>2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 t="str">
        <f t="shared" si="92"/>
        <v>0-3</v>
      </c>
      <c r="AI1178">
        <v>1</v>
      </c>
      <c r="AJ1178" t="str">
        <f t="shared" si="93"/>
        <v>0-2</v>
      </c>
      <c r="AK1178">
        <v>2</v>
      </c>
    </row>
    <row r="1179" spans="1:37" x14ac:dyDescent="0.25">
      <c r="A1179" s="8">
        <v>1178</v>
      </c>
      <c r="B1179" t="s">
        <v>52</v>
      </c>
      <c r="C1179" t="s">
        <v>54</v>
      </c>
      <c r="D1179" s="8">
        <v>50</v>
      </c>
      <c r="E1179" t="str">
        <f t="shared" si="94"/>
        <v>46-55</v>
      </c>
      <c r="F1179" t="s">
        <v>46</v>
      </c>
      <c r="G1179" t="s">
        <v>39</v>
      </c>
      <c r="H1179" s="8" t="s">
        <v>48</v>
      </c>
      <c r="I1179" s="10">
        <v>17</v>
      </c>
      <c r="J1179" t="str">
        <f t="shared" si="90"/>
        <v>Far</v>
      </c>
      <c r="K1179">
        <v>5</v>
      </c>
      <c r="L1179" t="s">
        <v>41</v>
      </c>
      <c r="M1179">
        <v>4</v>
      </c>
      <c r="N1179">
        <v>2</v>
      </c>
      <c r="O1179">
        <v>3</v>
      </c>
      <c r="P1179" t="s">
        <v>61</v>
      </c>
      <c r="Q1179">
        <v>1</v>
      </c>
      <c r="R1179" s="11">
        <v>813</v>
      </c>
      <c r="S1179" s="14">
        <v>50</v>
      </c>
      <c r="T1179" s="13">
        <v>13269</v>
      </c>
      <c r="U1179" s="13">
        <f t="shared" si="91"/>
        <v>159228</v>
      </c>
      <c r="V1179" s="14">
        <v>21981</v>
      </c>
      <c r="W1179">
        <v>5</v>
      </c>
      <c r="X1179" s="8" t="s">
        <v>46</v>
      </c>
      <c r="Y1179" s="15">
        <v>0.15</v>
      </c>
      <c r="Z1179">
        <v>3</v>
      </c>
      <c r="AA1179">
        <v>3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 t="str">
        <f t="shared" si="92"/>
        <v>8-11</v>
      </c>
      <c r="AI1179">
        <v>1</v>
      </c>
      <c r="AJ1179" t="str">
        <f t="shared" si="93"/>
        <v>0-2</v>
      </c>
      <c r="AK1179">
        <v>11</v>
      </c>
    </row>
    <row r="1180" spans="1:37" x14ac:dyDescent="0.25">
      <c r="A1180" s="8">
        <v>1179</v>
      </c>
      <c r="B1180" t="s">
        <v>52</v>
      </c>
      <c r="C1180" t="s">
        <v>37</v>
      </c>
      <c r="D1180" s="8">
        <v>20</v>
      </c>
      <c r="E1180" t="str">
        <f t="shared" si="94"/>
        <v>18-25</v>
      </c>
      <c r="F1180" t="s">
        <v>46</v>
      </c>
      <c r="G1180" t="s">
        <v>39</v>
      </c>
      <c r="H1180" s="8" t="s">
        <v>40</v>
      </c>
      <c r="I1180" s="10">
        <v>2</v>
      </c>
      <c r="J1180" t="str">
        <f t="shared" si="90"/>
        <v>Near</v>
      </c>
      <c r="K1180">
        <v>3</v>
      </c>
      <c r="L1180" t="s">
        <v>53</v>
      </c>
      <c r="M1180">
        <v>3</v>
      </c>
      <c r="N1180">
        <v>3</v>
      </c>
      <c r="O1180">
        <v>1</v>
      </c>
      <c r="P1180" t="s">
        <v>60</v>
      </c>
      <c r="Q1180">
        <v>3</v>
      </c>
      <c r="R1180" s="11">
        <v>1141</v>
      </c>
      <c r="S1180" s="14">
        <v>31</v>
      </c>
      <c r="T1180" s="13">
        <v>2783</v>
      </c>
      <c r="U1180" s="13">
        <f t="shared" si="91"/>
        <v>33396</v>
      </c>
      <c r="V1180" s="14">
        <v>13251</v>
      </c>
      <c r="W1180">
        <v>1</v>
      </c>
      <c r="X1180" s="8" t="s">
        <v>46</v>
      </c>
      <c r="Y1180" s="15">
        <v>0.19</v>
      </c>
      <c r="Z1180">
        <v>3</v>
      </c>
      <c r="AA1180">
        <v>1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 t="str">
        <f t="shared" si="92"/>
        <v>0-3</v>
      </c>
      <c r="AI1180">
        <v>2</v>
      </c>
      <c r="AJ1180" t="str">
        <f t="shared" si="93"/>
        <v>0-2</v>
      </c>
      <c r="AK1180">
        <v>2</v>
      </c>
    </row>
    <row r="1181" spans="1:37" x14ac:dyDescent="0.25">
      <c r="A1181" s="8">
        <v>1180</v>
      </c>
      <c r="B1181" t="s">
        <v>52</v>
      </c>
      <c r="C1181" t="s">
        <v>54</v>
      </c>
      <c r="D1181" s="8">
        <v>34</v>
      </c>
      <c r="E1181" t="str">
        <f t="shared" si="94"/>
        <v>26-35</v>
      </c>
      <c r="F1181" t="s">
        <v>46</v>
      </c>
      <c r="G1181" t="s">
        <v>39</v>
      </c>
      <c r="H1181" s="8" t="s">
        <v>48</v>
      </c>
      <c r="I1181" s="10">
        <v>3</v>
      </c>
      <c r="J1181" t="str">
        <f t="shared" si="90"/>
        <v>Near</v>
      </c>
      <c r="K1181">
        <v>3</v>
      </c>
      <c r="L1181" t="s">
        <v>41</v>
      </c>
      <c r="M1181">
        <v>4</v>
      </c>
      <c r="N1181">
        <v>3</v>
      </c>
      <c r="O1181">
        <v>2</v>
      </c>
      <c r="P1181" t="s">
        <v>49</v>
      </c>
      <c r="Q1181">
        <v>2</v>
      </c>
      <c r="R1181" s="11">
        <v>1130</v>
      </c>
      <c r="S1181" s="14">
        <v>66</v>
      </c>
      <c r="T1181" s="13">
        <v>5433</v>
      </c>
      <c r="U1181" s="13">
        <f t="shared" si="91"/>
        <v>65196</v>
      </c>
      <c r="V1181" s="14">
        <v>19332</v>
      </c>
      <c r="W1181">
        <v>1</v>
      </c>
      <c r="X1181" s="8" t="s">
        <v>46</v>
      </c>
      <c r="Y1181" s="15">
        <v>0.12</v>
      </c>
      <c r="Z1181">
        <v>3</v>
      </c>
      <c r="AA1181">
        <v>3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 t="str">
        <f t="shared" si="92"/>
        <v>8-11</v>
      </c>
      <c r="AI1181">
        <v>7</v>
      </c>
      <c r="AJ1181" t="str">
        <f t="shared" si="93"/>
        <v>6-8</v>
      </c>
      <c r="AK1181">
        <v>9</v>
      </c>
    </row>
    <row r="1182" spans="1:37" x14ac:dyDescent="0.25">
      <c r="A1182" s="8">
        <v>1181</v>
      </c>
      <c r="B1182" t="s">
        <v>44</v>
      </c>
      <c r="C1182" t="s">
        <v>37</v>
      </c>
      <c r="D1182" s="8">
        <v>36</v>
      </c>
      <c r="E1182" t="str">
        <f t="shared" si="94"/>
        <v>36-45</v>
      </c>
      <c r="F1182" t="s">
        <v>46</v>
      </c>
      <c r="G1182" t="s">
        <v>39</v>
      </c>
      <c r="H1182" s="8" t="s">
        <v>48</v>
      </c>
      <c r="I1182" s="10">
        <v>7</v>
      </c>
      <c r="J1182" t="str">
        <f t="shared" si="90"/>
        <v>Moderate</v>
      </c>
      <c r="K1182">
        <v>3</v>
      </c>
      <c r="L1182" t="s">
        <v>41</v>
      </c>
      <c r="M1182">
        <v>1</v>
      </c>
      <c r="N1182">
        <v>3</v>
      </c>
      <c r="O1182">
        <v>1</v>
      </c>
      <c r="P1182" t="s">
        <v>51</v>
      </c>
      <c r="Q1182">
        <v>2</v>
      </c>
      <c r="R1182" s="11">
        <v>311</v>
      </c>
      <c r="S1182" s="14">
        <v>77</v>
      </c>
      <c r="T1182" s="13">
        <v>2013</v>
      </c>
      <c r="U1182" s="13">
        <f t="shared" si="91"/>
        <v>24156</v>
      </c>
      <c r="V1182" s="14">
        <v>10950</v>
      </c>
      <c r="W1182">
        <v>2</v>
      </c>
      <c r="X1182" s="8" t="s">
        <v>46</v>
      </c>
      <c r="Y1182" s="15">
        <v>0.11</v>
      </c>
      <c r="Z1182">
        <v>3</v>
      </c>
      <c r="AA1182">
        <v>3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 t="str">
        <f t="shared" si="92"/>
        <v>0-3</v>
      </c>
      <c r="AI1182">
        <v>1</v>
      </c>
      <c r="AJ1182" t="str">
        <f t="shared" si="93"/>
        <v>0-2</v>
      </c>
      <c r="AK1182">
        <v>3</v>
      </c>
    </row>
    <row r="1183" spans="1:37" x14ac:dyDescent="0.25">
      <c r="A1183" s="8">
        <v>1182</v>
      </c>
      <c r="B1183" t="s">
        <v>52</v>
      </c>
      <c r="C1183" t="s">
        <v>45</v>
      </c>
      <c r="D1183" s="8">
        <v>49</v>
      </c>
      <c r="E1183" t="str">
        <f t="shared" si="94"/>
        <v>46-55</v>
      </c>
      <c r="F1183" t="s">
        <v>46</v>
      </c>
      <c r="G1183" t="s">
        <v>39</v>
      </c>
      <c r="H1183" s="8" t="s">
        <v>48</v>
      </c>
      <c r="I1183" s="10">
        <v>6</v>
      </c>
      <c r="J1183" t="str">
        <f t="shared" si="90"/>
        <v>Moderate</v>
      </c>
      <c r="K1183">
        <v>1</v>
      </c>
      <c r="L1183" t="s">
        <v>41</v>
      </c>
      <c r="M1183">
        <v>3</v>
      </c>
      <c r="N1183">
        <v>2</v>
      </c>
      <c r="O1183">
        <v>4</v>
      </c>
      <c r="P1183" t="s">
        <v>56</v>
      </c>
      <c r="Q1183">
        <v>3</v>
      </c>
      <c r="R1183" s="11">
        <v>465</v>
      </c>
      <c r="S1183" s="14">
        <v>41</v>
      </c>
      <c r="T1183" s="13">
        <v>13966</v>
      </c>
      <c r="U1183" s="13">
        <f t="shared" si="91"/>
        <v>167592</v>
      </c>
      <c r="V1183" s="14">
        <v>11652</v>
      </c>
      <c r="W1183">
        <v>2</v>
      </c>
      <c r="X1183" s="8" t="s">
        <v>38</v>
      </c>
      <c r="Y1183" s="15">
        <v>0.19</v>
      </c>
      <c r="Z1183">
        <v>3</v>
      </c>
      <c r="AA1183">
        <v>2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 t="str">
        <f t="shared" si="92"/>
        <v>8-11</v>
      </c>
      <c r="AI1183">
        <v>2</v>
      </c>
      <c r="AJ1183" t="str">
        <f t="shared" si="93"/>
        <v>0-2</v>
      </c>
      <c r="AK1183">
        <v>12</v>
      </c>
    </row>
    <row r="1184" spans="1:37" x14ac:dyDescent="0.25">
      <c r="A1184" s="8">
        <v>1183</v>
      </c>
      <c r="B1184" t="s">
        <v>52</v>
      </c>
      <c r="C1184" t="s">
        <v>45</v>
      </c>
      <c r="D1184" s="8">
        <v>36</v>
      </c>
      <c r="E1184" t="str">
        <f t="shared" si="94"/>
        <v>36-45</v>
      </c>
      <c r="F1184" t="s">
        <v>46</v>
      </c>
      <c r="G1184" t="s">
        <v>58</v>
      </c>
      <c r="H1184" s="8" t="s">
        <v>48</v>
      </c>
      <c r="I1184" s="10">
        <v>1</v>
      </c>
      <c r="J1184" t="str">
        <f t="shared" si="90"/>
        <v>Near</v>
      </c>
      <c r="K1184">
        <v>4</v>
      </c>
      <c r="L1184" t="s">
        <v>53</v>
      </c>
      <c r="M1184">
        <v>4</v>
      </c>
      <c r="N1184">
        <v>2</v>
      </c>
      <c r="O1184">
        <v>2</v>
      </c>
      <c r="P1184" t="s">
        <v>55</v>
      </c>
      <c r="Q1184">
        <v>3</v>
      </c>
      <c r="R1184" s="11">
        <v>894</v>
      </c>
      <c r="S1184" s="14">
        <v>33</v>
      </c>
      <c r="T1184" s="13">
        <v>4374</v>
      </c>
      <c r="U1184" s="13">
        <f t="shared" si="91"/>
        <v>52488</v>
      </c>
      <c r="V1184" s="14">
        <v>15411</v>
      </c>
      <c r="W1184">
        <v>0</v>
      </c>
      <c r="X1184" s="8" t="s">
        <v>46</v>
      </c>
      <c r="Y1184" s="15">
        <v>0.15</v>
      </c>
      <c r="Z1184">
        <v>3</v>
      </c>
      <c r="AA1184">
        <v>3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 t="str">
        <f t="shared" si="92"/>
        <v>0-3</v>
      </c>
      <c r="AI1184">
        <v>1</v>
      </c>
      <c r="AJ1184" t="str">
        <f t="shared" si="93"/>
        <v>0-2</v>
      </c>
      <c r="AK1184">
        <v>2</v>
      </c>
    </row>
    <row r="1185" spans="1:37" x14ac:dyDescent="0.25">
      <c r="A1185" s="8">
        <v>1184</v>
      </c>
      <c r="B1185" t="s">
        <v>44</v>
      </c>
      <c r="C1185" t="s">
        <v>54</v>
      </c>
      <c r="D1185" s="8">
        <v>36</v>
      </c>
      <c r="E1185" t="str">
        <f t="shared" si="94"/>
        <v>36-45</v>
      </c>
      <c r="F1185" t="s">
        <v>46</v>
      </c>
      <c r="G1185" t="s">
        <v>39</v>
      </c>
      <c r="H1185" s="8" t="s">
        <v>48</v>
      </c>
      <c r="I1185" s="10">
        <v>3</v>
      </c>
      <c r="J1185" t="str">
        <f t="shared" si="90"/>
        <v>Near</v>
      </c>
      <c r="K1185">
        <v>2</v>
      </c>
      <c r="L1185" t="s">
        <v>41</v>
      </c>
      <c r="M1185">
        <v>4</v>
      </c>
      <c r="N1185">
        <v>4</v>
      </c>
      <c r="O1185">
        <v>2</v>
      </c>
      <c r="P1185" t="s">
        <v>56</v>
      </c>
      <c r="Q1185">
        <v>1</v>
      </c>
      <c r="R1185" s="11">
        <v>1040</v>
      </c>
      <c r="S1185" s="14">
        <v>79</v>
      </c>
      <c r="T1185" s="13">
        <v>6842</v>
      </c>
      <c r="U1185" s="13">
        <f t="shared" si="91"/>
        <v>82104</v>
      </c>
      <c r="V1185" s="14">
        <v>26308</v>
      </c>
      <c r="W1185">
        <v>6</v>
      </c>
      <c r="X1185" s="8" t="s">
        <v>46</v>
      </c>
      <c r="Y1185" s="15">
        <v>0.2</v>
      </c>
      <c r="Z1185">
        <v>4</v>
      </c>
      <c r="AA1185">
        <v>1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 t="str">
        <f t="shared" si="92"/>
        <v>4-7</v>
      </c>
      <c r="AI1185">
        <v>0</v>
      </c>
      <c r="AJ1185" t="str">
        <f t="shared" si="93"/>
        <v>0-2</v>
      </c>
      <c r="AK1185">
        <v>4</v>
      </c>
    </row>
    <row r="1186" spans="1:37" x14ac:dyDescent="0.25">
      <c r="A1186" s="8">
        <v>1185</v>
      </c>
      <c r="B1186" t="s">
        <v>52</v>
      </c>
      <c r="C1186" t="s">
        <v>45</v>
      </c>
      <c r="D1186" s="8">
        <v>54</v>
      </c>
      <c r="E1186" t="str">
        <f t="shared" si="94"/>
        <v>46-55</v>
      </c>
      <c r="F1186" t="s">
        <v>46</v>
      </c>
      <c r="G1186" t="s">
        <v>39</v>
      </c>
      <c r="H1186" s="8" t="s">
        <v>48</v>
      </c>
      <c r="I1186" s="10">
        <v>22</v>
      </c>
      <c r="J1186" t="str">
        <f t="shared" si="90"/>
        <v>Far</v>
      </c>
      <c r="K1186">
        <v>5</v>
      </c>
      <c r="L1186" t="s">
        <v>53</v>
      </c>
      <c r="M1186">
        <v>2</v>
      </c>
      <c r="N1186">
        <v>3</v>
      </c>
      <c r="O1186">
        <v>4</v>
      </c>
      <c r="P1186" t="s">
        <v>59</v>
      </c>
      <c r="Q1186">
        <v>3</v>
      </c>
      <c r="R1186" s="11">
        <v>584</v>
      </c>
      <c r="S1186" s="14">
        <v>91</v>
      </c>
      <c r="T1186" s="13">
        <v>17426</v>
      </c>
      <c r="U1186" s="13">
        <f t="shared" si="91"/>
        <v>209112</v>
      </c>
      <c r="V1186" s="14">
        <v>18685</v>
      </c>
      <c r="W1186">
        <v>3</v>
      </c>
      <c r="X1186" s="8" t="s">
        <v>46</v>
      </c>
      <c r="Y1186" s="15">
        <v>0.25</v>
      </c>
      <c r="Z1186">
        <v>4</v>
      </c>
      <c r="AA1186">
        <v>3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 t="str">
        <f t="shared" si="92"/>
        <v>8-11</v>
      </c>
      <c r="AI1186">
        <v>4</v>
      </c>
      <c r="AJ1186" t="str">
        <f t="shared" si="93"/>
        <v>3-5</v>
      </c>
      <c r="AK1186">
        <v>7</v>
      </c>
    </row>
    <row r="1187" spans="1:37" x14ac:dyDescent="0.25">
      <c r="A1187" s="8">
        <v>1186</v>
      </c>
      <c r="B1187" t="s">
        <v>44</v>
      </c>
      <c r="C1187" t="s">
        <v>45</v>
      </c>
      <c r="D1187" s="8">
        <v>43</v>
      </c>
      <c r="E1187" t="str">
        <f t="shared" si="94"/>
        <v>36-45</v>
      </c>
      <c r="F1187" t="s">
        <v>46</v>
      </c>
      <c r="G1187" t="s">
        <v>39</v>
      </c>
      <c r="H1187" s="8" t="s">
        <v>48</v>
      </c>
      <c r="I1187" s="10">
        <v>15</v>
      </c>
      <c r="J1187" t="str">
        <f t="shared" si="90"/>
        <v>Moderate</v>
      </c>
      <c r="K1187">
        <v>2</v>
      </c>
      <c r="L1187" t="s">
        <v>41</v>
      </c>
      <c r="M1187">
        <v>3</v>
      </c>
      <c r="N1187">
        <v>2</v>
      </c>
      <c r="O1187">
        <v>4</v>
      </c>
      <c r="P1187" t="s">
        <v>61</v>
      </c>
      <c r="Q1187">
        <v>3</v>
      </c>
      <c r="R1187" s="11">
        <v>1291</v>
      </c>
      <c r="S1187" s="14">
        <v>65</v>
      </c>
      <c r="T1187" s="13">
        <v>17603</v>
      </c>
      <c r="U1187" s="13">
        <f t="shared" si="91"/>
        <v>211236</v>
      </c>
      <c r="V1187" s="14">
        <v>3525</v>
      </c>
      <c r="W1187">
        <v>1</v>
      </c>
      <c r="X1187" s="8" t="s">
        <v>46</v>
      </c>
      <c r="Y1187" s="15">
        <v>0.24</v>
      </c>
      <c r="Z1187">
        <v>4</v>
      </c>
      <c r="AA1187">
        <v>1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 t="str">
        <f t="shared" si="92"/>
        <v>8-11</v>
      </c>
      <c r="AI1187">
        <v>6</v>
      </c>
      <c r="AJ1187" t="str">
        <f t="shared" si="93"/>
        <v>6-8</v>
      </c>
      <c r="AK1187">
        <v>11</v>
      </c>
    </row>
    <row r="1188" spans="1:37" x14ac:dyDescent="0.25">
      <c r="A1188" s="8">
        <v>1187</v>
      </c>
      <c r="B1188" t="s">
        <v>44</v>
      </c>
      <c r="C1188" t="s">
        <v>37</v>
      </c>
      <c r="D1188" s="8">
        <v>35</v>
      </c>
      <c r="E1188" t="str">
        <f t="shared" si="94"/>
        <v>26-35</v>
      </c>
      <c r="F1188" t="s">
        <v>38</v>
      </c>
      <c r="G1188" t="s">
        <v>47</v>
      </c>
      <c r="H1188" s="8" t="s">
        <v>40</v>
      </c>
      <c r="I1188" s="10">
        <v>12</v>
      </c>
      <c r="J1188" t="str">
        <f t="shared" si="90"/>
        <v>Moderate</v>
      </c>
      <c r="K1188">
        <v>4</v>
      </c>
      <c r="L1188" t="s">
        <v>50</v>
      </c>
      <c r="M1188">
        <v>4</v>
      </c>
      <c r="N1188">
        <v>3</v>
      </c>
      <c r="O1188">
        <v>2</v>
      </c>
      <c r="P1188" t="s">
        <v>42</v>
      </c>
      <c r="Q1188">
        <v>4</v>
      </c>
      <c r="R1188" s="11">
        <v>880</v>
      </c>
      <c r="S1188" s="14">
        <v>36</v>
      </c>
      <c r="T1188" s="13">
        <v>4581</v>
      </c>
      <c r="U1188" s="13">
        <f t="shared" si="91"/>
        <v>54972</v>
      </c>
      <c r="V1188" s="14">
        <v>10414</v>
      </c>
      <c r="W1188">
        <v>3</v>
      </c>
      <c r="X1188" s="8" t="s">
        <v>38</v>
      </c>
      <c r="Y1188" s="15">
        <v>0.24</v>
      </c>
      <c r="Z1188">
        <v>4</v>
      </c>
      <c r="AA1188">
        <v>1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 t="str">
        <f t="shared" si="92"/>
        <v>8-11</v>
      </c>
      <c r="AI1188">
        <v>6</v>
      </c>
      <c r="AJ1188" t="str">
        <f t="shared" si="93"/>
        <v>6-8</v>
      </c>
      <c r="AK1188">
        <v>7</v>
      </c>
    </row>
    <row r="1189" spans="1:37" x14ac:dyDescent="0.25">
      <c r="A1189" s="8">
        <v>1188</v>
      </c>
      <c r="B1189" t="s">
        <v>44</v>
      </c>
      <c r="C1189" t="s">
        <v>45</v>
      </c>
      <c r="D1189" s="8">
        <v>38</v>
      </c>
      <c r="E1189" t="str">
        <f t="shared" si="94"/>
        <v>36-45</v>
      </c>
      <c r="F1189" t="s">
        <v>46</v>
      </c>
      <c r="G1189" t="s">
        <v>47</v>
      </c>
      <c r="H1189" s="8" t="s">
        <v>48</v>
      </c>
      <c r="I1189" s="10">
        <v>1</v>
      </c>
      <c r="J1189" t="str">
        <f t="shared" si="90"/>
        <v>Near</v>
      </c>
      <c r="K1189">
        <v>3</v>
      </c>
      <c r="L1189" t="s">
        <v>41</v>
      </c>
      <c r="M1189">
        <v>4</v>
      </c>
      <c r="N1189">
        <v>3</v>
      </c>
      <c r="O1189">
        <v>2</v>
      </c>
      <c r="P1189" t="s">
        <v>49</v>
      </c>
      <c r="Q1189">
        <v>4</v>
      </c>
      <c r="R1189" s="11">
        <v>1189</v>
      </c>
      <c r="S1189" s="14">
        <v>90</v>
      </c>
      <c r="T1189" s="13">
        <v>4735</v>
      </c>
      <c r="U1189" s="13">
        <f t="shared" si="91"/>
        <v>56820</v>
      </c>
      <c r="V1189" s="14">
        <v>9867</v>
      </c>
      <c r="W1189">
        <v>7</v>
      </c>
      <c r="X1189" s="8" t="s">
        <v>46</v>
      </c>
      <c r="Y1189" s="15">
        <v>0.15</v>
      </c>
      <c r="Z1189">
        <v>3</v>
      </c>
      <c r="AA1189">
        <v>4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 t="str">
        <f t="shared" si="92"/>
        <v>8-11</v>
      </c>
      <c r="AI1189">
        <v>2</v>
      </c>
      <c r="AJ1189" t="str">
        <f t="shared" si="93"/>
        <v>0-2</v>
      </c>
      <c r="AK1189">
        <v>9</v>
      </c>
    </row>
    <row r="1190" spans="1:37" x14ac:dyDescent="0.25">
      <c r="A1190" s="8">
        <v>1189</v>
      </c>
      <c r="B1190" t="s">
        <v>44</v>
      </c>
      <c r="C1190" t="s">
        <v>54</v>
      </c>
      <c r="D1190" s="8">
        <v>29</v>
      </c>
      <c r="E1190" t="str">
        <f t="shared" si="94"/>
        <v>26-35</v>
      </c>
      <c r="F1190" t="s">
        <v>46</v>
      </c>
      <c r="G1190" t="s">
        <v>39</v>
      </c>
      <c r="H1190" s="8" t="s">
        <v>40</v>
      </c>
      <c r="I1190" s="10">
        <v>5</v>
      </c>
      <c r="J1190" t="str">
        <f t="shared" si="90"/>
        <v>Near</v>
      </c>
      <c r="K1190">
        <v>3</v>
      </c>
      <c r="L1190" t="s">
        <v>53</v>
      </c>
      <c r="M1190">
        <v>1</v>
      </c>
      <c r="N1190">
        <v>2</v>
      </c>
      <c r="O1190">
        <v>2</v>
      </c>
      <c r="P1190" t="s">
        <v>42</v>
      </c>
      <c r="Q1190">
        <v>2</v>
      </c>
      <c r="R1190" s="11">
        <v>991</v>
      </c>
      <c r="S1190" s="14">
        <v>43</v>
      </c>
      <c r="T1190" s="13">
        <v>4187</v>
      </c>
      <c r="U1190" s="13">
        <f t="shared" si="91"/>
        <v>50244</v>
      </c>
      <c r="V1190" s="14">
        <v>3356</v>
      </c>
      <c r="W1190">
        <v>1</v>
      </c>
      <c r="X1190" s="8" t="s">
        <v>38</v>
      </c>
      <c r="Y1190" s="15">
        <v>0.13</v>
      </c>
      <c r="Z1190">
        <v>3</v>
      </c>
      <c r="AA1190">
        <v>2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 t="str">
        <f t="shared" si="92"/>
        <v>0-3</v>
      </c>
      <c r="AI1190">
        <v>0</v>
      </c>
      <c r="AJ1190" t="str">
        <f t="shared" si="93"/>
        <v>0-2</v>
      </c>
      <c r="AK1190">
        <v>9</v>
      </c>
    </row>
    <row r="1191" spans="1:37" x14ac:dyDescent="0.25">
      <c r="A1191" s="8">
        <v>1190</v>
      </c>
      <c r="B1191" t="s">
        <v>44</v>
      </c>
      <c r="C1191" t="s">
        <v>54</v>
      </c>
      <c r="D1191" s="8">
        <v>33</v>
      </c>
      <c r="E1191" t="str">
        <f t="shared" si="94"/>
        <v>26-35</v>
      </c>
      <c r="F1191" t="s">
        <v>46</v>
      </c>
      <c r="G1191" t="s">
        <v>39</v>
      </c>
      <c r="H1191" s="8" t="s">
        <v>40</v>
      </c>
      <c r="I1191" s="10">
        <v>2</v>
      </c>
      <c r="J1191" t="str">
        <f t="shared" si="90"/>
        <v>Near</v>
      </c>
      <c r="K1191">
        <v>4</v>
      </c>
      <c r="L1191" t="s">
        <v>53</v>
      </c>
      <c r="M1191">
        <v>4</v>
      </c>
      <c r="N1191">
        <v>3</v>
      </c>
      <c r="O1191">
        <v>2</v>
      </c>
      <c r="P1191" t="s">
        <v>42</v>
      </c>
      <c r="Q1191">
        <v>4</v>
      </c>
      <c r="R1191" s="11">
        <v>392</v>
      </c>
      <c r="S1191" s="14">
        <v>93</v>
      </c>
      <c r="T1191" s="13">
        <v>5505</v>
      </c>
      <c r="U1191" s="13">
        <f t="shared" si="91"/>
        <v>66060</v>
      </c>
      <c r="V1191" s="14">
        <v>3921</v>
      </c>
      <c r="W1191">
        <v>1</v>
      </c>
      <c r="X1191" s="8" t="s">
        <v>46</v>
      </c>
      <c r="Y1191" s="15">
        <v>0.14000000000000001</v>
      </c>
      <c r="Z1191">
        <v>3</v>
      </c>
      <c r="AA1191">
        <v>3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 t="str">
        <f t="shared" si="92"/>
        <v>0-3</v>
      </c>
      <c r="AI1191">
        <v>0</v>
      </c>
      <c r="AJ1191" t="str">
        <f t="shared" si="93"/>
        <v>0-2</v>
      </c>
      <c r="AK1191">
        <v>4</v>
      </c>
    </row>
    <row r="1192" spans="1:37" x14ac:dyDescent="0.25">
      <c r="A1192" s="8">
        <v>1191</v>
      </c>
      <c r="B1192" t="s">
        <v>44</v>
      </c>
      <c r="C1192" t="s">
        <v>54</v>
      </c>
      <c r="D1192" s="8">
        <v>32</v>
      </c>
      <c r="E1192" t="str">
        <f t="shared" si="94"/>
        <v>26-35</v>
      </c>
      <c r="F1192" t="s">
        <v>46</v>
      </c>
      <c r="G1192" t="s">
        <v>39</v>
      </c>
      <c r="H1192" s="8" t="s">
        <v>48</v>
      </c>
      <c r="I1192" s="10">
        <v>2</v>
      </c>
      <c r="J1192" t="str">
        <f t="shared" si="90"/>
        <v>Near</v>
      </c>
      <c r="K1192">
        <v>3</v>
      </c>
      <c r="L1192" t="s">
        <v>53</v>
      </c>
      <c r="M1192">
        <v>4</v>
      </c>
      <c r="N1192">
        <v>3</v>
      </c>
      <c r="O1192">
        <v>2</v>
      </c>
      <c r="P1192" t="s">
        <v>49</v>
      </c>
      <c r="Q1192">
        <v>2</v>
      </c>
      <c r="R1192" s="11">
        <v>977</v>
      </c>
      <c r="S1192" s="14">
        <v>45</v>
      </c>
      <c r="T1192" s="13">
        <v>5470</v>
      </c>
      <c r="U1192" s="13">
        <f t="shared" si="91"/>
        <v>65640</v>
      </c>
      <c r="V1192" s="14">
        <v>25518</v>
      </c>
      <c r="W1192">
        <v>0</v>
      </c>
      <c r="X1192" s="8" t="s">
        <v>46</v>
      </c>
      <c r="Y1192" s="15">
        <v>0.13</v>
      </c>
      <c r="Z1192">
        <v>3</v>
      </c>
      <c r="AA1192">
        <v>3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 t="str">
        <f t="shared" si="92"/>
        <v>4-7</v>
      </c>
      <c r="AI1192">
        <v>1</v>
      </c>
      <c r="AJ1192" t="str">
        <f t="shared" si="93"/>
        <v>0-2</v>
      </c>
      <c r="AK1192">
        <v>6</v>
      </c>
    </row>
    <row r="1193" spans="1:37" x14ac:dyDescent="0.25">
      <c r="A1193" s="8">
        <v>1192</v>
      </c>
      <c r="B1193" t="s">
        <v>52</v>
      </c>
      <c r="C1193" t="s">
        <v>45</v>
      </c>
      <c r="D1193" s="8">
        <v>31</v>
      </c>
      <c r="E1193" t="str">
        <f t="shared" si="94"/>
        <v>26-35</v>
      </c>
      <c r="F1193" t="s">
        <v>46</v>
      </c>
      <c r="G1193" t="s">
        <v>39</v>
      </c>
      <c r="H1193" s="8" t="s">
        <v>40</v>
      </c>
      <c r="I1193" s="10">
        <v>5</v>
      </c>
      <c r="J1193" t="str">
        <f t="shared" si="90"/>
        <v>Near</v>
      </c>
      <c r="K1193">
        <v>4</v>
      </c>
      <c r="L1193" t="s">
        <v>41</v>
      </c>
      <c r="M1193">
        <v>1</v>
      </c>
      <c r="N1193">
        <v>3</v>
      </c>
      <c r="O1193">
        <v>2</v>
      </c>
      <c r="P1193" t="s">
        <v>42</v>
      </c>
      <c r="Q1193">
        <v>4</v>
      </c>
      <c r="R1193" s="11">
        <v>1112</v>
      </c>
      <c r="S1193" s="14">
        <v>67</v>
      </c>
      <c r="T1193" s="13">
        <v>5476</v>
      </c>
      <c r="U1193" s="13">
        <f t="shared" si="91"/>
        <v>65712</v>
      </c>
      <c r="V1193" s="14">
        <v>22589</v>
      </c>
      <c r="W1193">
        <v>1</v>
      </c>
      <c r="X1193" s="8" t="s">
        <v>46</v>
      </c>
      <c r="Y1193" s="15">
        <v>0.11</v>
      </c>
      <c r="Z1193">
        <v>3</v>
      </c>
      <c r="AA1193">
        <v>1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 t="str">
        <f t="shared" si="92"/>
        <v>0-3</v>
      </c>
      <c r="AI1193">
        <v>0</v>
      </c>
      <c r="AJ1193" t="str">
        <f t="shared" si="93"/>
        <v>0-2</v>
      </c>
      <c r="AK1193">
        <v>2</v>
      </c>
    </row>
    <row r="1194" spans="1:37" x14ac:dyDescent="0.25">
      <c r="A1194" s="8">
        <v>1193</v>
      </c>
      <c r="B1194" t="s">
        <v>52</v>
      </c>
      <c r="C1194" t="s">
        <v>54</v>
      </c>
      <c r="D1194" s="8">
        <v>49</v>
      </c>
      <c r="E1194" t="str">
        <f t="shared" si="94"/>
        <v>46-55</v>
      </c>
      <c r="F1194" t="s">
        <v>46</v>
      </c>
      <c r="G1194" t="s">
        <v>39</v>
      </c>
      <c r="H1194" s="8" t="s">
        <v>48</v>
      </c>
      <c r="I1194" s="10">
        <v>16</v>
      </c>
      <c r="J1194" t="str">
        <f t="shared" si="90"/>
        <v>Far</v>
      </c>
      <c r="K1194">
        <v>3</v>
      </c>
      <c r="L1194" t="s">
        <v>53</v>
      </c>
      <c r="M1194">
        <v>4</v>
      </c>
      <c r="N1194">
        <v>3</v>
      </c>
      <c r="O1194">
        <v>1</v>
      </c>
      <c r="P1194" t="s">
        <v>51</v>
      </c>
      <c r="Q1194">
        <v>1</v>
      </c>
      <c r="R1194" s="11">
        <v>464</v>
      </c>
      <c r="S1194" s="14">
        <v>74</v>
      </c>
      <c r="T1194" s="13">
        <v>2587</v>
      </c>
      <c r="U1194" s="13">
        <f t="shared" si="91"/>
        <v>31044</v>
      </c>
      <c r="V1194" s="14">
        <v>24941</v>
      </c>
      <c r="W1194">
        <v>4</v>
      </c>
      <c r="X1194" s="8" t="s">
        <v>38</v>
      </c>
      <c r="Y1194" s="15">
        <v>0.16</v>
      </c>
      <c r="Z1194">
        <v>3</v>
      </c>
      <c r="AA1194">
        <v>2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 t="str">
        <f t="shared" si="92"/>
        <v>0-3</v>
      </c>
      <c r="AI1194">
        <v>2</v>
      </c>
      <c r="AJ1194" t="str">
        <f t="shared" si="93"/>
        <v>0-2</v>
      </c>
      <c r="AK1194">
        <v>2</v>
      </c>
    </row>
    <row r="1195" spans="1:37" x14ac:dyDescent="0.25">
      <c r="A1195" s="8">
        <v>1194</v>
      </c>
      <c r="B1195" t="s">
        <v>52</v>
      </c>
      <c r="C1195" t="s">
        <v>37</v>
      </c>
      <c r="D1195" s="8">
        <v>38</v>
      </c>
      <c r="E1195" t="str">
        <f t="shared" si="94"/>
        <v>36-45</v>
      </c>
      <c r="F1195" t="s">
        <v>46</v>
      </c>
      <c r="G1195" t="s">
        <v>47</v>
      </c>
      <c r="H1195" s="8" t="s">
        <v>48</v>
      </c>
      <c r="I1195" s="10">
        <v>2</v>
      </c>
      <c r="J1195" t="str">
        <f t="shared" si="90"/>
        <v>Near</v>
      </c>
      <c r="K1195">
        <v>3</v>
      </c>
      <c r="L1195" t="s">
        <v>53</v>
      </c>
      <c r="M1195">
        <v>4</v>
      </c>
      <c r="N1195">
        <v>2</v>
      </c>
      <c r="O1195">
        <v>1</v>
      </c>
      <c r="P1195" t="s">
        <v>51</v>
      </c>
      <c r="Q1195">
        <v>2</v>
      </c>
      <c r="R1195" s="11">
        <v>148</v>
      </c>
      <c r="S1195" s="14">
        <v>42</v>
      </c>
      <c r="T1195" s="13">
        <v>2440</v>
      </c>
      <c r="U1195" s="13">
        <f t="shared" si="91"/>
        <v>29280</v>
      </c>
      <c r="V1195" s="14">
        <v>23826</v>
      </c>
      <c r="W1195">
        <v>1</v>
      </c>
      <c r="X1195" s="8" t="s">
        <v>46</v>
      </c>
      <c r="Y1195" s="15">
        <v>0.22</v>
      </c>
      <c r="Z1195">
        <v>4</v>
      </c>
      <c r="AA1195">
        <v>2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 t="str">
        <f t="shared" si="92"/>
        <v>0-3</v>
      </c>
      <c r="AI1195">
        <v>3</v>
      </c>
      <c r="AJ1195" t="str">
        <f t="shared" si="93"/>
        <v>3-5</v>
      </c>
      <c r="AK1195">
        <v>3</v>
      </c>
    </row>
    <row r="1196" spans="1:37" x14ac:dyDescent="0.25">
      <c r="A1196" s="8">
        <v>1195</v>
      </c>
      <c r="B1196" t="s">
        <v>52</v>
      </c>
      <c r="C1196" t="s">
        <v>54</v>
      </c>
      <c r="D1196" s="8">
        <v>47</v>
      </c>
      <c r="E1196" t="str">
        <f t="shared" si="94"/>
        <v>46-55</v>
      </c>
      <c r="F1196" t="s">
        <v>46</v>
      </c>
      <c r="G1196" t="s">
        <v>39</v>
      </c>
      <c r="H1196" s="8" t="s">
        <v>40</v>
      </c>
      <c r="I1196" s="10">
        <v>2</v>
      </c>
      <c r="J1196" t="str">
        <f t="shared" si="90"/>
        <v>Near</v>
      </c>
      <c r="K1196">
        <v>4</v>
      </c>
      <c r="L1196" t="s">
        <v>41</v>
      </c>
      <c r="M1196">
        <v>2</v>
      </c>
      <c r="N1196">
        <v>4</v>
      </c>
      <c r="O1196">
        <v>4</v>
      </c>
      <c r="P1196" t="s">
        <v>59</v>
      </c>
      <c r="Q1196">
        <v>2</v>
      </c>
      <c r="R1196" s="11">
        <v>1225</v>
      </c>
      <c r="S1196" s="14">
        <v>47</v>
      </c>
      <c r="T1196" s="13">
        <v>15972</v>
      </c>
      <c r="U1196" s="13">
        <f t="shared" si="91"/>
        <v>191664</v>
      </c>
      <c r="V1196" s="14">
        <v>21086</v>
      </c>
      <c r="W1196">
        <v>6</v>
      </c>
      <c r="X1196" s="8" t="s">
        <v>46</v>
      </c>
      <c r="Y1196" s="15">
        <v>0.14000000000000001</v>
      </c>
      <c r="Z1196">
        <v>3</v>
      </c>
      <c r="AA1196">
        <v>3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 t="str">
        <f t="shared" si="92"/>
        <v>0-3</v>
      </c>
      <c r="AI1196">
        <v>1</v>
      </c>
      <c r="AJ1196" t="str">
        <f t="shared" si="93"/>
        <v>0-2</v>
      </c>
      <c r="AK1196">
        <v>2</v>
      </c>
    </row>
    <row r="1197" spans="1:37" x14ac:dyDescent="0.25">
      <c r="A1197" s="8">
        <v>1196</v>
      </c>
      <c r="B1197" t="s">
        <v>44</v>
      </c>
      <c r="C1197" t="s">
        <v>37</v>
      </c>
      <c r="D1197" s="8">
        <v>49</v>
      </c>
      <c r="E1197" t="str">
        <f t="shared" si="94"/>
        <v>46-55</v>
      </c>
      <c r="F1197" t="s">
        <v>46</v>
      </c>
      <c r="G1197" t="s">
        <v>39</v>
      </c>
      <c r="H1197" s="8" t="s">
        <v>48</v>
      </c>
      <c r="I1197" s="10">
        <v>1</v>
      </c>
      <c r="J1197" t="str">
        <f t="shared" si="90"/>
        <v>Near</v>
      </c>
      <c r="K1197">
        <v>3</v>
      </c>
      <c r="L1197" t="s">
        <v>41</v>
      </c>
      <c r="M1197">
        <v>3</v>
      </c>
      <c r="N1197">
        <v>3</v>
      </c>
      <c r="O1197">
        <v>4</v>
      </c>
      <c r="P1197" t="s">
        <v>59</v>
      </c>
      <c r="Q1197">
        <v>3</v>
      </c>
      <c r="R1197" s="11">
        <v>809</v>
      </c>
      <c r="S1197" s="14">
        <v>36</v>
      </c>
      <c r="T1197" s="13">
        <v>15379</v>
      </c>
      <c r="U1197" s="13">
        <f t="shared" si="91"/>
        <v>184548</v>
      </c>
      <c r="V1197" s="14">
        <v>22384</v>
      </c>
      <c r="W1197">
        <v>4</v>
      </c>
      <c r="X1197" s="8" t="s">
        <v>46</v>
      </c>
      <c r="Y1197" s="15">
        <v>0.14000000000000001</v>
      </c>
      <c r="Z1197">
        <v>3</v>
      </c>
      <c r="AA1197">
        <v>1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 t="str">
        <f t="shared" si="92"/>
        <v>4-7</v>
      </c>
      <c r="AI1197">
        <v>0</v>
      </c>
      <c r="AJ1197" t="str">
        <f t="shared" si="93"/>
        <v>0-2</v>
      </c>
      <c r="AK1197">
        <v>0</v>
      </c>
    </row>
    <row r="1198" spans="1:37" x14ac:dyDescent="0.25">
      <c r="A1198" s="8">
        <v>1197</v>
      </c>
      <c r="B1198" t="s">
        <v>44</v>
      </c>
      <c r="C1198" t="s">
        <v>37</v>
      </c>
      <c r="D1198" s="8">
        <v>41</v>
      </c>
      <c r="E1198" t="str">
        <f t="shared" si="94"/>
        <v>36-45</v>
      </c>
      <c r="F1198" t="s">
        <v>46</v>
      </c>
      <c r="G1198" t="s">
        <v>39</v>
      </c>
      <c r="H1198" s="8" t="s">
        <v>40</v>
      </c>
      <c r="I1198" s="10">
        <v>23</v>
      </c>
      <c r="J1198" t="str">
        <f t="shared" si="90"/>
        <v>Far</v>
      </c>
      <c r="K1198">
        <v>2</v>
      </c>
      <c r="L1198" t="s">
        <v>41</v>
      </c>
      <c r="M1198">
        <v>4</v>
      </c>
      <c r="N1198">
        <v>3</v>
      </c>
      <c r="O1198">
        <v>3</v>
      </c>
      <c r="P1198" t="s">
        <v>42</v>
      </c>
      <c r="Q1198">
        <v>3</v>
      </c>
      <c r="R1198" s="11">
        <v>1206</v>
      </c>
      <c r="S1198" s="14">
        <v>80</v>
      </c>
      <c r="T1198" s="13">
        <v>7082</v>
      </c>
      <c r="U1198" s="13">
        <f t="shared" si="91"/>
        <v>84984</v>
      </c>
      <c r="V1198" s="14">
        <v>11591</v>
      </c>
      <c r="W1198">
        <v>3</v>
      </c>
      <c r="X1198" s="8" t="s">
        <v>38</v>
      </c>
      <c r="Y1198" s="15">
        <v>0.16</v>
      </c>
      <c r="Z1198">
        <v>3</v>
      </c>
      <c r="AA1198">
        <v>4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 t="str">
        <f t="shared" si="92"/>
        <v>0-3</v>
      </c>
      <c r="AI1198">
        <v>0</v>
      </c>
      <c r="AJ1198" t="str">
        <f t="shared" si="93"/>
        <v>0-2</v>
      </c>
      <c r="AK1198">
        <v>2</v>
      </c>
    </row>
    <row r="1199" spans="1:37" x14ac:dyDescent="0.25">
      <c r="A1199" s="8">
        <v>1198</v>
      </c>
      <c r="B1199" t="s">
        <v>44</v>
      </c>
      <c r="C1199" t="s">
        <v>37</v>
      </c>
      <c r="D1199" s="8">
        <v>20</v>
      </c>
      <c r="E1199" t="str">
        <f t="shared" si="94"/>
        <v>18-25</v>
      </c>
      <c r="F1199" t="s">
        <v>46</v>
      </c>
      <c r="G1199" t="s">
        <v>39</v>
      </c>
      <c r="H1199" s="8" t="s">
        <v>40</v>
      </c>
      <c r="I1199" s="10">
        <v>9</v>
      </c>
      <c r="J1199" t="str">
        <f t="shared" si="90"/>
        <v>Moderate</v>
      </c>
      <c r="K1199">
        <v>1</v>
      </c>
      <c r="L1199" t="s">
        <v>41</v>
      </c>
      <c r="M1199">
        <v>4</v>
      </c>
      <c r="N1199">
        <v>3</v>
      </c>
      <c r="O1199">
        <v>1</v>
      </c>
      <c r="P1199" t="s">
        <v>60</v>
      </c>
      <c r="Q1199">
        <v>1</v>
      </c>
      <c r="R1199" s="11">
        <v>727</v>
      </c>
      <c r="S1199" s="14">
        <v>54</v>
      </c>
      <c r="T1199" s="13">
        <v>2728</v>
      </c>
      <c r="U1199" s="13">
        <f t="shared" si="91"/>
        <v>32736</v>
      </c>
      <c r="V1199" s="14">
        <v>21082</v>
      </c>
      <c r="W1199">
        <v>1</v>
      </c>
      <c r="X1199" s="8" t="s">
        <v>46</v>
      </c>
      <c r="Y1199" s="15">
        <v>0.11</v>
      </c>
      <c r="Z1199">
        <v>3</v>
      </c>
      <c r="AA1199">
        <v>1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 t="str">
        <f t="shared" si="92"/>
        <v>0-3</v>
      </c>
      <c r="AI1199">
        <v>0</v>
      </c>
      <c r="AJ1199" t="str">
        <f t="shared" si="93"/>
        <v>0-2</v>
      </c>
      <c r="AK1199">
        <v>2</v>
      </c>
    </row>
    <row r="1200" spans="1:37" x14ac:dyDescent="0.25">
      <c r="A1200" s="8">
        <v>1199</v>
      </c>
      <c r="B1200" t="s">
        <v>52</v>
      </c>
      <c r="C1200" t="s">
        <v>54</v>
      </c>
      <c r="D1200" s="8">
        <v>33</v>
      </c>
      <c r="E1200" t="str">
        <f t="shared" si="94"/>
        <v>26-35</v>
      </c>
      <c r="F1200" t="s">
        <v>46</v>
      </c>
      <c r="G1200" t="s">
        <v>58</v>
      </c>
      <c r="H1200" s="8" t="s">
        <v>40</v>
      </c>
      <c r="I1200" s="10">
        <v>16</v>
      </c>
      <c r="J1200" t="str">
        <f t="shared" si="90"/>
        <v>Far</v>
      </c>
      <c r="K1200">
        <v>3</v>
      </c>
      <c r="L1200" t="s">
        <v>41</v>
      </c>
      <c r="M1200">
        <v>3</v>
      </c>
      <c r="N1200">
        <v>3</v>
      </c>
      <c r="O1200">
        <v>2</v>
      </c>
      <c r="P1200" t="s">
        <v>42</v>
      </c>
      <c r="Q1200">
        <v>4</v>
      </c>
      <c r="R1200" s="11">
        <v>530</v>
      </c>
      <c r="S1200" s="14">
        <v>36</v>
      </c>
      <c r="T1200" s="13">
        <v>5368</v>
      </c>
      <c r="U1200" s="13">
        <f t="shared" si="91"/>
        <v>64416</v>
      </c>
      <c r="V1200" s="14">
        <v>16130</v>
      </c>
      <c r="W1200">
        <v>1</v>
      </c>
      <c r="X1200" s="8" t="s">
        <v>38</v>
      </c>
      <c r="Y1200" s="15">
        <v>0.25</v>
      </c>
      <c r="Z1200">
        <v>4</v>
      </c>
      <c r="AA1200">
        <v>3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 t="str">
        <f t="shared" si="92"/>
        <v>4-7</v>
      </c>
      <c r="AI1200">
        <v>1</v>
      </c>
      <c r="AJ1200" t="str">
        <f t="shared" si="93"/>
        <v>0-2</v>
      </c>
      <c r="AK1200">
        <v>2</v>
      </c>
    </row>
    <row r="1201" spans="1:37" x14ac:dyDescent="0.25">
      <c r="A1201" s="8">
        <v>1200</v>
      </c>
      <c r="B1201" t="s">
        <v>44</v>
      </c>
      <c r="C1201" t="s">
        <v>45</v>
      </c>
      <c r="D1201" s="8">
        <v>36</v>
      </c>
      <c r="E1201" t="str">
        <f t="shared" si="94"/>
        <v>36-45</v>
      </c>
      <c r="F1201" t="s">
        <v>46</v>
      </c>
      <c r="G1201" t="s">
        <v>39</v>
      </c>
      <c r="H1201" s="8" t="s">
        <v>48</v>
      </c>
      <c r="I1201" s="10">
        <v>26</v>
      </c>
      <c r="J1201" t="str">
        <f t="shared" si="90"/>
        <v>Far</v>
      </c>
      <c r="K1201">
        <v>4</v>
      </c>
      <c r="L1201" t="s">
        <v>41</v>
      </c>
      <c r="M1201">
        <v>1</v>
      </c>
      <c r="N1201">
        <v>3</v>
      </c>
      <c r="O1201">
        <v>2</v>
      </c>
      <c r="P1201" t="s">
        <v>56</v>
      </c>
      <c r="Q1201">
        <v>3</v>
      </c>
      <c r="R1201" s="11">
        <v>1351</v>
      </c>
      <c r="S1201" s="14">
        <v>80</v>
      </c>
      <c r="T1201" s="13">
        <v>5347</v>
      </c>
      <c r="U1201" s="13">
        <f t="shared" si="91"/>
        <v>64164</v>
      </c>
      <c r="V1201" s="14">
        <v>7419</v>
      </c>
      <c r="W1201">
        <v>6</v>
      </c>
      <c r="X1201" s="8" t="s">
        <v>46</v>
      </c>
      <c r="Y1201" s="15">
        <v>0.14000000000000001</v>
      </c>
      <c r="Z1201">
        <v>3</v>
      </c>
      <c r="AA1201">
        <v>2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 t="str">
        <f t="shared" si="92"/>
        <v>0-3</v>
      </c>
      <c r="AI1201">
        <v>0</v>
      </c>
      <c r="AJ1201" t="str">
        <f t="shared" si="93"/>
        <v>0-2</v>
      </c>
      <c r="AK1201">
        <v>2</v>
      </c>
    </row>
    <row r="1202" spans="1:37" x14ac:dyDescent="0.25">
      <c r="A1202" s="8">
        <v>1201</v>
      </c>
      <c r="B1202" t="s">
        <v>52</v>
      </c>
      <c r="C1202" t="s">
        <v>54</v>
      </c>
      <c r="D1202" s="8">
        <v>44</v>
      </c>
      <c r="E1202" t="str">
        <f t="shared" si="94"/>
        <v>36-45</v>
      </c>
      <c r="F1202" t="s">
        <v>46</v>
      </c>
      <c r="G1202" t="s">
        <v>39</v>
      </c>
      <c r="H1202" s="8" t="s">
        <v>64</v>
      </c>
      <c r="I1202" s="10">
        <v>1</v>
      </c>
      <c r="J1202" t="str">
        <f t="shared" si="90"/>
        <v>Near</v>
      </c>
      <c r="K1202">
        <v>3</v>
      </c>
      <c r="L1202" t="s">
        <v>41</v>
      </c>
      <c r="M1202">
        <v>3</v>
      </c>
      <c r="N1202">
        <v>3</v>
      </c>
      <c r="O1202">
        <v>1</v>
      </c>
      <c r="P1202" t="s">
        <v>64</v>
      </c>
      <c r="Q1202">
        <v>4</v>
      </c>
      <c r="R1202" s="11">
        <v>528</v>
      </c>
      <c r="S1202" s="14">
        <v>44</v>
      </c>
      <c r="T1202" s="13">
        <v>3195</v>
      </c>
      <c r="U1202" s="13">
        <f t="shared" si="91"/>
        <v>38340</v>
      </c>
      <c r="V1202" s="14">
        <v>4167</v>
      </c>
      <c r="W1202">
        <v>4</v>
      </c>
      <c r="X1202" s="8" t="s">
        <v>38</v>
      </c>
      <c r="Y1202" s="15">
        <v>0.18</v>
      </c>
      <c r="Z1202">
        <v>3</v>
      </c>
      <c r="AA1202">
        <v>1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 t="str">
        <f t="shared" si="92"/>
        <v>0-3</v>
      </c>
      <c r="AI1202">
        <v>2</v>
      </c>
      <c r="AJ1202" t="str">
        <f t="shared" si="93"/>
        <v>0-2</v>
      </c>
      <c r="AK1202">
        <v>2</v>
      </c>
    </row>
    <row r="1203" spans="1:37" x14ac:dyDescent="0.25">
      <c r="A1203" s="8">
        <v>1202</v>
      </c>
      <c r="B1203" t="s">
        <v>44</v>
      </c>
      <c r="C1203" t="s">
        <v>37</v>
      </c>
      <c r="D1203" s="8">
        <v>23</v>
      </c>
      <c r="E1203" t="str">
        <f t="shared" si="94"/>
        <v>18-25</v>
      </c>
      <c r="F1203" t="s">
        <v>38</v>
      </c>
      <c r="G1203" t="s">
        <v>39</v>
      </c>
      <c r="H1203" s="8" t="s">
        <v>48</v>
      </c>
      <c r="I1203" s="10">
        <v>8</v>
      </c>
      <c r="J1203" t="str">
        <f t="shared" si="90"/>
        <v>Moderate</v>
      </c>
      <c r="K1203">
        <v>1</v>
      </c>
      <c r="L1203" t="s">
        <v>53</v>
      </c>
      <c r="M1203">
        <v>4</v>
      </c>
      <c r="N1203">
        <v>2</v>
      </c>
      <c r="O1203">
        <v>1</v>
      </c>
      <c r="P1203" t="s">
        <v>51</v>
      </c>
      <c r="Q1203">
        <v>3</v>
      </c>
      <c r="R1203" s="11">
        <v>1320</v>
      </c>
      <c r="S1203" s="14">
        <v>93</v>
      </c>
      <c r="T1203" s="13">
        <v>3989</v>
      </c>
      <c r="U1203" s="13">
        <f t="shared" si="91"/>
        <v>47868</v>
      </c>
      <c r="V1203" s="14">
        <v>20586</v>
      </c>
      <c r="W1203">
        <v>1</v>
      </c>
      <c r="X1203" s="8" t="s">
        <v>38</v>
      </c>
      <c r="Y1203" s="15">
        <v>0.11</v>
      </c>
      <c r="Z1203">
        <v>3</v>
      </c>
      <c r="AA1203">
        <v>1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 t="str">
        <f t="shared" si="92"/>
        <v>4-7</v>
      </c>
      <c r="AI1203">
        <v>1</v>
      </c>
      <c r="AJ1203" t="str">
        <f t="shared" si="93"/>
        <v>0-2</v>
      </c>
      <c r="AK1203">
        <v>2</v>
      </c>
    </row>
    <row r="1204" spans="1:37" x14ac:dyDescent="0.25">
      <c r="A1204" s="8">
        <v>1203</v>
      </c>
      <c r="B1204" t="s">
        <v>52</v>
      </c>
      <c r="C1204" t="s">
        <v>45</v>
      </c>
      <c r="D1204" s="8">
        <v>38</v>
      </c>
      <c r="E1204" t="str">
        <f t="shared" si="94"/>
        <v>36-45</v>
      </c>
      <c r="F1204" t="s">
        <v>46</v>
      </c>
      <c r="G1204" t="s">
        <v>39</v>
      </c>
      <c r="H1204" s="8" t="s">
        <v>48</v>
      </c>
      <c r="I1204" s="10">
        <v>4</v>
      </c>
      <c r="J1204" t="str">
        <f t="shared" si="90"/>
        <v>Near</v>
      </c>
      <c r="K1204">
        <v>2</v>
      </c>
      <c r="L1204" t="s">
        <v>53</v>
      </c>
      <c r="M1204">
        <v>4</v>
      </c>
      <c r="N1204">
        <v>3</v>
      </c>
      <c r="O1204">
        <v>1</v>
      </c>
      <c r="P1204" t="s">
        <v>51</v>
      </c>
      <c r="Q1204">
        <v>3</v>
      </c>
      <c r="R1204" s="11">
        <v>1495</v>
      </c>
      <c r="S1204" s="14">
        <v>87</v>
      </c>
      <c r="T1204" s="13">
        <v>3306</v>
      </c>
      <c r="U1204" s="13">
        <f t="shared" si="91"/>
        <v>39672</v>
      </c>
      <c r="V1204" s="14">
        <v>26176</v>
      </c>
      <c r="W1204">
        <v>7</v>
      </c>
      <c r="X1204" s="8" t="s">
        <v>46</v>
      </c>
      <c r="Y1204" s="15">
        <v>0.19</v>
      </c>
      <c r="Z1204">
        <v>3</v>
      </c>
      <c r="AA1204">
        <v>4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 t="str">
        <f t="shared" si="92"/>
        <v>0-3</v>
      </c>
      <c r="AI1204">
        <v>0</v>
      </c>
      <c r="AJ1204" t="str">
        <f t="shared" si="93"/>
        <v>0-2</v>
      </c>
      <c r="AK1204">
        <v>0</v>
      </c>
    </row>
    <row r="1205" spans="1:37" x14ac:dyDescent="0.25">
      <c r="A1205" s="8">
        <v>1204</v>
      </c>
      <c r="B1205" t="s">
        <v>44</v>
      </c>
      <c r="C1205" t="s">
        <v>45</v>
      </c>
      <c r="D1205" s="8">
        <v>53</v>
      </c>
      <c r="E1205" t="str">
        <f t="shared" si="94"/>
        <v>46-55</v>
      </c>
      <c r="F1205" t="s">
        <v>46</v>
      </c>
      <c r="G1205" t="s">
        <v>39</v>
      </c>
      <c r="H1205" s="8" t="s">
        <v>48</v>
      </c>
      <c r="I1205" s="10">
        <v>24</v>
      </c>
      <c r="J1205" t="str">
        <f t="shared" si="90"/>
        <v>Far</v>
      </c>
      <c r="K1205">
        <v>4</v>
      </c>
      <c r="L1205" t="s">
        <v>53</v>
      </c>
      <c r="M1205">
        <v>2</v>
      </c>
      <c r="N1205">
        <v>4</v>
      </c>
      <c r="O1205">
        <v>3</v>
      </c>
      <c r="P1205" t="s">
        <v>56</v>
      </c>
      <c r="Q1205">
        <v>4</v>
      </c>
      <c r="R1205" s="11">
        <v>1395</v>
      </c>
      <c r="S1205" s="14">
        <v>48</v>
      </c>
      <c r="T1205" s="13">
        <v>7005</v>
      </c>
      <c r="U1205" s="13">
        <f t="shared" si="91"/>
        <v>84060</v>
      </c>
      <c r="V1205" s="14">
        <v>3458</v>
      </c>
      <c r="W1205">
        <v>3</v>
      </c>
      <c r="X1205" s="8" t="s">
        <v>46</v>
      </c>
      <c r="Y1205" s="15">
        <v>0.15</v>
      </c>
      <c r="Z1205">
        <v>3</v>
      </c>
      <c r="AA1205">
        <v>3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 t="str">
        <f t="shared" si="92"/>
        <v>0-3</v>
      </c>
      <c r="AI1205">
        <v>1</v>
      </c>
      <c r="AJ1205" t="str">
        <f t="shared" si="93"/>
        <v>0-2</v>
      </c>
      <c r="AK1205">
        <v>2</v>
      </c>
    </row>
    <row r="1206" spans="1:37" x14ac:dyDescent="0.25">
      <c r="A1206" s="8">
        <v>1205</v>
      </c>
      <c r="B1206" t="s">
        <v>52</v>
      </c>
      <c r="C1206" t="s">
        <v>45</v>
      </c>
      <c r="D1206" s="8">
        <v>48</v>
      </c>
      <c r="E1206" t="str">
        <f t="shared" si="94"/>
        <v>46-55</v>
      </c>
      <c r="F1206" t="s">
        <v>38</v>
      </c>
      <c r="G1206" t="s">
        <v>47</v>
      </c>
      <c r="H1206" s="8" t="s">
        <v>40</v>
      </c>
      <c r="I1206" s="10">
        <v>7</v>
      </c>
      <c r="J1206" t="str">
        <f t="shared" si="90"/>
        <v>Moderate</v>
      </c>
      <c r="K1206">
        <v>2</v>
      </c>
      <c r="L1206" t="s">
        <v>53</v>
      </c>
      <c r="M1206">
        <v>4</v>
      </c>
      <c r="N1206">
        <v>3</v>
      </c>
      <c r="O1206">
        <v>1</v>
      </c>
      <c r="P1206" t="s">
        <v>60</v>
      </c>
      <c r="Q1206">
        <v>3</v>
      </c>
      <c r="R1206" s="11">
        <v>708</v>
      </c>
      <c r="S1206" s="14">
        <v>95</v>
      </c>
      <c r="T1206" s="13">
        <v>2655</v>
      </c>
      <c r="U1206" s="13">
        <f t="shared" si="91"/>
        <v>31860</v>
      </c>
      <c r="V1206" s="14">
        <v>11740</v>
      </c>
      <c r="W1206">
        <v>2</v>
      </c>
      <c r="X1206" s="8" t="s">
        <v>38</v>
      </c>
      <c r="Y1206" s="15">
        <v>0.11</v>
      </c>
      <c r="Z1206">
        <v>3</v>
      </c>
      <c r="AA1206">
        <v>3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 t="str">
        <f t="shared" si="92"/>
        <v>4-7</v>
      </c>
      <c r="AI1206">
        <v>7</v>
      </c>
      <c r="AJ1206" t="str">
        <f t="shared" si="93"/>
        <v>6-8</v>
      </c>
      <c r="AK1206">
        <v>7</v>
      </c>
    </row>
    <row r="1207" spans="1:37" x14ac:dyDescent="0.25">
      <c r="A1207" s="8">
        <v>1206</v>
      </c>
      <c r="B1207" t="s">
        <v>44</v>
      </c>
      <c r="C1207" t="s">
        <v>37</v>
      </c>
      <c r="D1207" s="8">
        <v>32</v>
      </c>
      <c r="E1207" t="str">
        <f t="shared" si="94"/>
        <v>26-35</v>
      </c>
      <c r="F1207" t="s">
        <v>38</v>
      </c>
      <c r="G1207" t="s">
        <v>39</v>
      </c>
      <c r="H1207" s="8" t="s">
        <v>48</v>
      </c>
      <c r="I1207" s="10">
        <v>2</v>
      </c>
      <c r="J1207" t="str">
        <f t="shared" si="90"/>
        <v>Near</v>
      </c>
      <c r="K1207">
        <v>4</v>
      </c>
      <c r="L1207" t="s">
        <v>41</v>
      </c>
      <c r="M1207">
        <v>4</v>
      </c>
      <c r="N1207">
        <v>3</v>
      </c>
      <c r="O1207">
        <v>1</v>
      </c>
      <c r="P1207" t="s">
        <v>51</v>
      </c>
      <c r="Q1207">
        <v>2</v>
      </c>
      <c r="R1207" s="11">
        <v>1259</v>
      </c>
      <c r="S1207" s="14">
        <v>95</v>
      </c>
      <c r="T1207" s="13">
        <v>1393</v>
      </c>
      <c r="U1207" s="13">
        <f t="shared" si="91"/>
        <v>16716</v>
      </c>
      <c r="V1207" s="14">
        <v>24852</v>
      </c>
      <c r="W1207">
        <v>1</v>
      </c>
      <c r="X1207" s="8" t="s">
        <v>46</v>
      </c>
      <c r="Y1207" s="15">
        <v>0.12</v>
      </c>
      <c r="Z1207">
        <v>3</v>
      </c>
      <c r="AA1207">
        <v>1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 t="str">
        <f t="shared" si="92"/>
        <v>0-3</v>
      </c>
      <c r="AI1207">
        <v>0</v>
      </c>
      <c r="AJ1207" t="str">
        <f t="shared" si="93"/>
        <v>0-2</v>
      </c>
      <c r="AK1207">
        <v>0</v>
      </c>
    </row>
    <row r="1208" spans="1:37" x14ac:dyDescent="0.25">
      <c r="A1208" s="8">
        <v>1207</v>
      </c>
      <c r="B1208" t="s">
        <v>44</v>
      </c>
      <c r="C1208" t="s">
        <v>37</v>
      </c>
      <c r="D1208" s="8">
        <v>26</v>
      </c>
      <c r="E1208" t="str">
        <f t="shared" si="94"/>
        <v>26-35</v>
      </c>
      <c r="F1208" t="s">
        <v>46</v>
      </c>
      <c r="G1208" t="s">
        <v>58</v>
      </c>
      <c r="H1208" s="8" t="s">
        <v>48</v>
      </c>
      <c r="I1208" s="10">
        <v>7</v>
      </c>
      <c r="J1208" t="str">
        <f t="shared" si="90"/>
        <v>Moderate</v>
      </c>
      <c r="K1208">
        <v>3</v>
      </c>
      <c r="L1208" t="s">
        <v>53</v>
      </c>
      <c r="M1208">
        <v>4</v>
      </c>
      <c r="N1208">
        <v>3</v>
      </c>
      <c r="O1208">
        <v>1</v>
      </c>
      <c r="P1208" t="s">
        <v>51</v>
      </c>
      <c r="Q1208">
        <v>4</v>
      </c>
      <c r="R1208" s="11">
        <v>786</v>
      </c>
      <c r="S1208" s="14">
        <v>76</v>
      </c>
      <c r="T1208" s="13">
        <v>2570</v>
      </c>
      <c r="U1208" s="13">
        <f t="shared" si="91"/>
        <v>30840</v>
      </c>
      <c r="V1208" s="14">
        <v>11925</v>
      </c>
      <c r="W1208">
        <v>1</v>
      </c>
      <c r="X1208" s="8" t="s">
        <v>46</v>
      </c>
      <c r="Y1208" s="15">
        <v>0.2</v>
      </c>
      <c r="Z1208">
        <v>4</v>
      </c>
      <c r="AA1208">
        <v>3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 t="str">
        <f t="shared" si="92"/>
        <v>4-7</v>
      </c>
      <c r="AI1208">
        <v>5</v>
      </c>
      <c r="AJ1208" t="str">
        <f t="shared" si="93"/>
        <v>3-5</v>
      </c>
      <c r="AK1208">
        <v>7</v>
      </c>
    </row>
    <row r="1209" spans="1:37" x14ac:dyDescent="0.25">
      <c r="A1209" s="8">
        <v>1208</v>
      </c>
      <c r="B1209" t="s">
        <v>44</v>
      </c>
      <c r="C1209" t="s">
        <v>54</v>
      </c>
      <c r="D1209" s="8">
        <v>55</v>
      </c>
      <c r="E1209" t="str">
        <f t="shared" si="94"/>
        <v>46-55</v>
      </c>
      <c r="F1209" t="s">
        <v>46</v>
      </c>
      <c r="G1209" t="s">
        <v>39</v>
      </c>
      <c r="H1209" s="8" t="s">
        <v>48</v>
      </c>
      <c r="I1209" s="10">
        <v>22</v>
      </c>
      <c r="J1209" t="str">
        <f t="shared" si="90"/>
        <v>Far</v>
      </c>
      <c r="K1209">
        <v>3</v>
      </c>
      <c r="L1209" t="s">
        <v>63</v>
      </c>
      <c r="M1209">
        <v>1</v>
      </c>
      <c r="N1209">
        <v>2</v>
      </c>
      <c r="O1209">
        <v>1</v>
      </c>
      <c r="P1209" t="s">
        <v>49</v>
      </c>
      <c r="Q1209">
        <v>2</v>
      </c>
      <c r="R1209" s="11">
        <v>1441</v>
      </c>
      <c r="S1209" s="14">
        <v>94</v>
      </c>
      <c r="T1209" s="13">
        <v>3537</v>
      </c>
      <c r="U1209" s="13">
        <f t="shared" si="91"/>
        <v>42444</v>
      </c>
      <c r="V1209" s="14">
        <v>23737</v>
      </c>
      <c r="W1209">
        <v>5</v>
      </c>
      <c r="X1209" s="8" t="s">
        <v>46</v>
      </c>
      <c r="Y1209" s="15">
        <v>0.12</v>
      </c>
      <c r="Z1209">
        <v>3</v>
      </c>
      <c r="AA1209">
        <v>4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 t="str">
        <f t="shared" si="92"/>
        <v>0-3</v>
      </c>
      <c r="AI1209">
        <v>1</v>
      </c>
      <c r="AJ1209" t="str">
        <f t="shared" si="93"/>
        <v>0-2</v>
      </c>
      <c r="AK1209">
        <v>2</v>
      </c>
    </row>
    <row r="1210" spans="1:37" x14ac:dyDescent="0.25">
      <c r="A1210" s="8">
        <v>1209</v>
      </c>
      <c r="B1210" t="s">
        <v>44</v>
      </c>
      <c r="C1210" t="s">
        <v>45</v>
      </c>
      <c r="D1210" s="8">
        <v>34</v>
      </c>
      <c r="E1210" t="str">
        <f t="shared" si="94"/>
        <v>26-35</v>
      </c>
      <c r="F1210" t="s">
        <v>46</v>
      </c>
      <c r="G1210" t="s">
        <v>39</v>
      </c>
      <c r="H1210" s="8" t="s">
        <v>48</v>
      </c>
      <c r="I1210" s="10">
        <v>5</v>
      </c>
      <c r="J1210" t="str">
        <f t="shared" si="90"/>
        <v>Near</v>
      </c>
      <c r="K1210">
        <v>2</v>
      </c>
      <c r="L1210" t="s">
        <v>53</v>
      </c>
      <c r="M1210">
        <v>2</v>
      </c>
      <c r="N1210">
        <v>2</v>
      </c>
      <c r="O1210">
        <v>2</v>
      </c>
      <c r="P1210" t="s">
        <v>51</v>
      </c>
      <c r="Q1210">
        <v>4</v>
      </c>
      <c r="R1210" s="11">
        <v>1157</v>
      </c>
      <c r="S1210" s="14">
        <v>57</v>
      </c>
      <c r="T1210" s="13">
        <v>3986</v>
      </c>
      <c r="U1210" s="13">
        <f t="shared" si="91"/>
        <v>47832</v>
      </c>
      <c r="V1210" s="14">
        <v>11912</v>
      </c>
      <c r="W1210">
        <v>1</v>
      </c>
      <c r="X1210" s="8" t="s">
        <v>46</v>
      </c>
      <c r="Y1210" s="15">
        <v>0.14000000000000001</v>
      </c>
      <c r="Z1210">
        <v>3</v>
      </c>
      <c r="AA1210">
        <v>3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 t="str">
        <f t="shared" si="92"/>
        <v>8-11</v>
      </c>
      <c r="AI1210">
        <v>4</v>
      </c>
      <c r="AJ1210" t="str">
        <f t="shared" si="93"/>
        <v>3-5</v>
      </c>
      <c r="AK1210">
        <v>13</v>
      </c>
    </row>
    <row r="1211" spans="1:37" x14ac:dyDescent="0.25">
      <c r="A1211" s="8">
        <v>1210</v>
      </c>
      <c r="B1211" t="s">
        <v>44</v>
      </c>
      <c r="C1211" t="s">
        <v>54</v>
      </c>
      <c r="D1211" s="8">
        <v>60</v>
      </c>
      <c r="E1211" t="str">
        <f t="shared" si="94"/>
        <v>55+</v>
      </c>
      <c r="F1211" t="s">
        <v>46</v>
      </c>
      <c r="G1211" t="s">
        <v>39</v>
      </c>
      <c r="H1211" s="8" t="s">
        <v>48</v>
      </c>
      <c r="I1211" s="10">
        <v>1</v>
      </c>
      <c r="J1211" t="str">
        <f t="shared" si="90"/>
        <v>Near</v>
      </c>
      <c r="K1211">
        <v>4</v>
      </c>
      <c r="L1211" t="s">
        <v>53</v>
      </c>
      <c r="M1211">
        <v>3</v>
      </c>
      <c r="N1211">
        <v>1</v>
      </c>
      <c r="O1211">
        <v>3</v>
      </c>
      <c r="P1211" t="s">
        <v>56</v>
      </c>
      <c r="Q1211">
        <v>4</v>
      </c>
      <c r="R1211" s="11">
        <v>370</v>
      </c>
      <c r="S1211" s="14">
        <v>92</v>
      </c>
      <c r="T1211" s="13">
        <v>10883</v>
      </c>
      <c r="U1211" s="13">
        <f t="shared" si="91"/>
        <v>130596</v>
      </c>
      <c r="V1211" s="14">
        <v>20467</v>
      </c>
      <c r="W1211">
        <v>3</v>
      </c>
      <c r="X1211" s="8" t="s">
        <v>46</v>
      </c>
      <c r="Y1211" s="15">
        <v>0.2</v>
      </c>
      <c r="Z1211">
        <v>4</v>
      </c>
      <c r="AA1211">
        <v>3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 t="str">
        <f t="shared" si="92"/>
        <v>0-3</v>
      </c>
      <c r="AI1211">
        <v>0</v>
      </c>
      <c r="AJ1211" t="str">
        <f t="shared" si="93"/>
        <v>0-2</v>
      </c>
      <c r="AK1211">
        <v>0</v>
      </c>
    </row>
    <row r="1212" spans="1:37" x14ac:dyDescent="0.25">
      <c r="A1212" s="8">
        <v>1211</v>
      </c>
      <c r="B1212" t="s">
        <v>44</v>
      </c>
      <c r="C1212" t="s">
        <v>45</v>
      </c>
      <c r="D1212" s="8">
        <v>33</v>
      </c>
      <c r="E1212" t="str">
        <f t="shared" si="94"/>
        <v>26-35</v>
      </c>
      <c r="F1212" t="s">
        <v>46</v>
      </c>
      <c r="G1212" t="s">
        <v>39</v>
      </c>
      <c r="H1212" s="8" t="s">
        <v>48</v>
      </c>
      <c r="I1212" s="10">
        <v>21</v>
      </c>
      <c r="J1212" t="str">
        <f t="shared" si="90"/>
        <v>Far</v>
      </c>
      <c r="K1212">
        <v>3</v>
      </c>
      <c r="L1212" t="s">
        <v>53</v>
      </c>
      <c r="M1212">
        <v>2</v>
      </c>
      <c r="N1212">
        <v>4</v>
      </c>
      <c r="O1212">
        <v>1</v>
      </c>
      <c r="P1212" t="s">
        <v>51</v>
      </c>
      <c r="Q1212">
        <v>2</v>
      </c>
      <c r="R1212" s="11">
        <v>267</v>
      </c>
      <c r="S1212" s="14">
        <v>79</v>
      </c>
      <c r="T1212" s="13">
        <v>2028</v>
      </c>
      <c r="U1212" s="13">
        <f t="shared" si="91"/>
        <v>24336</v>
      </c>
      <c r="V1212" s="14">
        <v>13637</v>
      </c>
      <c r="W1212">
        <v>1</v>
      </c>
      <c r="X1212" s="8" t="s">
        <v>46</v>
      </c>
      <c r="Y1212" s="15">
        <v>0.18</v>
      </c>
      <c r="Z1212">
        <v>3</v>
      </c>
      <c r="AA1212">
        <v>4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 t="str">
        <f t="shared" si="92"/>
        <v>8-11</v>
      </c>
      <c r="AI1212">
        <v>2</v>
      </c>
      <c r="AJ1212" t="str">
        <f t="shared" si="93"/>
        <v>0-2</v>
      </c>
      <c r="AK1212">
        <v>13</v>
      </c>
    </row>
    <row r="1213" spans="1:37" x14ac:dyDescent="0.25">
      <c r="A1213" s="8">
        <v>1212</v>
      </c>
      <c r="B1213" t="s">
        <v>44</v>
      </c>
      <c r="C1213" t="s">
        <v>54</v>
      </c>
      <c r="D1213" s="8">
        <v>37</v>
      </c>
      <c r="E1213" t="str">
        <f t="shared" si="94"/>
        <v>36-45</v>
      </c>
      <c r="F1213" t="s">
        <v>46</v>
      </c>
      <c r="G1213" t="s">
        <v>47</v>
      </c>
      <c r="H1213" s="8" t="s">
        <v>40</v>
      </c>
      <c r="I1213" s="10">
        <v>1</v>
      </c>
      <c r="J1213" t="str">
        <f t="shared" si="90"/>
        <v>Near</v>
      </c>
      <c r="K1213">
        <v>4</v>
      </c>
      <c r="L1213" t="s">
        <v>53</v>
      </c>
      <c r="M1213">
        <v>3</v>
      </c>
      <c r="N1213">
        <v>1</v>
      </c>
      <c r="O1213">
        <v>2</v>
      </c>
      <c r="P1213" t="s">
        <v>42</v>
      </c>
      <c r="Q1213">
        <v>4</v>
      </c>
      <c r="R1213" s="11">
        <v>1278</v>
      </c>
      <c r="S1213" s="14">
        <v>31</v>
      </c>
      <c r="T1213" s="13">
        <v>9525</v>
      </c>
      <c r="U1213" s="13">
        <f t="shared" si="91"/>
        <v>114300</v>
      </c>
      <c r="V1213" s="14">
        <v>7677</v>
      </c>
      <c r="W1213">
        <v>1</v>
      </c>
      <c r="X1213" s="8" t="s">
        <v>46</v>
      </c>
      <c r="Y1213" s="15">
        <v>0.14000000000000001</v>
      </c>
      <c r="Z1213">
        <v>3</v>
      </c>
      <c r="AA1213">
        <v>3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 t="str">
        <f t="shared" si="92"/>
        <v>0-3</v>
      </c>
      <c r="AI1213">
        <v>1</v>
      </c>
      <c r="AJ1213" t="str">
        <f t="shared" si="93"/>
        <v>0-2</v>
      </c>
      <c r="AK1213">
        <v>3</v>
      </c>
    </row>
    <row r="1214" spans="1:37" x14ac:dyDescent="0.25">
      <c r="A1214" s="8">
        <v>1213</v>
      </c>
      <c r="B1214" t="s">
        <v>52</v>
      </c>
      <c r="C1214" t="s">
        <v>45</v>
      </c>
      <c r="D1214" s="8">
        <v>34</v>
      </c>
      <c r="E1214" t="str">
        <f t="shared" si="94"/>
        <v>26-35</v>
      </c>
      <c r="F1214" t="s">
        <v>46</v>
      </c>
      <c r="G1214" t="s">
        <v>39</v>
      </c>
      <c r="H1214" s="8" t="s">
        <v>48</v>
      </c>
      <c r="I1214" s="10">
        <v>19</v>
      </c>
      <c r="J1214" t="str">
        <f t="shared" si="90"/>
        <v>Far</v>
      </c>
      <c r="K1214">
        <v>3</v>
      </c>
      <c r="L1214" t="s">
        <v>41</v>
      </c>
      <c r="M1214">
        <v>2</v>
      </c>
      <c r="N1214">
        <v>2</v>
      </c>
      <c r="O1214">
        <v>1</v>
      </c>
      <c r="P1214" t="s">
        <v>49</v>
      </c>
      <c r="Q1214">
        <v>4</v>
      </c>
      <c r="R1214" s="11">
        <v>678</v>
      </c>
      <c r="S1214" s="14">
        <v>35</v>
      </c>
      <c r="T1214" s="13">
        <v>2929</v>
      </c>
      <c r="U1214" s="13">
        <f t="shared" si="91"/>
        <v>35148</v>
      </c>
      <c r="V1214" s="14">
        <v>20338</v>
      </c>
      <c r="W1214">
        <v>1</v>
      </c>
      <c r="X1214" s="8" t="s">
        <v>46</v>
      </c>
      <c r="Y1214" s="15">
        <v>0.12</v>
      </c>
      <c r="Z1214">
        <v>3</v>
      </c>
      <c r="AA1214">
        <v>2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 t="str">
        <f t="shared" si="92"/>
        <v>8-11</v>
      </c>
      <c r="AI1214">
        <v>8</v>
      </c>
      <c r="AJ1214" t="str">
        <f t="shared" si="93"/>
        <v>6-8</v>
      </c>
      <c r="AK1214">
        <v>7</v>
      </c>
    </row>
    <row r="1215" spans="1:37" x14ac:dyDescent="0.25">
      <c r="A1215" s="8">
        <v>1214</v>
      </c>
      <c r="B1215" t="s">
        <v>44</v>
      </c>
      <c r="C1215" t="s">
        <v>54</v>
      </c>
      <c r="D1215" s="8">
        <v>23</v>
      </c>
      <c r="E1215" t="str">
        <f t="shared" si="94"/>
        <v>18-25</v>
      </c>
      <c r="F1215" t="s">
        <v>38</v>
      </c>
      <c r="G1215" t="s">
        <v>39</v>
      </c>
      <c r="H1215" s="8" t="s">
        <v>40</v>
      </c>
      <c r="I1215" s="10">
        <v>7</v>
      </c>
      <c r="J1215" t="str">
        <f t="shared" si="90"/>
        <v>Moderate</v>
      </c>
      <c r="K1215">
        <v>3</v>
      </c>
      <c r="L1215" t="s">
        <v>41</v>
      </c>
      <c r="M1215">
        <v>3</v>
      </c>
      <c r="N1215">
        <v>3</v>
      </c>
      <c r="O1215">
        <v>1</v>
      </c>
      <c r="P1215" t="s">
        <v>60</v>
      </c>
      <c r="Q1215">
        <v>4</v>
      </c>
      <c r="R1215" s="11">
        <v>427</v>
      </c>
      <c r="S1215" s="14">
        <v>99</v>
      </c>
      <c r="T1215" s="13">
        <v>2275</v>
      </c>
      <c r="U1215" s="13">
        <f t="shared" si="91"/>
        <v>27300</v>
      </c>
      <c r="V1215" s="14">
        <v>25103</v>
      </c>
      <c r="W1215">
        <v>1</v>
      </c>
      <c r="X1215" s="8" t="s">
        <v>38</v>
      </c>
      <c r="Y1215" s="15">
        <v>0.21</v>
      </c>
      <c r="Z1215">
        <v>4</v>
      </c>
      <c r="AA1215">
        <v>2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 t="str">
        <f t="shared" si="92"/>
        <v>0-3</v>
      </c>
      <c r="AI1215">
        <v>0</v>
      </c>
      <c r="AJ1215" t="str">
        <f t="shared" si="93"/>
        <v>0-2</v>
      </c>
      <c r="AK1215">
        <v>2</v>
      </c>
    </row>
    <row r="1216" spans="1:37" x14ac:dyDescent="0.25">
      <c r="A1216" s="8">
        <v>1215</v>
      </c>
      <c r="B1216" t="s">
        <v>52</v>
      </c>
      <c r="C1216" t="s">
        <v>45</v>
      </c>
      <c r="D1216" s="8">
        <v>44</v>
      </c>
      <c r="E1216" t="str">
        <f t="shared" si="94"/>
        <v>36-45</v>
      </c>
      <c r="F1216" t="s">
        <v>46</v>
      </c>
      <c r="G1216" t="s">
        <v>39</v>
      </c>
      <c r="H1216" s="8" t="s">
        <v>48</v>
      </c>
      <c r="I1216" s="10">
        <v>2</v>
      </c>
      <c r="J1216" t="str">
        <f t="shared" si="90"/>
        <v>Near</v>
      </c>
      <c r="K1216">
        <v>3</v>
      </c>
      <c r="L1216" t="s">
        <v>41</v>
      </c>
      <c r="M1216">
        <v>3</v>
      </c>
      <c r="N1216">
        <v>4</v>
      </c>
      <c r="O1216">
        <v>3</v>
      </c>
      <c r="P1216" t="s">
        <v>56</v>
      </c>
      <c r="Q1216">
        <v>4</v>
      </c>
      <c r="R1216" s="11">
        <v>921</v>
      </c>
      <c r="S1216" s="14">
        <v>96</v>
      </c>
      <c r="T1216" s="13">
        <v>7879</v>
      </c>
      <c r="U1216" s="13">
        <f t="shared" si="91"/>
        <v>94548</v>
      </c>
      <c r="V1216" s="14">
        <v>14810</v>
      </c>
      <c r="W1216">
        <v>1</v>
      </c>
      <c r="X1216" s="8" t="s">
        <v>38</v>
      </c>
      <c r="Y1216" s="15">
        <v>0.19</v>
      </c>
      <c r="Z1216">
        <v>3</v>
      </c>
      <c r="AA1216">
        <v>2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 t="str">
        <f t="shared" si="92"/>
        <v>4-7</v>
      </c>
      <c r="AI1216">
        <v>6</v>
      </c>
      <c r="AJ1216" t="str">
        <f t="shared" si="93"/>
        <v>6-8</v>
      </c>
      <c r="AK1216">
        <v>7</v>
      </c>
    </row>
    <row r="1217" spans="1:37" x14ac:dyDescent="0.25">
      <c r="A1217" s="8">
        <v>1216</v>
      </c>
      <c r="B1217" t="s">
        <v>44</v>
      </c>
      <c r="C1217" t="s">
        <v>37</v>
      </c>
      <c r="D1217" s="8">
        <v>35</v>
      </c>
      <c r="E1217" t="str">
        <f t="shared" si="94"/>
        <v>26-35</v>
      </c>
      <c r="F1217" t="s">
        <v>46</v>
      </c>
      <c r="G1217" t="s">
        <v>47</v>
      </c>
      <c r="H1217" s="8" t="s">
        <v>48</v>
      </c>
      <c r="I1217" s="10">
        <v>2</v>
      </c>
      <c r="J1217" t="str">
        <f t="shared" si="90"/>
        <v>Near</v>
      </c>
      <c r="K1217">
        <v>4</v>
      </c>
      <c r="L1217" t="s">
        <v>53</v>
      </c>
      <c r="M1217">
        <v>1</v>
      </c>
      <c r="N1217">
        <v>2</v>
      </c>
      <c r="O1217">
        <v>1</v>
      </c>
      <c r="P1217" t="s">
        <v>49</v>
      </c>
      <c r="Q1217">
        <v>4</v>
      </c>
      <c r="R1217" s="11">
        <v>146</v>
      </c>
      <c r="S1217" s="14">
        <v>79</v>
      </c>
      <c r="T1217" s="13">
        <v>4930</v>
      </c>
      <c r="U1217" s="13">
        <f t="shared" si="91"/>
        <v>59160</v>
      </c>
      <c r="V1217" s="14">
        <v>13970</v>
      </c>
      <c r="W1217">
        <v>0</v>
      </c>
      <c r="X1217" s="8" t="s">
        <v>38</v>
      </c>
      <c r="Y1217" s="15">
        <v>0.14000000000000001</v>
      </c>
      <c r="Z1217">
        <v>3</v>
      </c>
      <c r="AA1217">
        <v>3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 t="str">
        <f t="shared" si="92"/>
        <v>4-7</v>
      </c>
      <c r="AI1217">
        <v>1</v>
      </c>
      <c r="AJ1217" t="str">
        <f t="shared" si="93"/>
        <v>0-2</v>
      </c>
      <c r="AK1217">
        <v>4</v>
      </c>
    </row>
    <row r="1218" spans="1:37" x14ac:dyDescent="0.25">
      <c r="A1218" s="8">
        <v>1217</v>
      </c>
      <c r="B1218" t="s">
        <v>44</v>
      </c>
      <c r="C1218" t="s">
        <v>45</v>
      </c>
      <c r="D1218" s="8">
        <v>43</v>
      </c>
      <c r="E1218" t="str">
        <f t="shared" si="94"/>
        <v>36-45</v>
      </c>
      <c r="F1218" t="s">
        <v>46</v>
      </c>
      <c r="G1218" t="s">
        <v>39</v>
      </c>
      <c r="H1218" s="8" t="s">
        <v>40</v>
      </c>
      <c r="I1218" s="10">
        <v>2</v>
      </c>
      <c r="J1218" t="str">
        <f t="shared" si="90"/>
        <v>Near</v>
      </c>
      <c r="K1218">
        <v>3</v>
      </c>
      <c r="L1218" t="s">
        <v>53</v>
      </c>
      <c r="M1218">
        <v>4</v>
      </c>
      <c r="N1218">
        <v>3</v>
      </c>
      <c r="O1218">
        <v>2</v>
      </c>
      <c r="P1218" t="s">
        <v>42</v>
      </c>
      <c r="Q1218">
        <v>4</v>
      </c>
      <c r="R1218" s="11">
        <v>1179</v>
      </c>
      <c r="S1218" s="14">
        <v>73</v>
      </c>
      <c r="T1218" s="13">
        <v>7847</v>
      </c>
      <c r="U1218" s="13">
        <f t="shared" si="91"/>
        <v>94164</v>
      </c>
      <c r="V1218" s="14">
        <v>6069</v>
      </c>
      <c r="W1218">
        <v>1</v>
      </c>
      <c r="X1218" s="8" t="s">
        <v>38</v>
      </c>
      <c r="Y1218" s="15">
        <v>0.17</v>
      </c>
      <c r="Z1218">
        <v>3</v>
      </c>
      <c r="AA1218">
        <v>1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 t="str">
        <f t="shared" si="92"/>
        <v>8-11</v>
      </c>
      <c r="AI1218">
        <v>8</v>
      </c>
      <c r="AJ1218" t="str">
        <f t="shared" si="93"/>
        <v>6-8</v>
      </c>
      <c r="AK1218">
        <v>8</v>
      </c>
    </row>
    <row r="1219" spans="1:37" x14ac:dyDescent="0.25">
      <c r="A1219" s="8">
        <v>1218</v>
      </c>
      <c r="B1219" t="s">
        <v>44</v>
      </c>
      <c r="C1219" t="s">
        <v>45</v>
      </c>
      <c r="D1219" s="8">
        <v>24</v>
      </c>
      <c r="E1219" t="str">
        <f t="shared" si="94"/>
        <v>18-25</v>
      </c>
      <c r="F1219" t="s">
        <v>46</v>
      </c>
      <c r="G1219" t="s">
        <v>39</v>
      </c>
      <c r="H1219" s="8" t="s">
        <v>48</v>
      </c>
      <c r="I1219" s="10">
        <v>9</v>
      </c>
      <c r="J1219" t="str">
        <f t="shared" ref="J1219:J1282" si="95">IF(I1219&lt;=5,"Near",IF(I1219&lt;=15,"Moderate",IF(I1219&gt;15,"Far")))</f>
        <v>Moderate</v>
      </c>
      <c r="K1219">
        <v>3</v>
      </c>
      <c r="L1219" t="s">
        <v>53</v>
      </c>
      <c r="M1219">
        <v>3</v>
      </c>
      <c r="N1219">
        <v>4</v>
      </c>
      <c r="O1219">
        <v>1</v>
      </c>
      <c r="P1219" t="s">
        <v>49</v>
      </c>
      <c r="Q1219">
        <v>3</v>
      </c>
      <c r="R1219" s="11">
        <v>581</v>
      </c>
      <c r="S1219" s="14">
        <v>62</v>
      </c>
      <c r="T1219" s="13">
        <v>4401</v>
      </c>
      <c r="U1219" s="13">
        <f t="shared" ref="U1219:U1282" si="96">T1219*12</f>
        <v>52812</v>
      </c>
      <c r="V1219" s="14">
        <v>17616</v>
      </c>
      <c r="W1219">
        <v>1</v>
      </c>
      <c r="X1219" s="8" t="s">
        <v>46</v>
      </c>
      <c r="Y1219" s="15">
        <v>0.16</v>
      </c>
      <c r="Z1219">
        <v>3</v>
      </c>
      <c r="AA1219">
        <v>4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 t="str">
        <f t="shared" ref="AH1219:AH1282" si="97">IF(AG:AG&lt;=3,"0-3", IF(AG:AG&lt;=7,"4-7", IF(AG:AG&lt;=11,"8-11", IF(AG:AG&lt;=15,"12-15","16-19"))))</f>
        <v>0-3</v>
      </c>
      <c r="AI1219">
        <v>0</v>
      </c>
      <c r="AJ1219" t="str">
        <f t="shared" ref="AJ1219:AJ1282" si="98">IF(AI:AI&lt;=2,"0-2",IF(AI:AI&lt;=5,"3-5", IF(AI:AI&lt;=8,"6-8", IF(AI:AI&lt;=11,"9-11","12-15"))))</f>
        <v>0-2</v>
      </c>
      <c r="AK1219">
        <v>4</v>
      </c>
    </row>
    <row r="1220" spans="1:37" x14ac:dyDescent="0.25">
      <c r="A1220" s="8">
        <v>1219</v>
      </c>
      <c r="B1220" t="s">
        <v>44</v>
      </c>
      <c r="C1220" t="s">
        <v>37</v>
      </c>
      <c r="D1220" s="8">
        <v>41</v>
      </c>
      <c r="E1220" t="str">
        <f t="shared" ref="E1220:E1283" si="99">IF(D1220&lt;25,"18-25",IF(D1220&lt;=35,"26-35",IF(D1220&lt;=45,"36-45",IF(D1220&lt;=55,"46-55",IF(D1220&gt;55,"55+")))))</f>
        <v>36-45</v>
      </c>
      <c r="F1220" t="s">
        <v>46</v>
      </c>
      <c r="G1220" t="s">
        <v>39</v>
      </c>
      <c r="H1220" s="8" t="s">
        <v>40</v>
      </c>
      <c r="I1220" s="10">
        <v>6</v>
      </c>
      <c r="J1220" t="str">
        <f t="shared" si="95"/>
        <v>Moderate</v>
      </c>
      <c r="K1220">
        <v>3</v>
      </c>
      <c r="L1220" t="s">
        <v>62</v>
      </c>
      <c r="M1220">
        <v>4</v>
      </c>
      <c r="N1220">
        <v>3</v>
      </c>
      <c r="O1220">
        <v>3</v>
      </c>
      <c r="P1220" t="s">
        <v>42</v>
      </c>
      <c r="Q1220">
        <v>3</v>
      </c>
      <c r="R1220" s="11">
        <v>918</v>
      </c>
      <c r="S1220" s="14">
        <v>35</v>
      </c>
      <c r="T1220" s="13">
        <v>9241</v>
      </c>
      <c r="U1220" s="13">
        <f t="shared" si="96"/>
        <v>110892</v>
      </c>
      <c r="V1220" s="14">
        <v>15869</v>
      </c>
      <c r="W1220">
        <v>1</v>
      </c>
      <c r="X1220" s="8" t="s">
        <v>46</v>
      </c>
      <c r="Y1220" s="15">
        <v>0.12</v>
      </c>
      <c r="Z1220">
        <v>3</v>
      </c>
      <c r="AA1220">
        <v>2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 t="str">
        <f t="shared" si="97"/>
        <v>8-11</v>
      </c>
      <c r="AI1220">
        <v>8</v>
      </c>
      <c r="AJ1220" t="str">
        <f t="shared" si="98"/>
        <v>6-8</v>
      </c>
      <c r="AK1220">
        <v>7</v>
      </c>
    </row>
    <row r="1221" spans="1:37" x14ac:dyDescent="0.25">
      <c r="A1221" s="8">
        <v>1220</v>
      </c>
      <c r="B1221" t="s">
        <v>52</v>
      </c>
      <c r="C1221" t="s">
        <v>45</v>
      </c>
      <c r="D1221" s="8">
        <v>29</v>
      </c>
      <c r="E1221" t="str">
        <f t="shared" si="99"/>
        <v>26-35</v>
      </c>
      <c r="F1221" t="s">
        <v>46</v>
      </c>
      <c r="G1221" t="s">
        <v>39</v>
      </c>
      <c r="H1221" s="8" t="s">
        <v>48</v>
      </c>
      <c r="I1221" s="10">
        <v>9</v>
      </c>
      <c r="J1221" t="str">
        <f t="shared" si="95"/>
        <v>Moderate</v>
      </c>
      <c r="K1221">
        <v>4</v>
      </c>
      <c r="L1221" t="s">
        <v>53</v>
      </c>
      <c r="M1221">
        <v>4</v>
      </c>
      <c r="N1221">
        <v>3</v>
      </c>
      <c r="O1221">
        <v>1</v>
      </c>
      <c r="P1221" t="s">
        <v>51</v>
      </c>
      <c r="Q1221">
        <v>3</v>
      </c>
      <c r="R1221" s="11">
        <v>1082</v>
      </c>
      <c r="S1221" s="14">
        <v>43</v>
      </c>
      <c r="T1221" s="13">
        <v>2974</v>
      </c>
      <c r="U1221" s="13">
        <f t="shared" si="96"/>
        <v>35688</v>
      </c>
      <c r="V1221" s="14">
        <v>25412</v>
      </c>
      <c r="W1221">
        <v>9</v>
      </c>
      <c r="X1221" s="8" t="s">
        <v>46</v>
      </c>
      <c r="Y1221" s="15">
        <v>0.17</v>
      </c>
      <c r="Z1221">
        <v>3</v>
      </c>
      <c r="AA1221">
        <v>3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 t="str">
        <f t="shared" si="97"/>
        <v>0-3</v>
      </c>
      <c r="AI1221">
        <v>1</v>
      </c>
      <c r="AJ1221" t="str">
        <f t="shared" si="98"/>
        <v>0-2</v>
      </c>
      <c r="AK1221">
        <v>2</v>
      </c>
    </row>
    <row r="1222" spans="1:37" x14ac:dyDescent="0.25">
      <c r="A1222" s="8">
        <v>1221</v>
      </c>
      <c r="B1222" t="s">
        <v>52</v>
      </c>
      <c r="C1222" t="s">
        <v>37</v>
      </c>
      <c r="D1222" s="8">
        <v>36</v>
      </c>
      <c r="E1222" t="str">
        <f t="shared" si="99"/>
        <v>36-45</v>
      </c>
      <c r="F1222" t="s">
        <v>46</v>
      </c>
      <c r="G1222" t="s">
        <v>39</v>
      </c>
      <c r="H1222" s="8" t="s">
        <v>40</v>
      </c>
      <c r="I1222" s="10">
        <v>2</v>
      </c>
      <c r="J1222" t="str">
        <f t="shared" si="95"/>
        <v>Near</v>
      </c>
      <c r="K1222">
        <v>4</v>
      </c>
      <c r="L1222" t="s">
        <v>41</v>
      </c>
      <c r="M1222">
        <v>3</v>
      </c>
      <c r="N1222">
        <v>3</v>
      </c>
      <c r="O1222">
        <v>2</v>
      </c>
      <c r="P1222" t="s">
        <v>60</v>
      </c>
      <c r="Q1222">
        <v>4</v>
      </c>
      <c r="R1222" s="11">
        <v>530</v>
      </c>
      <c r="S1222" s="14">
        <v>51</v>
      </c>
      <c r="T1222" s="13">
        <v>4502</v>
      </c>
      <c r="U1222" s="13">
        <f t="shared" si="96"/>
        <v>54024</v>
      </c>
      <c r="V1222" s="14">
        <v>7439</v>
      </c>
      <c r="W1222">
        <v>3</v>
      </c>
      <c r="X1222" s="8" t="s">
        <v>46</v>
      </c>
      <c r="Y1222" s="15">
        <v>0.15</v>
      </c>
      <c r="Z1222">
        <v>3</v>
      </c>
      <c r="AA1222">
        <v>3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 t="str">
        <f t="shared" si="97"/>
        <v>4-7</v>
      </c>
      <c r="AI1222">
        <v>6</v>
      </c>
      <c r="AJ1222" t="str">
        <f t="shared" si="98"/>
        <v>6-8</v>
      </c>
      <c r="AK1222">
        <v>7</v>
      </c>
    </row>
    <row r="1223" spans="1:37" x14ac:dyDescent="0.25">
      <c r="A1223" s="8">
        <v>1222</v>
      </c>
      <c r="B1223" t="s">
        <v>44</v>
      </c>
      <c r="C1223" t="s">
        <v>45</v>
      </c>
      <c r="D1223" s="8">
        <v>45</v>
      </c>
      <c r="E1223" t="str">
        <f t="shared" si="99"/>
        <v>36-45</v>
      </c>
      <c r="F1223" t="s">
        <v>46</v>
      </c>
      <c r="G1223" t="s">
        <v>58</v>
      </c>
      <c r="H1223" s="8" t="s">
        <v>48</v>
      </c>
      <c r="I1223" s="10">
        <v>1</v>
      </c>
      <c r="J1223" t="str">
        <f t="shared" si="95"/>
        <v>Near</v>
      </c>
      <c r="K1223">
        <v>1</v>
      </c>
      <c r="L1223" t="s">
        <v>41</v>
      </c>
      <c r="M1223">
        <v>3</v>
      </c>
      <c r="N1223">
        <v>2</v>
      </c>
      <c r="O1223">
        <v>3</v>
      </c>
      <c r="P1223" t="s">
        <v>56</v>
      </c>
      <c r="Q1223">
        <v>3</v>
      </c>
      <c r="R1223" s="11">
        <v>1238</v>
      </c>
      <c r="S1223" s="14">
        <v>74</v>
      </c>
      <c r="T1223" s="13">
        <v>10748</v>
      </c>
      <c r="U1223" s="13">
        <f t="shared" si="96"/>
        <v>128976</v>
      </c>
      <c r="V1223" s="14">
        <v>3395</v>
      </c>
      <c r="W1223">
        <v>3</v>
      </c>
      <c r="X1223" s="8" t="s">
        <v>46</v>
      </c>
      <c r="Y1223" s="15">
        <v>0.23</v>
      </c>
      <c r="Z1223">
        <v>4</v>
      </c>
      <c r="AA1223">
        <v>4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 t="str">
        <f t="shared" si="97"/>
        <v>12-15</v>
      </c>
      <c r="AI1223">
        <v>14</v>
      </c>
      <c r="AJ1223" t="str">
        <f t="shared" si="98"/>
        <v>12-15</v>
      </c>
      <c r="AK1223">
        <v>4</v>
      </c>
    </row>
    <row r="1224" spans="1:37" x14ac:dyDescent="0.25">
      <c r="A1224" s="8">
        <v>1223</v>
      </c>
      <c r="B1224" t="s">
        <v>44</v>
      </c>
      <c r="C1224" t="s">
        <v>45</v>
      </c>
      <c r="D1224" s="8">
        <v>24</v>
      </c>
      <c r="E1224" t="str">
        <f t="shared" si="99"/>
        <v>18-25</v>
      </c>
      <c r="F1224" t="s">
        <v>38</v>
      </c>
      <c r="G1224" t="s">
        <v>39</v>
      </c>
      <c r="H1224" s="8" t="s">
        <v>64</v>
      </c>
      <c r="I1224" s="10">
        <v>22</v>
      </c>
      <c r="J1224" t="str">
        <f t="shared" si="95"/>
        <v>Far</v>
      </c>
      <c r="K1224">
        <v>1</v>
      </c>
      <c r="L1224" t="s">
        <v>64</v>
      </c>
      <c r="M1224">
        <v>4</v>
      </c>
      <c r="N1224">
        <v>1</v>
      </c>
      <c r="O1224">
        <v>1</v>
      </c>
      <c r="P1224" t="s">
        <v>64</v>
      </c>
      <c r="Q1224">
        <v>3</v>
      </c>
      <c r="R1224" s="11">
        <v>240</v>
      </c>
      <c r="S1224" s="14">
        <v>58</v>
      </c>
      <c r="T1224" s="13">
        <v>1555</v>
      </c>
      <c r="U1224" s="13">
        <f t="shared" si="96"/>
        <v>18660</v>
      </c>
      <c r="V1224" s="14">
        <v>11585</v>
      </c>
      <c r="W1224">
        <v>1</v>
      </c>
      <c r="X1224" s="8" t="s">
        <v>46</v>
      </c>
      <c r="Y1224" s="15">
        <v>0.11</v>
      </c>
      <c r="Z1224">
        <v>3</v>
      </c>
      <c r="AA1224">
        <v>3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 t="str">
        <f t="shared" si="97"/>
        <v>0-3</v>
      </c>
      <c r="AI1224">
        <v>0</v>
      </c>
      <c r="AJ1224" t="str">
        <f t="shared" si="98"/>
        <v>0-2</v>
      </c>
      <c r="AK1224">
        <v>0</v>
      </c>
    </row>
    <row r="1225" spans="1:37" x14ac:dyDescent="0.25">
      <c r="A1225" s="8">
        <v>1224</v>
      </c>
      <c r="B1225" t="s">
        <v>44</v>
      </c>
      <c r="C1225" t="s">
        <v>45</v>
      </c>
      <c r="D1225" s="8">
        <v>47</v>
      </c>
      <c r="E1225" t="str">
        <f t="shared" si="99"/>
        <v>46-55</v>
      </c>
      <c r="F1225" t="s">
        <v>38</v>
      </c>
      <c r="G1225" t="s">
        <v>47</v>
      </c>
      <c r="H1225" s="8" t="s">
        <v>40</v>
      </c>
      <c r="I1225" s="10">
        <v>9</v>
      </c>
      <c r="J1225" t="str">
        <f t="shared" si="95"/>
        <v>Moderate</v>
      </c>
      <c r="K1225">
        <v>3</v>
      </c>
      <c r="L1225" t="s">
        <v>41</v>
      </c>
      <c r="M1225">
        <v>3</v>
      </c>
      <c r="N1225">
        <v>1</v>
      </c>
      <c r="O1225">
        <v>4</v>
      </c>
      <c r="P1225" t="s">
        <v>42</v>
      </c>
      <c r="Q1225">
        <v>3</v>
      </c>
      <c r="R1225" s="11">
        <v>1093</v>
      </c>
      <c r="S1225" s="14">
        <v>82</v>
      </c>
      <c r="T1225" s="13">
        <v>12936</v>
      </c>
      <c r="U1225" s="13">
        <f t="shared" si="96"/>
        <v>155232</v>
      </c>
      <c r="V1225" s="14">
        <v>24164</v>
      </c>
      <c r="W1225">
        <v>7</v>
      </c>
      <c r="X1225" s="8" t="s">
        <v>46</v>
      </c>
      <c r="Y1225" s="15">
        <v>0.11</v>
      </c>
      <c r="Z1225">
        <v>3</v>
      </c>
      <c r="AA1225">
        <v>3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 t="str">
        <f t="shared" si="97"/>
        <v>4-7</v>
      </c>
      <c r="AI1225">
        <v>14</v>
      </c>
      <c r="AJ1225" t="str">
        <f t="shared" si="98"/>
        <v>12-15</v>
      </c>
      <c r="AK1225">
        <v>10</v>
      </c>
    </row>
    <row r="1226" spans="1:37" x14ac:dyDescent="0.25">
      <c r="A1226" s="8">
        <v>1225</v>
      </c>
      <c r="B1226" t="s">
        <v>44</v>
      </c>
      <c r="C1226" t="s">
        <v>45</v>
      </c>
      <c r="D1226" s="8">
        <v>26</v>
      </c>
      <c r="E1226" t="str">
        <f t="shared" si="99"/>
        <v>26-35</v>
      </c>
      <c r="F1226" t="s">
        <v>46</v>
      </c>
      <c r="G1226" t="s">
        <v>39</v>
      </c>
      <c r="H1226" s="8" t="s">
        <v>48</v>
      </c>
      <c r="I1226" s="10">
        <v>17</v>
      </c>
      <c r="J1226" t="str">
        <f t="shared" si="95"/>
        <v>Far</v>
      </c>
      <c r="K1226">
        <v>4</v>
      </c>
      <c r="L1226" t="s">
        <v>53</v>
      </c>
      <c r="M1226">
        <v>4</v>
      </c>
      <c r="N1226">
        <v>1</v>
      </c>
      <c r="O1226">
        <v>1</v>
      </c>
      <c r="P1226" t="s">
        <v>51</v>
      </c>
      <c r="Q1226">
        <v>3</v>
      </c>
      <c r="R1226" s="11">
        <v>390</v>
      </c>
      <c r="S1226" s="14">
        <v>62</v>
      </c>
      <c r="T1226" s="13">
        <v>2305</v>
      </c>
      <c r="U1226" s="13">
        <f t="shared" si="96"/>
        <v>27660</v>
      </c>
      <c r="V1226" s="14">
        <v>6217</v>
      </c>
      <c r="W1226">
        <v>1</v>
      </c>
      <c r="X1226" s="8" t="s">
        <v>46</v>
      </c>
      <c r="Y1226" s="15">
        <v>0.15</v>
      </c>
      <c r="Z1226">
        <v>3</v>
      </c>
      <c r="AA1226">
        <v>3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 t="str">
        <f t="shared" si="97"/>
        <v>0-3</v>
      </c>
      <c r="AI1226">
        <v>0</v>
      </c>
      <c r="AJ1226" t="str">
        <f t="shared" si="98"/>
        <v>0-2</v>
      </c>
      <c r="AK1226">
        <v>2</v>
      </c>
    </row>
    <row r="1227" spans="1:37" x14ac:dyDescent="0.25">
      <c r="A1227" s="8">
        <v>1226</v>
      </c>
      <c r="B1227" t="s">
        <v>52</v>
      </c>
      <c r="C1227" t="s">
        <v>37</v>
      </c>
      <c r="D1227" s="8">
        <v>45</v>
      </c>
      <c r="E1227" t="str">
        <f t="shared" si="99"/>
        <v>36-45</v>
      </c>
      <c r="F1227" t="s">
        <v>46</v>
      </c>
      <c r="G1227" t="s">
        <v>39</v>
      </c>
      <c r="H1227" s="8" t="s">
        <v>48</v>
      </c>
      <c r="I1227" s="10">
        <v>28</v>
      </c>
      <c r="J1227" t="str">
        <f t="shared" si="95"/>
        <v>Far</v>
      </c>
      <c r="K1227">
        <v>2</v>
      </c>
      <c r="L1227" t="s">
        <v>63</v>
      </c>
      <c r="M1227">
        <v>4</v>
      </c>
      <c r="N1227">
        <v>2</v>
      </c>
      <c r="O1227">
        <v>4</v>
      </c>
      <c r="P1227" t="s">
        <v>61</v>
      </c>
      <c r="Q1227">
        <v>2</v>
      </c>
      <c r="R1227" s="11">
        <v>1005</v>
      </c>
      <c r="S1227" s="14">
        <v>48</v>
      </c>
      <c r="T1227" s="13">
        <v>16704</v>
      </c>
      <c r="U1227" s="13">
        <f t="shared" si="96"/>
        <v>200448</v>
      </c>
      <c r="V1227" s="14">
        <v>17119</v>
      </c>
      <c r="W1227">
        <v>1</v>
      </c>
      <c r="X1227" s="8" t="s">
        <v>46</v>
      </c>
      <c r="Y1227" s="15">
        <v>0.11</v>
      </c>
      <c r="Z1227">
        <v>3</v>
      </c>
      <c r="AA1227">
        <v>3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 t="str">
        <f t="shared" si="97"/>
        <v>4-7</v>
      </c>
      <c r="AI1227">
        <v>8</v>
      </c>
      <c r="AJ1227" t="str">
        <f t="shared" si="98"/>
        <v>6-8</v>
      </c>
      <c r="AK1227">
        <v>6</v>
      </c>
    </row>
    <row r="1228" spans="1:37" x14ac:dyDescent="0.25">
      <c r="A1228" s="8">
        <v>1227</v>
      </c>
      <c r="B1228" t="s">
        <v>44</v>
      </c>
      <c r="C1228" t="s">
        <v>45</v>
      </c>
      <c r="D1228" s="8">
        <v>32</v>
      </c>
      <c r="E1228" t="str">
        <f t="shared" si="99"/>
        <v>26-35</v>
      </c>
      <c r="F1228" t="s">
        <v>46</v>
      </c>
      <c r="G1228" t="s">
        <v>47</v>
      </c>
      <c r="H1228" s="8" t="s">
        <v>48</v>
      </c>
      <c r="I1228" s="10">
        <v>10</v>
      </c>
      <c r="J1228" t="str">
        <f t="shared" si="95"/>
        <v>Moderate</v>
      </c>
      <c r="K1228">
        <v>3</v>
      </c>
      <c r="L1228" t="s">
        <v>41</v>
      </c>
      <c r="M1228">
        <v>1</v>
      </c>
      <c r="N1228">
        <v>3</v>
      </c>
      <c r="O1228">
        <v>1</v>
      </c>
      <c r="P1228" t="s">
        <v>49</v>
      </c>
      <c r="Q1228">
        <v>3</v>
      </c>
      <c r="R1228" s="11">
        <v>585</v>
      </c>
      <c r="S1228" s="14">
        <v>56</v>
      </c>
      <c r="T1228" s="13">
        <v>3433</v>
      </c>
      <c r="U1228" s="13">
        <f t="shared" si="96"/>
        <v>41196</v>
      </c>
      <c r="V1228" s="14">
        <v>17360</v>
      </c>
      <c r="W1228">
        <v>6</v>
      </c>
      <c r="X1228" s="8" t="s">
        <v>46</v>
      </c>
      <c r="Y1228" s="15">
        <v>0.13</v>
      </c>
      <c r="Z1228">
        <v>3</v>
      </c>
      <c r="AA1228">
        <v>1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 t="str">
        <f t="shared" si="97"/>
        <v>0-3</v>
      </c>
      <c r="AI1228">
        <v>1</v>
      </c>
      <c r="AJ1228" t="str">
        <f t="shared" si="98"/>
        <v>0-2</v>
      </c>
      <c r="AK1228">
        <v>3</v>
      </c>
    </row>
    <row r="1229" spans="1:37" x14ac:dyDescent="0.25">
      <c r="A1229" s="8">
        <v>1228</v>
      </c>
      <c r="B1229" t="s">
        <v>44</v>
      </c>
      <c r="C1229" t="s">
        <v>45</v>
      </c>
      <c r="D1229" s="8">
        <v>31</v>
      </c>
      <c r="E1229" t="str">
        <f t="shared" si="99"/>
        <v>26-35</v>
      </c>
      <c r="F1229" t="s">
        <v>46</v>
      </c>
      <c r="G1229" t="s">
        <v>39</v>
      </c>
      <c r="H1229" s="8" t="s">
        <v>48</v>
      </c>
      <c r="I1229" s="10">
        <v>2</v>
      </c>
      <c r="J1229" t="str">
        <f t="shared" si="95"/>
        <v>Near</v>
      </c>
      <c r="K1229">
        <v>4</v>
      </c>
      <c r="L1229" t="s">
        <v>41</v>
      </c>
      <c r="M1229">
        <v>2</v>
      </c>
      <c r="N1229">
        <v>3</v>
      </c>
      <c r="O1229">
        <v>1</v>
      </c>
      <c r="P1229" t="s">
        <v>51</v>
      </c>
      <c r="Q1229">
        <v>3</v>
      </c>
      <c r="R1229" s="11">
        <v>741</v>
      </c>
      <c r="S1229" s="14">
        <v>69</v>
      </c>
      <c r="T1229" s="13">
        <v>3477</v>
      </c>
      <c r="U1229" s="13">
        <f t="shared" si="96"/>
        <v>41724</v>
      </c>
      <c r="V1229" s="14">
        <v>18103</v>
      </c>
      <c r="W1229">
        <v>1</v>
      </c>
      <c r="X1229" s="8" t="s">
        <v>46</v>
      </c>
      <c r="Y1229" s="15">
        <v>0.14000000000000001</v>
      </c>
      <c r="Z1229">
        <v>3</v>
      </c>
      <c r="AA1229">
        <v>4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 t="str">
        <f t="shared" si="97"/>
        <v>0-3</v>
      </c>
      <c r="AI1229">
        <v>0</v>
      </c>
      <c r="AJ1229" t="str">
        <f t="shared" si="98"/>
        <v>0-2</v>
      </c>
      <c r="AK1229">
        <v>3</v>
      </c>
    </row>
    <row r="1230" spans="1:37" x14ac:dyDescent="0.25">
      <c r="A1230" s="8">
        <v>1229</v>
      </c>
      <c r="B1230" t="s">
        <v>44</v>
      </c>
      <c r="C1230" t="s">
        <v>45</v>
      </c>
      <c r="D1230" s="8">
        <v>41</v>
      </c>
      <c r="E1230" t="str">
        <f t="shared" si="99"/>
        <v>36-45</v>
      </c>
      <c r="F1230" t="s">
        <v>46</v>
      </c>
      <c r="G1230" t="s">
        <v>58</v>
      </c>
      <c r="H1230" s="8" t="s">
        <v>64</v>
      </c>
      <c r="I1230" s="10">
        <v>4</v>
      </c>
      <c r="J1230" t="str">
        <f t="shared" si="95"/>
        <v>Near</v>
      </c>
      <c r="K1230">
        <v>3</v>
      </c>
      <c r="L1230" t="s">
        <v>64</v>
      </c>
      <c r="M1230">
        <v>3</v>
      </c>
      <c r="N1230">
        <v>1</v>
      </c>
      <c r="O1230">
        <v>2</v>
      </c>
      <c r="P1230" t="s">
        <v>64</v>
      </c>
      <c r="Q1230">
        <v>2</v>
      </c>
      <c r="R1230" s="11">
        <v>552</v>
      </c>
      <c r="S1230" s="14">
        <v>60</v>
      </c>
      <c r="T1230" s="13">
        <v>6430</v>
      </c>
      <c r="U1230" s="13">
        <f t="shared" si="96"/>
        <v>77160</v>
      </c>
      <c r="V1230" s="14">
        <v>20794</v>
      </c>
      <c r="W1230">
        <v>6</v>
      </c>
      <c r="X1230" s="8" t="s">
        <v>46</v>
      </c>
      <c r="Y1230" s="15">
        <v>0.19</v>
      </c>
      <c r="Z1230">
        <v>3</v>
      </c>
      <c r="AA1230">
        <v>2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 t="str">
        <f t="shared" si="97"/>
        <v>0-3</v>
      </c>
      <c r="AI1230">
        <v>1</v>
      </c>
      <c r="AJ1230" t="str">
        <f t="shared" si="98"/>
        <v>0-2</v>
      </c>
      <c r="AK1230">
        <v>2</v>
      </c>
    </row>
    <row r="1231" spans="1:37" x14ac:dyDescent="0.25">
      <c r="A1231" s="8">
        <v>1230</v>
      </c>
      <c r="B1231" t="s">
        <v>52</v>
      </c>
      <c r="C1231" t="s">
        <v>45</v>
      </c>
      <c r="D1231" s="8">
        <v>40</v>
      </c>
      <c r="E1231" t="str">
        <f t="shared" si="99"/>
        <v>36-45</v>
      </c>
      <c r="F1231" t="s">
        <v>46</v>
      </c>
      <c r="G1231" t="s">
        <v>39</v>
      </c>
      <c r="H1231" s="8" t="s">
        <v>48</v>
      </c>
      <c r="I1231" s="10">
        <v>8</v>
      </c>
      <c r="J1231" t="str">
        <f t="shared" si="95"/>
        <v>Moderate</v>
      </c>
      <c r="K1231">
        <v>2</v>
      </c>
      <c r="L1231" t="s">
        <v>41</v>
      </c>
      <c r="M1231">
        <v>2</v>
      </c>
      <c r="N1231">
        <v>3</v>
      </c>
      <c r="O1231">
        <v>2</v>
      </c>
      <c r="P1231" t="s">
        <v>55</v>
      </c>
      <c r="Q1231">
        <v>1</v>
      </c>
      <c r="R1231" s="11">
        <v>369</v>
      </c>
      <c r="S1231" s="14">
        <v>92</v>
      </c>
      <c r="T1231" s="13">
        <v>6516</v>
      </c>
      <c r="U1231" s="13">
        <f t="shared" si="96"/>
        <v>78192</v>
      </c>
      <c r="V1231" s="14">
        <v>5041</v>
      </c>
      <c r="W1231">
        <v>2</v>
      </c>
      <c r="X1231" s="8" t="s">
        <v>38</v>
      </c>
      <c r="Y1231" s="15">
        <v>0.16</v>
      </c>
      <c r="Z1231">
        <v>3</v>
      </c>
      <c r="AA1231">
        <v>2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 t="str">
        <f t="shared" si="97"/>
        <v>0-3</v>
      </c>
      <c r="AI1231">
        <v>0</v>
      </c>
      <c r="AJ1231" t="str">
        <f t="shared" si="98"/>
        <v>0-2</v>
      </c>
      <c r="AK1231">
        <v>0</v>
      </c>
    </row>
    <row r="1232" spans="1:37" x14ac:dyDescent="0.25">
      <c r="A1232" s="8">
        <v>1231</v>
      </c>
      <c r="B1232" t="s">
        <v>44</v>
      </c>
      <c r="C1232" t="s">
        <v>54</v>
      </c>
      <c r="D1232" s="8">
        <v>24</v>
      </c>
      <c r="E1232" t="str">
        <f t="shared" si="99"/>
        <v>18-25</v>
      </c>
      <c r="F1232" t="s">
        <v>46</v>
      </c>
      <c r="G1232" t="s">
        <v>39</v>
      </c>
      <c r="H1232" s="8" t="s">
        <v>48</v>
      </c>
      <c r="I1232" s="10">
        <v>29</v>
      </c>
      <c r="J1232" t="str">
        <f t="shared" si="95"/>
        <v>Far</v>
      </c>
      <c r="K1232">
        <v>1</v>
      </c>
      <c r="L1232" t="s">
        <v>53</v>
      </c>
      <c r="M1232">
        <v>2</v>
      </c>
      <c r="N1232">
        <v>3</v>
      </c>
      <c r="O1232">
        <v>1</v>
      </c>
      <c r="P1232" t="s">
        <v>51</v>
      </c>
      <c r="Q1232">
        <v>1</v>
      </c>
      <c r="R1232" s="11">
        <v>506</v>
      </c>
      <c r="S1232" s="14">
        <v>91</v>
      </c>
      <c r="T1232" s="13">
        <v>3907</v>
      </c>
      <c r="U1232" s="13">
        <f t="shared" si="96"/>
        <v>46884</v>
      </c>
      <c r="V1232" s="14">
        <v>3622</v>
      </c>
      <c r="W1232">
        <v>1</v>
      </c>
      <c r="X1232" s="8" t="s">
        <v>46</v>
      </c>
      <c r="Y1232" s="15">
        <v>0.13</v>
      </c>
      <c r="Z1232">
        <v>3</v>
      </c>
      <c r="AA1232">
        <v>2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 t="str">
        <f t="shared" si="97"/>
        <v>0-3</v>
      </c>
      <c r="AI1232">
        <v>1</v>
      </c>
      <c r="AJ1232" t="str">
        <f t="shared" si="98"/>
        <v>0-2</v>
      </c>
      <c r="AK1232">
        <v>2</v>
      </c>
    </row>
    <row r="1233" spans="1:37" x14ac:dyDescent="0.25">
      <c r="A1233" s="8">
        <v>1232</v>
      </c>
      <c r="B1233" t="s">
        <v>44</v>
      </c>
      <c r="C1233" t="s">
        <v>37</v>
      </c>
      <c r="D1233" s="8">
        <v>46</v>
      </c>
      <c r="E1233" t="str">
        <f t="shared" si="99"/>
        <v>46-55</v>
      </c>
      <c r="F1233" t="s">
        <v>46</v>
      </c>
      <c r="G1233" t="s">
        <v>39</v>
      </c>
      <c r="H1233" s="8" t="s">
        <v>48</v>
      </c>
      <c r="I1233" s="10">
        <v>13</v>
      </c>
      <c r="J1233" t="str">
        <f t="shared" si="95"/>
        <v>Moderate</v>
      </c>
      <c r="K1233">
        <v>4</v>
      </c>
      <c r="L1233" t="s">
        <v>41</v>
      </c>
      <c r="M1233">
        <v>3</v>
      </c>
      <c r="N1233">
        <v>3</v>
      </c>
      <c r="O1233">
        <v>2</v>
      </c>
      <c r="P1233" t="s">
        <v>56</v>
      </c>
      <c r="Q1233">
        <v>2</v>
      </c>
      <c r="R1233" s="11">
        <v>717</v>
      </c>
      <c r="S1233" s="14">
        <v>34</v>
      </c>
      <c r="T1233" s="13">
        <v>5562</v>
      </c>
      <c r="U1233" s="13">
        <f t="shared" si="96"/>
        <v>66744</v>
      </c>
      <c r="V1233" s="14">
        <v>9697</v>
      </c>
      <c r="W1233">
        <v>6</v>
      </c>
      <c r="X1233" s="8" t="s">
        <v>46</v>
      </c>
      <c r="Y1233" s="15">
        <v>0.14000000000000001</v>
      </c>
      <c r="Z1233">
        <v>3</v>
      </c>
      <c r="AA1233">
        <v>4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 t="str">
        <f t="shared" si="97"/>
        <v>4-7</v>
      </c>
      <c r="AI1233">
        <v>0</v>
      </c>
      <c r="AJ1233" t="str">
        <f t="shared" si="98"/>
        <v>0-2</v>
      </c>
      <c r="AK1233">
        <v>9</v>
      </c>
    </row>
    <row r="1234" spans="1:37" x14ac:dyDescent="0.25">
      <c r="A1234" s="8">
        <v>1233</v>
      </c>
      <c r="B1234" t="s">
        <v>44</v>
      </c>
      <c r="C1234" t="s">
        <v>45</v>
      </c>
      <c r="D1234" s="8">
        <v>35</v>
      </c>
      <c r="E1234" t="str">
        <f t="shared" si="99"/>
        <v>26-35</v>
      </c>
      <c r="F1234" t="s">
        <v>46</v>
      </c>
      <c r="G1234" t="s">
        <v>39</v>
      </c>
      <c r="H1234" s="8" t="s">
        <v>48</v>
      </c>
      <c r="I1234" s="10">
        <v>27</v>
      </c>
      <c r="J1234" t="str">
        <f t="shared" si="95"/>
        <v>Far</v>
      </c>
      <c r="K1234">
        <v>4</v>
      </c>
      <c r="L1234" t="s">
        <v>41</v>
      </c>
      <c r="M1234">
        <v>4</v>
      </c>
      <c r="N1234">
        <v>3</v>
      </c>
      <c r="O1234">
        <v>2</v>
      </c>
      <c r="P1234" t="s">
        <v>55</v>
      </c>
      <c r="Q1234">
        <v>3</v>
      </c>
      <c r="R1234" s="11">
        <v>1370</v>
      </c>
      <c r="S1234" s="14">
        <v>49</v>
      </c>
      <c r="T1234" s="13">
        <v>6883</v>
      </c>
      <c r="U1234" s="13">
        <f t="shared" si="96"/>
        <v>82596</v>
      </c>
      <c r="V1234" s="14">
        <v>5151</v>
      </c>
      <c r="W1234">
        <v>2</v>
      </c>
      <c r="X1234" s="8" t="s">
        <v>46</v>
      </c>
      <c r="Y1234" s="15">
        <v>0.16</v>
      </c>
      <c r="Z1234">
        <v>3</v>
      </c>
      <c r="AA1234">
        <v>2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 t="str">
        <f t="shared" si="97"/>
        <v>4-7</v>
      </c>
      <c r="AI1234">
        <v>0</v>
      </c>
      <c r="AJ1234" t="str">
        <f t="shared" si="98"/>
        <v>0-2</v>
      </c>
      <c r="AK1234">
        <v>7</v>
      </c>
    </row>
    <row r="1235" spans="1:37" x14ac:dyDescent="0.25">
      <c r="A1235" s="8">
        <v>1234</v>
      </c>
      <c r="B1235" t="s">
        <v>44</v>
      </c>
      <c r="C1235" t="s">
        <v>45</v>
      </c>
      <c r="D1235" s="8">
        <v>30</v>
      </c>
      <c r="E1235" t="str">
        <f t="shared" si="99"/>
        <v>26-35</v>
      </c>
      <c r="F1235" t="s">
        <v>46</v>
      </c>
      <c r="G1235" t="s">
        <v>39</v>
      </c>
      <c r="H1235" s="8" t="s">
        <v>48</v>
      </c>
      <c r="I1235" s="10">
        <v>16</v>
      </c>
      <c r="J1235" t="str">
        <f t="shared" si="95"/>
        <v>Far</v>
      </c>
      <c r="K1235">
        <v>1</v>
      </c>
      <c r="L1235" t="s">
        <v>41</v>
      </c>
      <c r="M1235">
        <v>2</v>
      </c>
      <c r="N1235">
        <v>3</v>
      </c>
      <c r="O1235">
        <v>1</v>
      </c>
      <c r="P1235" t="s">
        <v>49</v>
      </c>
      <c r="Q1235">
        <v>4</v>
      </c>
      <c r="R1235" s="11">
        <v>793</v>
      </c>
      <c r="S1235" s="14">
        <v>33</v>
      </c>
      <c r="T1235" s="13">
        <v>2862</v>
      </c>
      <c r="U1235" s="13">
        <f t="shared" si="96"/>
        <v>34344</v>
      </c>
      <c r="V1235" s="14">
        <v>3811</v>
      </c>
      <c r="W1235">
        <v>1</v>
      </c>
      <c r="X1235" s="8" t="s">
        <v>46</v>
      </c>
      <c r="Y1235" s="15">
        <v>0.12</v>
      </c>
      <c r="Z1235">
        <v>3</v>
      </c>
      <c r="AA1235">
        <v>2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 t="str">
        <f t="shared" si="97"/>
        <v>0-3</v>
      </c>
      <c r="AI1235">
        <v>0</v>
      </c>
      <c r="AJ1235" t="str">
        <f t="shared" si="98"/>
        <v>0-2</v>
      </c>
      <c r="AK1235">
        <v>8</v>
      </c>
    </row>
    <row r="1236" spans="1:37" x14ac:dyDescent="0.25">
      <c r="A1236" s="8">
        <v>1235</v>
      </c>
      <c r="B1236" t="s">
        <v>44</v>
      </c>
      <c r="C1236" t="s">
        <v>45</v>
      </c>
      <c r="D1236" s="8">
        <v>47</v>
      </c>
      <c r="E1236" t="str">
        <f t="shared" si="99"/>
        <v>46-55</v>
      </c>
      <c r="F1236" t="s">
        <v>46</v>
      </c>
      <c r="G1236" t="s">
        <v>58</v>
      </c>
      <c r="H1236" s="8" t="s">
        <v>40</v>
      </c>
      <c r="I1236" s="10">
        <v>2</v>
      </c>
      <c r="J1236" t="str">
        <f t="shared" si="95"/>
        <v>Near</v>
      </c>
      <c r="K1236">
        <v>4</v>
      </c>
      <c r="L1236" t="s">
        <v>62</v>
      </c>
      <c r="M1236">
        <v>3</v>
      </c>
      <c r="N1236">
        <v>3</v>
      </c>
      <c r="O1236">
        <v>2</v>
      </c>
      <c r="P1236" t="s">
        <v>42</v>
      </c>
      <c r="Q1236">
        <v>2</v>
      </c>
      <c r="R1236" s="11">
        <v>543</v>
      </c>
      <c r="S1236" s="14">
        <v>87</v>
      </c>
      <c r="T1236" s="13">
        <v>4978</v>
      </c>
      <c r="U1236" s="13">
        <f t="shared" si="96"/>
        <v>59736</v>
      </c>
      <c r="V1236" s="14">
        <v>3536</v>
      </c>
      <c r="W1236">
        <v>7</v>
      </c>
      <c r="X1236" s="8" t="s">
        <v>46</v>
      </c>
      <c r="Y1236" s="15">
        <v>0.11</v>
      </c>
      <c r="Z1236">
        <v>3</v>
      </c>
      <c r="AA1236">
        <v>4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 t="str">
        <f t="shared" si="97"/>
        <v>0-3</v>
      </c>
      <c r="AI1236">
        <v>0</v>
      </c>
      <c r="AJ1236" t="str">
        <f t="shared" si="98"/>
        <v>0-2</v>
      </c>
      <c r="AK1236">
        <v>0</v>
      </c>
    </row>
    <row r="1237" spans="1:37" x14ac:dyDescent="0.25">
      <c r="A1237" s="8">
        <v>1236</v>
      </c>
      <c r="B1237" t="s">
        <v>44</v>
      </c>
      <c r="C1237" t="s">
        <v>54</v>
      </c>
      <c r="D1237" s="8">
        <v>46</v>
      </c>
      <c r="E1237" t="str">
        <f t="shared" si="99"/>
        <v>46-55</v>
      </c>
      <c r="F1237" t="s">
        <v>46</v>
      </c>
      <c r="G1237" t="s">
        <v>39</v>
      </c>
      <c r="H1237" s="8" t="s">
        <v>40</v>
      </c>
      <c r="I1237" s="10">
        <v>2</v>
      </c>
      <c r="J1237" t="str">
        <f t="shared" si="95"/>
        <v>Near</v>
      </c>
      <c r="K1237">
        <v>3</v>
      </c>
      <c r="L1237" t="s">
        <v>41</v>
      </c>
      <c r="M1237">
        <v>3</v>
      </c>
      <c r="N1237">
        <v>3</v>
      </c>
      <c r="O1237">
        <v>3</v>
      </c>
      <c r="P1237" t="s">
        <v>42</v>
      </c>
      <c r="Q1237">
        <v>4</v>
      </c>
      <c r="R1237" s="11">
        <v>1277</v>
      </c>
      <c r="S1237" s="14">
        <v>74</v>
      </c>
      <c r="T1237" s="13">
        <v>10368</v>
      </c>
      <c r="U1237" s="13">
        <f t="shared" si="96"/>
        <v>124416</v>
      </c>
      <c r="V1237" s="14">
        <v>5596</v>
      </c>
      <c r="W1237">
        <v>4</v>
      </c>
      <c r="X1237" s="8" t="s">
        <v>38</v>
      </c>
      <c r="Y1237" s="15">
        <v>0.12</v>
      </c>
      <c r="Z1237">
        <v>3</v>
      </c>
      <c r="AA1237">
        <v>2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 t="str">
        <f t="shared" si="97"/>
        <v>4-7</v>
      </c>
      <c r="AI1237">
        <v>0</v>
      </c>
      <c r="AJ1237" t="str">
        <f t="shared" si="98"/>
        <v>0-2</v>
      </c>
      <c r="AK1237">
        <v>3</v>
      </c>
    </row>
    <row r="1238" spans="1:37" x14ac:dyDescent="0.25">
      <c r="A1238" s="8">
        <v>1237</v>
      </c>
      <c r="B1238" t="s">
        <v>44</v>
      </c>
      <c r="C1238" t="s">
        <v>54</v>
      </c>
      <c r="D1238" s="8">
        <v>36</v>
      </c>
      <c r="E1238" t="str">
        <f t="shared" si="99"/>
        <v>36-45</v>
      </c>
      <c r="F1238" t="s">
        <v>38</v>
      </c>
      <c r="G1238" t="s">
        <v>39</v>
      </c>
      <c r="H1238" s="8" t="s">
        <v>40</v>
      </c>
      <c r="I1238" s="10">
        <v>13</v>
      </c>
      <c r="J1238" t="str">
        <f t="shared" si="95"/>
        <v>Moderate</v>
      </c>
      <c r="K1238">
        <v>5</v>
      </c>
      <c r="L1238" t="s">
        <v>62</v>
      </c>
      <c r="M1238">
        <v>2</v>
      </c>
      <c r="N1238">
        <v>2</v>
      </c>
      <c r="O1238">
        <v>2</v>
      </c>
      <c r="P1238" t="s">
        <v>42</v>
      </c>
      <c r="Q1238">
        <v>1</v>
      </c>
      <c r="R1238" s="11">
        <v>1456</v>
      </c>
      <c r="S1238" s="14">
        <v>96</v>
      </c>
      <c r="T1238" s="13">
        <v>6134</v>
      </c>
      <c r="U1238" s="13">
        <f t="shared" si="96"/>
        <v>73608</v>
      </c>
      <c r="V1238" s="14">
        <v>8658</v>
      </c>
      <c r="W1238">
        <v>5</v>
      </c>
      <c r="X1238" s="8" t="s">
        <v>38</v>
      </c>
      <c r="Y1238" s="15">
        <v>0.13</v>
      </c>
      <c r="Z1238">
        <v>3</v>
      </c>
      <c r="AA1238">
        <v>2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 t="str">
        <f t="shared" si="97"/>
        <v>0-3</v>
      </c>
      <c r="AI1238">
        <v>2</v>
      </c>
      <c r="AJ1238" t="str">
        <f t="shared" si="98"/>
        <v>0-2</v>
      </c>
      <c r="AK1238">
        <v>2</v>
      </c>
    </row>
    <row r="1239" spans="1:37" x14ac:dyDescent="0.25">
      <c r="A1239" s="8">
        <v>1238</v>
      </c>
      <c r="B1239" t="s">
        <v>44</v>
      </c>
      <c r="C1239" t="s">
        <v>37</v>
      </c>
      <c r="D1239" s="8">
        <v>32</v>
      </c>
      <c r="E1239" t="str">
        <f t="shared" si="99"/>
        <v>26-35</v>
      </c>
      <c r="F1239" t="s">
        <v>38</v>
      </c>
      <c r="G1239" t="s">
        <v>39</v>
      </c>
      <c r="H1239" s="8" t="s">
        <v>40</v>
      </c>
      <c r="I1239" s="10">
        <v>1</v>
      </c>
      <c r="J1239" t="str">
        <f t="shared" si="95"/>
        <v>Near</v>
      </c>
      <c r="K1239">
        <v>2</v>
      </c>
      <c r="L1239" t="s">
        <v>41</v>
      </c>
      <c r="M1239">
        <v>1</v>
      </c>
      <c r="N1239">
        <v>1</v>
      </c>
      <c r="O1239">
        <v>2</v>
      </c>
      <c r="P1239" t="s">
        <v>42</v>
      </c>
      <c r="Q1239">
        <v>2</v>
      </c>
      <c r="R1239" s="11">
        <v>964</v>
      </c>
      <c r="S1239" s="14">
        <v>34</v>
      </c>
      <c r="T1239" s="13">
        <v>6735</v>
      </c>
      <c r="U1239" s="13">
        <f t="shared" si="96"/>
        <v>80820</v>
      </c>
      <c r="V1239" s="14">
        <v>12147</v>
      </c>
      <c r="W1239">
        <v>6</v>
      </c>
      <c r="X1239" s="8" t="s">
        <v>46</v>
      </c>
      <c r="Y1239" s="15">
        <v>0.15</v>
      </c>
      <c r="Z1239">
        <v>3</v>
      </c>
      <c r="AA1239">
        <v>2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 t="str">
        <f t="shared" si="97"/>
        <v>0-3</v>
      </c>
      <c r="AI1239">
        <v>0</v>
      </c>
      <c r="AJ1239" t="str">
        <f t="shared" si="98"/>
        <v>0-2</v>
      </c>
      <c r="AK1239">
        <v>0</v>
      </c>
    </row>
    <row r="1240" spans="1:37" x14ac:dyDescent="0.25">
      <c r="A1240" s="8">
        <v>1239</v>
      </c>
      <c r="B1240" t="s">
        <v>52</v>
      </c>
      <c r="C1240" t="s">
        <v>37</v>
      </c>
      <c r="D1240" s="8">
        <v>23</v>
      </c>
      <c r="E1240" t="str">
        <f t="shared" si="99"/>
        <v>18-25</v>
      </c>
      <c r="F1240" t="s">
        <v>46</v>
      </c>
      <c r="G1240" t="s">
        <v>39</v>
      </c>
      <c r="H1240" s="8" t="s">
        <v>48</v>
      </c>
      <c r="I1240" s="10">
        <v>4</v>
      </c>
      <c r="J1240" t="str">
        <f t="shared" si="95"/>
        <v>Near</v>
      </c>
      <c r="K1240">
        <v>1</v>
      </c>
      <c r="L1240" t="s">
        <v>53</v>
      </c>
      <c r="M1240">
        <v>3</v>
      </c>
      <c r="N1240">
        <v>3</v>
      </c>
      <c r="O1240">
        <v>1</v>
      </c>
      <c r="P1240" t="s">
        <v>51</v>
      </c>
      <c r="Q1240">
        <v>2</v>
      </c>
      <c r="R1240" s="11">
        <v>160</v>
      </c>
      <c r="S1240" s="14">
        <v>51</v>
      </c>
      <c r="T1240" s="13">
        <v>3295</v>
      </c>
      <c r="U1240" s="13">
        <f t="shared" si="96"/>
        <v>39540</v>
      </c>
      <c r="V1240" s="14">
        <v>12862</v>
      </c>
      <c r="W1240">
        <v>1</v>
      </c>
      <c r="X1240" s="8" t="s">
        <v>46</v>
      </c>
      <c r="Y1240" s="15">
        <v>0.13</v>
      </c>
      <c r="Z1240">
        <v>3</v>
      </c>
      <c r="AA1240">
        <v>3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 t="str">
        <f t="shared" si="97"/>
        <v>0-3</v>
      </c>
      <c r="AI1240">
        <v>1</v>
      </c>
      <c r="AJ1240" t="str">
        <f t="shared" si="98"/>
        <v>0-2</v>
      </c>
      <c r="AK1240">
        <v>2</v>
      </c>
    </row>
    <row r="1241" spans="1:37" x14ac:dyDescent="0.25">
      <c r="A1241" s="8">
        <v>1240</v>
      </c>
      <c r="B1241" t="s">
        <v>52</v>
      </c>
      <c r="C1241" t="s">
        <v>37</v>
      </c>
      <c r="D1241" s="8">
        <v>31</v>
      </c>
      <c r="E1241" t="str">
        <f t="shared" si="99"/>
        <v>26-35</v>
      </c>
      <c r="F1241" t="s">
        <v>46</v>
      </c>
      <c r="G1241" t="s">
        <v>47</v>
      </c>
      <c r="H1241" s="8" t="s">
        <v>48</v>
      </c>
      <c r="I1241" s="10">
        <v>24</v>
      </c>
      <c r="J1241" t="str">
        <f t="shared" si="95"/>
        <v>Far</v>
      </c>
      <c r="K1241">
        <v>1</v>
      </c>
      <c r="L1241" t="s">
        <v>63</v>
      </c>
      <c r="M1241">
        <v>4</v>
      </c>
      <c r="N1241">
        <v>3</v>
      </c>
      <c r="O1241">
        <v>2</v>
      </c>
      <c r="P1241" t="s">
        <v>55</v>
      </c>
      <c r="Q1241">
        <v>4</v>
      </c>
      <c r="R1241" s="11">
        <v>163</v>
      </c>
      <c r="S1241" s="14">
        <v>30</v>
      </c>
      <c r="T1241" s="13">
        <v>5238</v>
      </c>
      <c r="U1241" s="13">
        <f t="shared" si="96"/>
        <v>62856</v>
      </c>
      <c r="V1241" s="14">
        <v>6670</v>
      </c>
      <c r="W1241">
        <v>2</v>
      </c>
      <c r="X1241" s="8" t="s">
        <v>46</v>
      </c>
      <c r="Y1241" s="15">
        <v>0.2</v>
      </c>
      <c r="Z1241">
        <v>4</v>
      </c>
      <c r="AA1241">
        <v>4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 t="str">
        <f t="shared" si="97"/>
        <v>4-7</v>
      </c>
      <c r="AI1241">
        <v>1</v>
      </c>
      <c r="AJ1241" t="str">
        <f t="shared" si="98"/>
        <v>0-2</v>
      </c>
      <c r="AK1241">
        <v>4</v>
      </c>
    </row>
    <row r="1242" spans="1:37" x14ac:dyDescent="0.25">
      <c r="A1242" s="8">
        <v>1241</v>
      </c>
      <c r="B1242" t="s">
        <v>44</v>
      </c>
      <c r="C1242" t="s">
        <v>45</v>
      </c>
      <c r="D1242" s="8">
        <v>39</v>
      </c>
      <c r="E1242" t="str">
        <f t="shared" si="99"/>
        <v>36-45</v>
      </c>
      <c r="F1242" t="s">
        <v>46</v>
      </c>
      <c r="G1242" t="s">
        <v>58</v>
      </c>
      <c r="H1242" s="8" t="s">
        <v>48</v>
      </c>
      <c r="I1242" s="10">
        <v>1</v>
      </c>
      <c r="J1242" t="str">
        <f t="shared" si="95"/>
        <v>Near</v>
      </c>
      <c r="K1242">
        <v>3</v>
      </c>
      <c r="L1242" t="s">
        <v>41</v>
      </c>
      <c r="M1242">
        <v>4</v>
      </c>
      <c r="N1242">
        <v>3</v>
      </c>
      <c r="O1242">
        <v>2</v>
      </c>
      <c r="P1242" t="s">
        <v>51</v>
      </c>
      <c r="Q1242">
        <v>4</v>
      </c>
      <c r="R1242" s="11">
        <v>792</v>
      </c>
      <c r="S1242" s="14">
        <v>77</v>
      </c>
      <c r="T1242" s="13">
        <v>6472</v>
      </c>
      <c r="U1242" s="13">
        <f t="shared" si="96"/>
        <v>77664</v>
      </c>
      <c r="V1242" s="14">
        <v>8989</v>
      </c>
      <c r="W1242">
        <v>1</v>
      </c>
      <c r="X1242" s="8" t="s">
        <v>38</v>
      </c>
      <c r="Y1242" s="15">
        <v>0.15</v>
      </c>
      <c r="Z1242">
        <v>3</v>
      </c>
      <c r="AA1242">
        <v>4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 t="str">
        <f t="shared" si="97"/>
        <v>8-11</v>
      </c>
      <c r="AI1242">
        <v>5</v>
      </c>
      <c r="AJ1242" t="str">
        <f t="shared" si="98"/>
        <v>3-5</v>
      </c>
      <c r="AK1242">
        <v>8</v>
      </c>
    </row>
    <row r="1243" spans="1:37" x14ac:dyDescent="0.25">
      <c r="A1243" s="8">
        <v>1242</v>
      </c>
      <c r="B1243" t="s">
        <v>44</v>
      </c>
      <c r="C1243" t="s">
        <v>45</v>
      </c>
      <c r="D1243" s="8">
        <v>32</v>
      </c>
      <c r="E1243" t="str">
        <f t="shared" si="99"/>
        <v>26-35</v>
      </c>
      <c r="F1243" t="s">
        <v>46</v>
      </c>
      <c r="G1243" t="s">
        <v>39</v>
      </c>
      <c r="H1243" s="8" t="s">
        <v>40</v>
      </c>
      <c r="I1243" s="10">
        <v>19</v>
      </c>
      <c r="J1243" t="str">
        <f t="shared" si="95"/>
        <v>Far</v>
      </c>
      <c r="K1243">
        <v>3</v>
      </c>
      <c r="L1243" t="s">
        <v>41</v>
      </c>
      <c r="M1243">
        <v>4</v>
      </c>
      <c r="N1243">
        <v>1</v>
      </c>
      <c r="O1243">
        <v>3</v>
      </c>
      <c r="P1243" t="s">
        <v>42</v>
      </c>
      <c r="Q1243">
        <v>3</v>
      </c>
      <c r="R1243" s="11">
        <v>371</v>
      </c>
      <c r="S1243" s="14">
        <v>80</v>
      </c>
      <c r="T1243" s="13">
        <v>9610</v>
      </c>
      <c r="U1243" s="13">
        <f t="shared" si="96"/>
        <v>115320</v>
      </c>
      <c r="V1243" s="14">
        <v>3840</v>
      </c>
      <c r="W1243">
        <v>3</v>
      </c>
      <c r="X1243" s="8" t="s">
        <v>46</v>
      </c>
      <c r="Y1243" s="15">
        <v>0.13</v>
      </c>
      <c r="Z1243">
        <v>3</v>
      </c>
      <c r="AA1243">
        <v>3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 t="str">
        <f t="shared" si="97"/>
        <v>0-3</v>
      </c>
      <c r="AI1243">
        <v>0</v>
      </c>
      <c r="AJ1243" t="str">
        <f t="shared" si="98"/>
        <v>0-2</v>
      </c>
      <c r="AK1243">
        <v>2</v>
      </c>
    </row>
    <row r="1244" spans="1:37" x14ac:dyDescent="0.25">
      <c r="A1244" s="8">
        <v>1243</v>
      </c>
      <c r="B1244" t="s">
        <v>44</v>
      </c>
      <c r="C1244" t="s">
        <v>37</v>
      </c>
      <c r="D1244" s="8">
        <v>40</v>
      </c>
      <c r="E1244" t="str">
        <f t="shared" si="99"/>
        <v>36-45</v>
      </c>
      <c r="F1244" t="s">
        <v>46</v>
      </c>
      <c r="G1244" t="s">
        <v>39</v>
      </c>
      <c r="H1244" s="8" t="s">
        <v>40</v>
      </c>
      <c r="I1244" s="10">
        <v>7</v>
      </c>
      <c r="J1244" t="str">
        <f t="shared" si="95"/>
        <v>Moderate</v>
      </c>
      <c r="K1244">
        <v>4</v>
      </c>
      <c r="L1244" t="s">
        <v>53</v>
      </c>
      <c r="M1244">
        <v>2</v>
      </c>
      <c r="N1244">
        <v>3</v>
      </c>
      <c r="O1244">
        <v>5</v>
      </c>
      <c r="P1244" t="s">
        <v>59</v>
      </c>
      <c r="Q1244">
        <v>2</v>
      </c>
      <c r="R1244" s="11">
        <v>611</v>
      </c>
      <c r="S1244" s="14">
        <v>88</v>
      </c>
      <c r="T1244" s="13">
        <v>19833</v>
      </c>
      <c r="U1244" s="13">
        <f t="shared" si="96"/>
        <v>237996</v>
      </c>
      <c r="V1244" s="14">
        <v>4349</v>
      </c>
      <c r="W1244">
        <v>1</v>
      </c>
      <c r="X1244" s="8" t="s">
        <v>46</v>
      </c>
      <c r="Y1244" s="15">
        <v>0.14000000000000001</v>
      </c>
      <c r="Z1244">
        <v>3</v>
      </c>
      <c r="AA1244">
        <v>2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 t="str">
        <f t="shared" si="97"/>
        <v>8-11</v>
      </c>
      <c r="AI1244">
        <v>12</v>
      </c>
      <c r="AJ1244" t="str">
        <f t="shared" si="98"/>
        <v>12-15</v>
      </c>
      <c r="AK1244">
        <v>8</v>
      </c>
    </row>
    <row r="1245" spans="1:37" x14ac:dyDescent="0.25">
      <c r="A1245" s="8">
        <v>1244</v>
      </c>
      <c r="B1245" t="s">
        <v>52</v>
      </c>
      <c r="C1245" t="s">
        <v>45</v>
      </c>
      <c r="D1245" s="8">
        <v>45</v>
      </c>
      <c r="E1245" t="str">
        <f t="shared" si="99"/>
        <v>36-45</v>
      </c>
      <c r="F1245" t="s">
        <v>46</v>
      </c>
      <c r="G1245" t="s">
        <v>39</v>
      </c>
      <c r="H1245" s="8" t="s">
        <v>64</v>
      </c>
      <c r="I1245" s="10">
        <v>4</v>
      </c>
      <c r="J1245" t="str">
        <f t="shared" si="95"/>
        <v>Near</v>
      </c>
      <c r="K1245">
        <v>3</v>
      </c>
      <c r="L1245" t="s">
        <v>41</v>
      </c>
      <c r="M1245">
        <v>3</v>
      </c>
      <c r="N1245">
        <v>1</v>
      </c>
      <c r="O1245">
        <v>3</v>
      </c>
      <c r="P1245" t="s">
        <v>64</v>
      </c>
      <c r="Q1245">
        <v>3</v>
      </c>
      <c r="R1245" s="11">
        <v>176</v>
      </c>
      <c r="S1245" s="14">
        <v>56</v>
      </c>
      <c r="T1245" s="13">
        <v>9756</v>
      </c>
      <c r="U1245" s="13">
        <f t="shared" si="96"/>
        <v>117072</v>
      </c>
      <c r="V1245" s="14">
        <v>6595</v>
      </c>
      <c r="W1245">
        <v>4</v>
      </c>
      <c r="X1245" s="8" t="s">
        <v>46</v>
      </c>
      <c r="Y1245" s="15">
        <v>0.21</v>
      </c>
      <c r="Z1245">
        <v>4</v>
      </c>
      <c r="AA1245">
        <v>3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 t="str">
        <f t="shared" si="97"/>
        <v>0-3</v>
      </c>
      <c r="AI1245">
        <v>0</v>
      </c>
      <c r="AJ1245" t="str">
        <f t="shared" si="98"/>
        <v>0-2</v>
      </c>
      <c r="AK1245">
        <v>3</v>
      </c>
    </row>
    <row r="1246" spans="1:37" x14ac:dyDescent="0.25">
      <c r="A1246" s="8">
        <v>1245</v>
      </c>
      <c r="B1246" t="s">
        <v>52</v>
      </c>
      <c r="C1246" t="s">
        <v>37</v>
      </c>
      <c r="D1246" s="8">
        <v>30</v>
      </c>
      <c r="E1246" t="str">
        <f t="shared" si="99"/>
        <v>26-35</v>
      </c>
      <c r="F1246" t="s">
        <v>46</v>
      </c>
      <c r="G1246" t="s">
        <v>47</v>
      </c>
      <c r="H1246" s="8" t="s">
        <v>48</v>
      </c>
      <c r="I1246" s="10">
        <v>2</v>
      </c>
      <c r="J1246" t="str">
        <f t="shared" si="95"/>
        <v>Near</v>
      </c>
      <c r="K1246">
        <v>4</v>
      </c>
      <c r="L1246" t="s">
        <v>63</v>
      </c>
      <c r="M1246">
        <v>4</v>
      </c>
      <c r="N1246">
        <v>2</v>
      </c>
      <c r="O1246">
        <v>1</v>
      </c>
      <c r="P1246" t="s">
        <v>49</v>
      </c>
      <c r="Q1246">
        <v>1</v>
      </c>
      <c r="R1246" s="11">
        <v>1312</v>
      </c>
      <c r="S1246" s="14">
        <v>78</v>
      </c>
      <c r="T1246" s="13">
        <v>4968</v>
      </c>
      <c r="U1246" s="13">
        <f t="shared" si="96"/>
        <v>59616</v>
      </c>
      <c r="V1246" s="14">
        <v>26427</v>
      </c>
      <c r="W1246">
        <v>0</v>
      </c>
      <c r="X1246" s="8" t="s">
        <v>46</v>
      </c>
      <c r="Y1246" s="15">
        <v>0.16</v>
      </c>
      <c r="Z1246">
        <v>3</v>
      </c>
      <c r="AA1246">
        <v>4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 t="str">
        <f t="shared" si="97"/>
        <v>4-7</v>
      </c>
      <c r="AI1246">
        <v>0</v>
      </c>
      <c r="AJ1246" t="str">
        <f t="shared" si="98"/>
        <v>0-2</v>
      </c>
      <c r="AK1246">
        <v>7</v>
      </c>
    </row>
    <row r="1247" spans="1:37" x14ac:dyDescent="0.25">
      <c r="A1247" s="8">
        <v>1246</v>
      </c>
      <c r="B1247" t="s">
        <v>44</v>
      </c>
      <c r="C1247" t="s">
        <v>45</v>
      </c>
      <c r="D1247" s="8">
        <v>24</v>
      </c>
      <c r="E1247" t="str">
        <f t="shared" si="99"/>
        <v>18-25</v>
      </c>
      <c r="F1247" t="s">
        <v>46</v>
      </c>
      <c r="G1247" t="s">
        <v>47</v>
      </c>
      <c r="H1247" s="8" t="s">
        <v>64</v>
      </c>
      <c r="I1247" s="10">
        <v>10</v>
      </c>
      <c r="J1247" t="str">
        <f t="shared" si="95"/>
        <v>Moderate</v>
      </c>
      <c r="K1247">
        <v>3</v>
      </c>
      <c r="L1247" t="s">
        <v>53</v>
      </c>
      <c r="M1247">
        <v>1</v>
      </c>
      <c r="N1247">
        <v>3</v>
      </c>
      <c r="O1247">
        <v>1</v>
      </c>
      <c r="P1247" t="s">
        <v>64</v>
      </c>
      <c r="Q1247">
        <v>4</v>
      </c>
      <c r="R1247" s="11">
        <v>897</v>
      </c>
      <c r="S1247" s="14">
        <v>59</v>
      </c>
      <c r="T1247" s="13">
        <v>2145</v>
      </c>
      <c r="U1247" s="13">
        <f t="shared" si="96"/>
        <v>25740</v>
      </c>
      <c r="V1247" s="14">
        <v>2097</v>
      </c>
      <c r="W1247">
        <v>0</v>
      </c>
      <c r="X1247" s="8" t="s">
        <v>46</v>
      </c>
      <c r="Y1247" s="15">
        <v>0.14000000000000001</v>
      </c>
      <c r="Z1247">
        <v>3</v>
      </c>
      <c r="AA1247">
        <v>4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 t="str">
        <f t="shared" si="97"/>
        <v>0-3</v>
      </c>
      <c r="AI1247">
        <v>2</v>
      </c>
      <c r="AJ1247" t="str">
        <f t="shared" si="98"/>
        <v>0-2</v>
      </c>
      <c r="AK1247">
        <v>1</v>
      </c>
    </row>
    <row r="1248" spans="1:37" x14ac:dyDescent="0.25">
      <c r="A1248" s="8">
        <v>1247</v>
      </c>
      <c r="B1248" t="s">
        <v>52</v>
      </c>
      <c r="C1248" t="s">
        <v>54</v>
      </c>
      <c r="D1248" s="8">
        <v>30</v>
      </c>
      <c r="E1248" t="str">
        <f t="shared" si="99"/>
        <v>26-35</v>
      </c>
      <c r="F1248" t="s">
        <v>38</v>
      </c>
      <c r="G1248" t="s">
        <v>47</v>
      </c>
      <c r="H1248" s="8" t="s">
        <v>64</v>
      </c>
      <c r="I1248" s="10">
        <v>8</v>
      </c>
      <c r="J1248" t="str">
        <f t="shared" si="95"/>
        <v>Moderate</v>
      </c>
      <c r="K1248">
        <v>3</v>
      </c>
      <c r="L1248" t="s">
        <v>64</v>
      </c>
      <c r="M1248">
        <v>3</v>
      </c>
      <c r="N1248">
        <v>2</v>
      </c>
      <c r="O1248">
        <v>1</v>
      </c>
      <c r="P1248" t="s">
        <v>64</v>
      </c>
      <c r="Q1248">
        <v>4</v>
      </c>
      <c r="R1248" s="11">
        <v>600</v>
      </c>
      <c r="S1248" s="14">
        <v>66</v>
      </c>
      <c r="T1248" s="13">
        <v>2180</v>
      </c>
      <c r="U1248" s="13">
        <f t="shared" si="96"/>
        <v>26160</v>
      </c>
      <c r="V1248" s="14">
        <v>9732</v>
      </c>
      <c r="W1248">
        <v>6</v>
      </c>
      <c r="X1248" s="8" t="s">
        <v>46</v>
      </c>
      <c r="Y1248" s="15">
        <v>0.11</v>
      </c>
      <c r="Z1248">
        <v>3</v>
      </c>
      <c r="AA1248">
        <v>3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 t="str">
        <f t="shared" si="97"/>
        <v>0-3</v>
      </c>
      <c r="AI1248">
        <v>1</v>
      </c>
      <c r="AJ1248" t="str">
        <f t="shared" si="98"/>
        <v>0-2</v>
      </c>
      <c r="AK1248">
        <v>2</v>
      </c>
    </row>
    <row r="1249" spans="1:37" x14ac:dyDescent="0.25">
      <c r="A1249" s="8">
        <v>1248</v>
      </c>
      <c r="B1249" t="s">
        <v>44</v>
      </c>
      <c r="C1249" t="s">
        <v>45</v>
      </c>
      <c r="D1249" s="8">
        <v>31</v>
      </c>
      <c r="E1249" t="str">
        <f t="shared" si="99"/>
        <v>26-35</v>
      </c>
      <c r="F1249" t="s">
        <v>46</v>
      </c>
      <c r="G1249" t="s">
        <v>39</v>
      </c>
      <c r="H1249" s="8" t="s">
        <v>40</v>
      </c>
      <c r="I1249" s="10">
        <v>5</v>
      </c>
      <c r="J1249" t="str">
        <f t="shared" si="95"/>
        <v>Near</v>
      </c>
      <c r="K1249">
        <v>3</v>
      </c>
      <c r="L1249" t="s">
        <v>63</v>
      </c>
      <c r="M1249">
        <v>1</v>
      </c>
      <c r="N1249">
        <v>3</v>
      </c>
      <c r="O1249">
        <v>2</v>
      </c>
      <c r="P1249" t="s">
        <v>42</v>
      </c>
      <c r="Q1249">
        <v>3</v>
      </c>
      <c r="R1249" s="11">
        <v>1003</v>
      </c>
      <c r="S1249" s="14">
        <v>51</v>
      </c>
      <c r="T1249" s="13">
        <v>8346</v>
      </c>
      <c r="U1249" s="13">
        <f t="shared" si="96"/>
        <v>100152</v>
      </c>
      <c r="V1249" s="14">
        <v>20943</v>
      </c>
      <c r="W1249">
        <v>1</v>
      </c>
      <c r="X1249" s="8" t="s">
        <v>46</v>
      </c>
      <c r="Y1249" s="15">
        <v>0.19</v>
      </c>
      <c r="Z1249">
        <v>3</v>
      </c>
      <c r="AA1249">
        <v>3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 t="str">
        <f t="shared" si="97"/>
        <v>0-3</v>
      </c>
      <c r="AI1249">
        <v>0</v>
      </c>
      <c r="AJ1249" t="str">
        <f t="shared" si="98"/>
        <v>0-2</v>
      </c>
      <c r="AK1249">
        <v>2</v>
      </c>
    </row>
    <row r="1250" spans="1:37" x14ac:dyDescent="0.25">
      <c r="A1250" s="8">
        <v>1249</v>
      </c>
      <c r="B1250" t="s">
        <v>52</v>
      </c>
      <c r="C1250" t="s">
        <v>37</v>
      </c>
      <c r="D1250" s="8">
        <v>27</v>
      </c>
      <c r="E1250" t="str">
        <f t="shared" si="99"/>
        <v>26-35</v>
      </c>
      <c r="F1250" t="s">
        <v>46</v>
      </c>
      <c r="G1250" t="s">
        <v>39</v>
      </c>
      <c r="H1250" s="8" t="s">
        <v>48</v>
      </c>
      <c r="I1250" s="10">
        <v>8</v>
      </c>
      <c r="J1250" t="str">
        <f t="shared" si="95"/>
        <v>Moderate</v>
      </c>
      <c r="K1250">
        <v>3</v>
      </c>
      <c r="L1250" t="s">
        <v>53</v>
      </c>
      <c r="M1250">
        <v>3</v>
      </c>
      <c r="N1250">
        <v>3</v>
      </c>
      <c r="O1250">
        <v>1</v>
      </c>
      <c r="P1250" t="s">
        <v>49</v>
      </c>
      <c r="Q1250">
        <v>4</v>
      </c>
      <c r="R1250" s="11">
        <v>1054</v>
      </c>
      <c r="S1250" s="14">
        <v>67</v>
      </c>
      <c r="T1250" s="13">
        <v>3445</v>
      </c>
      <c r="U1250" s="13">
        <f t="shared" si="96"/>
        <v>41340</v>
      </c>
      <c r="V1250" s="14">
        <v>6152</v>
      </c>
      <c r="W1250">
        <v>1</v>
      </c>
      <c r="X1250" s="8" t="s">
        <v>46</v>
      </c>
      <c r="Y1250" s="15">
        <v>0.11</v>
      </c>
      <c r="Z1250">
        <v>3</v>
      </c>
      <c r="AA1250">
        <v>3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 t="str">
        <f t="shared" si="97"/>
        <v>0-3</v>
      </c>
      <c r="AI1250">
        <v>1</v>
      </c>
      <c r="AJ1250" t="str">
        <f t="shared" si="98"/>
        <v>0-2</v>
      </c>
      <c r="AK1250">
        <v>4</v>
      </c>
    </row>
    <row r="1251" spans="1:37" x14ac:dyDescent="0.25">
      <c r="A1251" s="8">
        <v>1250</v>
      </c>
      <c r="B1251" t="s">
        <v>52</v>
      </c>
      <c r="C1251" t="s">
        <v>37</v>
      </c>
      <c r="D1251" s="8">
        <v>29</v>
      </c>
      <c r="E1251" t="str">
        <f t="shared" si="99"/>
        <v>26-35</v>
      </c>
      <c r="F1251" t="s">
        <v>38</v>
      </c>
      <c r="G1251" t="s">
        <v>39</v>
      </c>
      <c r="H1251" s="8" t="s">
        <v>40</v>
      </c>
      <c r="I1251" s="10">
        <v>9</v>
      </c>
      <c r="J1251" t="str">
        <f t="shared" si="95"/>
        <v>Moderate</v>
      </c>
      <c r="K1251">
        <v>3</v>
      </c>
      <c r="L1251" t="s">
        <v>62</v>
      </c>
      <c r="M1251">
        <v>2</v>
      </c>
      <c r="N1251">
        <v>1</v>
      </c>
      <c r="O1251">
        <v>1</v>
      </c>
      <c r="P1251" t="s">
        <v>60</v>
      </c>
      <c r="Q1251">
        <v>2</v>
      </c>
      <c r="R1251" s="11">
        <v>428</v>
      </c>
      <c r="S1251" s="14">
        <v>52</v>
      </c>
      <c r="T1251" s="13">
        <v>2760</v>
      </c>
      <c r="U1251" s="13">
        <f t="shared" si="96"/>
        <v>33120</v>
      </c>
      <c r="V1251" s="14">
        <v>14630</v>
      </c>
      <c r="W1251">
        <v>1</v>
      </c>
      <c r="X1251" s="8" t="s">
        <v>46</v>
      </c>
      <c r="Y1251" s="15">
        <v>0.13</v>
      </c>
      <c r="Z1251">
        <v>3</v>
      </c>
      <c r="AA1251">
        <v>3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 t="str">
        <f t="shared" si="97"/>
        <v>0-3</v>
      </c>
      <c r="AI1251">
        <v>2</v>
      </c>
      <c r="AJ1251" t="str">
        <f t="shared" si="98"/>
        <v>0-2</v>
      </c>
      <c r="AK1251">
        <v>2</v>
      </c>
    </row>
    <row r="1252" spans="1:37" x14ac:dyDescent="0.25">
      <c r="A1252" s="8">
        <v>1251</v>
      </c>
      <c r="B1252" t="s">
        <v>44</v>
      </c>
      <c r="C1252" t="s">
        <v>37</v>
      </c>
      <c r="D1252" s="8">
        <v>29</v>
      </c>
      <c r="E1252" t="str">
        <f t="shared" si="99"/>
        <v>26-35</v>
      </c>
      <c r="F1252" t="s">
        <v>46</v>
      </c>
      <c r="G1252" t="s">
        <v>47</v>
      </c>
      <c r="H1252" s="8" t="s">
        <v>48</v>
      </c>
      <c r="I1252" s="10">
        <v>1</v>
      </c>
      <c r="J1252" t="str">
        <f t="shared" si="95"/>
        <v>Near</v>
      </c>
      <c r="K1252">
        <v>3</v>
      </c>
      <c r="L1252" t="s">
        <v>41</v>
      </c>
      <c r="M1252">
        <v>4</v>
      </c>
      <c r="N1252">
        <v>4</v>
      </c>
      <c r="O1252">
        <v>2</v>
      </c>
      <c r="P1252" t="s">
        <v>56</v>
      </c>
      <c r="Q1252">
        <v>3</v>
      </c>
      <c r="R1252" s="11">
        <v>461</v>
      </c>
      <c r="S1252" s="14">
        <v>70</v>
      </c>
      <c r="T1252" s="13">
        <v>6294</v>
      </c>
      <c r="U1252" s="13">
        <f t="shared" si="96"/>
        <v>75528</v>
      </c>
      <c r="V1252" s="14">
        <v>23060</v>
      </c>
      <c r="W1252">
        <v>8</v>
      </c>
      <c r="X1252" s="8" t="s">
        <v>38</v>
      </c>
      <c r="Y1252" s="15">
        <v>0.12</v>
      </c>
      <c r="Z1252">
        <v>3</v>
      </c>
      <c r="AA1252">
        <v>4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 t="str">
        <f t="shared" si="97"/>
        <v>0-3</v>
      </c>
      <c r="AI1252">
        <v>0</v>
      </c>
      <c r="AJ1252" t="str">
        <f t="shared" si="98"/>
        <v>0-2</v>
      </c>
      <c r="AK1252">
        <v>2</v>
      </c>
    </row>
    <row r="1253" spans="1:37" x14ac:dyDescent="0.25">
      <c r="A1253" s="8">
        <v>1252</v>
      </c>
      <c r="B1253" t="s">
        <v>44</v>
      </c>
      <c r="C1253" t="s">
        <v>54</v>
      </c>
      <c r="D1253" s="8">
        <v>30</v>
      </c>
      <c r="E1253" t="str">
        <f t="shared" si="99"/>
        <v>26-35</v>
      </c>
      <c r="F1253" t="s">
        <v>46</v>
      </c>
      <c r="G1253" t="s">
        <v>39</v>
      </c>
      <c r="H1253" s="8" t="s">
        <v>40</v>
      </c>
      <c r="I1253" s="10">
        <v>15</v>
      </c>
      <c r="J1253" t="str">
        <f t="shared" si="95"/>
        <v>Moderate</v>
      </c>
      <c r="K1253">
        <v>2</v>
      </c>
      <c r="L1253" t="s">
        <v>62</v>
      </c>
      <c r="M1253">
        <v>3</v>
      </c>
      <c r="N1253">
        <v>2</v>
      </c>
      <c r="O1253">
        <v>3</v>
      </c>
      <c r="P1253" t="s">
        <v>42</v>
      </c>
      <c r="Q1253">
        <v>1</v>
      </c>
      <c r="R1253" s="11">
        <v>979</v>
      </c>
      <c r="S1253" s="14">
        <v>94</v>
      </c>
      <c r="T1253" s="13">
        <v>7140</v>
      </c>
      <c r="U1253" s="13">
        <f t="shared" si="96"/>
        <v>85680</v>
      </c>
      <c r="V1253" s="14">
        <v>3088</v>
      </c>
      <c r="W1253">
        <v>2</v>
      </c>
      <c r="X1253" s="8" t="s">
        <v>46</v>
      </c>
      <c r="Y1253" s="15">
        <v>0.11</v>
      </c>
      <c r="Z1253">
        <v>3</v>
      </c>
      <c r="AA1253">
        <v>1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 t="str">
        <f t="shared" si="97"/>
        <v>4-7</v>
      </c>
      <c r="AI1253">
        <v>1</v>
      </c>
      <c r="AJ1253" t="str">
        <f t="shared" si="98"/>
        <v>0-2</v>
      </c>
      <c r="AK1253">
        <v>7</v>
      </c>
    </row>
    <row r="1254" spans="1:37" x14ac:dyDescent="0.25">
      <c r="A1254" s="8">
        <v>1253</v>
      </c>
      <c r="B1254" t="s">
        <v>44</v>
      </c>
      <c r="C1254" t="s">
        <v>45</v>
      </c>
      <c r="D1254" s="8">
        <v>34</v>
      </c>
      <c r="E1254" t="str">
        <f t="shared" si="99"/>
        <v>26-35</v>
      </c>
      <c r="F1254" t="s">
        <v>46</v>
      </c>
      <c r="G1254" t="s">
        <v>39</v>
      </c>
      <c r="H1254" s="8" t="s">
        <v>48</v>
      </c>
      <c r="I1254" s="10">
        <v>2</v>
      </c>
      <c r="J1254" t="str">
        <f t="shared" si="95"/>
        <v>Near</v>
      </c>
      <c r="K1254">
        <v>4</v>
      </c>
      <c r="L1254" t="s">
        <v>53</v>
      </c>
      <c r="M1254">
        <v>4</v>
      </c>
      <c r="N1254">
        <v>4</v>
      </c>
      <c r="O1254">
        <v>1</v>
      </c>
      <c r="P1254" t="s">
        <v>49</v>
      </c>
      <c r="Q1254">
        <v>4</v>
      </c>
      <c r="R1254" s="11">
        <v>181</v>
      </c>
      <c r="S1254" s="14">
        <v>97</v>
      </c>
      <c r="T1254" s="13">
        <v>2932</v>
      </c>
      <c r="U1254" s="13">
        <f t="shared" si="96"/>
        <v>35184</v>
      </c>
      <c r="V1254" s="14">
        <v>5586</v>
      </c>
      <c r="W1254">
        <v>0</v>
      </c>
      <c r="X1254" s="8" t="s">
        <v>38</v>
      </c>
      <c r="Y1254" s="15">
        <v>0.14000000000000001</v>
      </c>
      <c r="Z1254">
        <v>3</v>
      </c>
      <c r="AA1254">
        <v>1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 t="str">
        <f t="shared" si="97"/>
        <v>0-3</v>
      </c>
      <c r="AI1254">
        <v>1</v>
      </c>
      <c r="AJ1254" t="str">
        <f t="shared" si="98"/>
        <v>0-2</v>
      </c>
      <c r="AK1254">
        <v>2</v>
      </c>
    </row>
    <row r="1255" spans="1:37" x14ac:dyDescent="0.25">
      <c r="A1255" s="8">
        <v>1254</v>
      </c>
      <c r="B1255" t="s">
        <v>52</v>
      </c>
      <c r="C1255" t="s">
        <v>37</v>
      </c>
      <c r="D1255" s="8">
        <v>33</v>
      </c>
      <c r="E1255" t="str">
        <f t="shared" si="99"/>
        <v>26-35</v>
      </c>
      <c r="F1255" t="s">
        <v>46</v>
      </c>
      <c r="G1255" t="s">
        <v>58</v>
      </c>
      <c r="H1255" s="8" t="s">
        <v>40</v>
      </c>
      <c r="I1255" s="10">
        <v>2</v>
      </c>
      <c r="J1255" t="str">
        <f t="shared" si="95"/>
        <v>Near</v>
      </c>
      <c r="K1255">
        <v>3</v>
      </c>
      <c r="L1255" t="s">
        <v>62</v>
      </c>
      <c r="M1255">
        <v>4</v>
      </c>
      <c r="N1255">
        <v>3</v>
      </c>
      <c r="O1255">
        <v>2</v>
      </c>
      <c r="P1255" t="s">
        <v>42</v>
      </c>
      <c r="Q1255">
        <v>2</v>
      </c>
      <c r="R1255" s="11">
        <v>1283</v>
      </c>
      <c r="S1255" s="14">
        <v>62</v>
      </c>
      <c r="T1255" s="13">
        <v>5147</v>
      </c>
      <c r="U1255" s="13">
        <f t="shared" si="96"/>
        <v>61764</v>
      </c>
      <c r="V1255" s="14">
        <v>10697</v>
      </c>
      <c r="W1255">
        <v>8</v>
      </c>
      <c r="X1255" s="8" t="s">
        <v>46</v>
      </c>
      <c r="Y1255" s="15">
        <v>0.15</v>
      </c>
      <c r="Z1255">
        <v>3</v>
      </c>
      <c r="AA1255">
        <v>4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 t="str">
        <f t="shared" si="97"/>
        <v>4-7</v>
      </c>
      <c r="AI1255">
        <v>1</v>
      </c>
      <c r="AJ1255" t="str">
        <f t="shared" si="98"/>
        <v>0-2</v>
      </c>
      <c r="AK1255">
        <v>7</v>
      </c>
    </row>
    <row r="1256" spans="1:37" x14ac:dyDescent="0.25">
      <c r="A1256" s="8">
        <v>1255</v>
      </c>
      <c r="B1256" t="s">
        <v>52</v>
      </c>
      <c r="C1256" t="s">
        <v>37</v>
      </c>
      <c r="D1256" s="8">
        <v>49</v>
      </c>
      <c r="E1256" t="str">
        <f t="shared" si="99"/>
        <v>46-55</v>
      </c>
      <c r="F1256" t="s">
        <v>46</v>
      </c>
      <c r="G1256" t="s">
        <v>39</v>
      </c>
      <c r="H1256" s="8" t="s">
        <v>40</v>
      </c>
      <c r="I1256" s="10">
        <v>11</v>
      </c>
      <c r="J1256" t="str">
        <f t="shared" si="95"/>
        <v>Moderate</v>
      </c>
      <c r="K1256">
        <v>4</v>
      </c>
      <c r="L1256" t="s">
        <v>62</v>
      </c>
      <c r="M1256">
        <v>4</v>
      </c>
      <c r="N1256">
        <v>3</v>
      </c>
      <c r="O1256">
        <v>2</v>
      </c>
      <c r="P1256" t="s">
        <v>42</v>
      </c>
      <c r="Q1256">
        <v>4</v>
      </c>
      <c r="R1256" s="11">
        <v>1313</v>
      </c>
      <c r="S1256" s="14">
        <v>80</v>
      </c>
      <c r="T1256" s="13">
        <v>4507</v>
      </c>
      <c r="U1256" s="13">
        <f t="shared" si="96"/>
        <v>54084</v>
      </c>
      <c r="V1256" s="14">
        <v>8191</v>
      </c>
      <c r="W1256">
        <v>3</v>
      </c>
      <c r="X1256" s="8" t="s">
        <v>46</v>
      </c>
      <c r="Y1256" s="15">
        <v>0.12</v>
      </c>
      <c r="Z1256">
        <v>3</v>
      </c>
      <c r="AA1256">
        <v>3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 t="str">
        <f t="shared" si="97"/>
        <v>0-3</v>
      </c>
      <c r="AI1256">
        <v>0</v>
      </c>
      <c r="AJ1256" t="str">
        <f t="shared" si="98"/>
        <v>0-2</v>
      </c>
      <c r="AK1256">
        <v>4</v>
      </c>
    </row>
    <row r="1257" spans="1:37" x14ac:dyDescent="0.25">
      <c r="A1257" s="8">
        <v>1256</v>
      </c>
      <c r="B1257" t="s">
        <v>52</v>
      </c>
      <c r="C1257" t="s">
        <v>37</v>
      </c>
      <c r="D1257" s="8">
        <v>33</v>
      </c>
      <c r="E1257" t="str">
        <f t="shared" si="99"/>
        <v>26-35</v>
      </c>
      <c r="F1257" t="s">
        <v>38</v>
      </c>
      <c r="G1257" t="s">
        <v>39</v>
      </c>
      <c r="H1257" s="8" t="s">
        <v>40</v>
      </c>
      <c r="I1257" s="10">
        <v>16</v>
      </c>
      <c r="J1257" t="str">
        <f t="shared" si="95"/>
        <v>Far</v>
      </c>
      <c r="K1257">
        <v>3</v>
      </c>
      <c r="L1257" t="s">
        <v>41</v>
      </c>
      <c r="M1257">
        <v>1</v>
      </c>
      <c r="N1257">
        <v>3</v>
      </c>
      <c r="O1257">
        <v>3</v>
      </c>
      <c r="P1257" t="s">
        <v>42</v>
      </c>
      <c r="Q1257">
        <v>1</v>
      </c>
      <c r="R1257" s="11">
        <v>211</v>
      </c>
      <c r="S1257" s="14">
        <v>74</v>
      </c>
      <c r="T1257" s="13">
        <v>8564</v>
      </c>
      <c r="U1257" s="13">
        <f t="shared" si="96"/>
        <v>102768</v>
      </c>
      <c r="V1257" s="14">
        <v>10092</v>
      </c>
      <c r="W1257">
        <v>2</v>
      </c>
      <c r="X1257" s="8" t="s">
        <v>38</v>
      </c>
      <c r="Y1257" s="15">
        <v>0.2</v>
      </c>
      <c r="Z1257">
        <v>4</v>
      </c>
      <c r="AA1257">
        <v>3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 t="str">
        <f t="shared" si="97"/>
        <v>0-3</v>
      </c>
      <c r="AI1257">
        <v>0</v>
      </c>
      <c r="AJ1257" t="str">
        <f t="shared" si="98"/>
        <v>0-2</v>
      </c>
      <c r="AK1257">
        <v>0</v>
      </c>
    </row>
    <row r="1258" spans="1:37" x14ac:dyDescent="0.25">
      <c r="A1258" s="8">
        <v>1257</v>
      </c>
      <c r="B1258" t="s">
        <v>52</v>
      </c>
      <c r="C1258" t="s">
        <v>45</v>
      </c>
      <c r="D1258" s="8">
        <v>38</v>
      </c>
      <c r="E1258" t="str">
        <f t="shared" si="99"/>
        <v>36-45</v>
      </c>
      <c r="F1258" t="s">
        <v>46</v>
      </c>
      <c r="G1258" t="s">
        <v>47</v>
      </c>
      <c r="H1258" s="8" t="s">
        <v>48</v>
      </c>
      <c r="I1258" s="10">
        <v>2</v>
      </c>
      <c r="J1258" t="str">
        <f t="shared" si="95"/>
        <v>Near</v>
      </c>
      <c r="K1258">
        <v>2</v>
      </c>
      <c r="L1258" t="s">
        <v>53</v>
      </c>
      <c r="M1258">
        <v>3</v>
      </c>
      <c r="N1258">
        <v>2</v>
      </c>
      <c r="O1258">
        <v>1</v>
      </c>
      <c r="P1258" t="s">
        <v>51</v>
      </c>
      <c r="Q1258">
        <v>2</v>
      </c>
      <c r="R1258" s="11">
        <v>594</v>
      </c>
      <c r="S1258" s="14">
        <v>75</v>
      </c>
      <c r="T1258" s="13">
        <v>2468</v>
      </c>
      <c r="U1258" s="13">
        <f t="shared" si="96"/>
        <v>29616</v>
      </c>
      <c r="V1258" s="14">
        <v>15963</v>
      </c>
      <c r="W1258">
        <v>4</v>
      </c>
      <c r="X1258" s="8" t="s">
        <v>46</v>
      </c>
      <c r="Y1258" s="15">
        <v>0.14000000000000001</v>
      </c>
      <c r="Z1258">
        <v>3</v>
      </c>
      <c r="AA1258">
        <v>2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 t="str">
        <f t="shared" si="97"/>
        <v>0-3</v>
      </c>
      <c r="AI1258">
        <v>0</v>
      </c>
      <c r="AJ1258" t="str">
        <f t="shared" si="98"/>
        <v>0-2</v>
      </c>
      <c r="AK1258">
        <v>5</v>
      </c>
    </row>
    <row r="1259" spans="1:37" x14ac:dyDescent="0.25">
      <c r="A1259" s="8">
        <v>1258</v>
      </c>
      <c r="B1259" t="s">
        <v>44</v>
      </c>
      <c r="C1259" t="s">
        <v>45</v>
      </c>
      <c r="D1259" s="8">
        <v>31</v>
      </c>
      <c r="E1259" t="str">
        <f t="shared" si="99"/>
        <v>26-35</v>
      </c>
      <c r="F1259" t="s">
        <v>38</v>
      </c>
      <c r="G1259" t="s">
        <v>39</v>
      </c>
      <c r="H1259" s="8" t="s">
        <v>40</v>
      </c>
      <c r="I1259" s="10">
        <v>16</v>
      </c>
      <c r="J1259" t="str">
        <f t="shared" si="95"/>
        <v>Far</v>
      </c>
      <c r="K1259">
        <v>4</v>
      </c>
      <c r="L1259" t="s">
        <v>62</v>
      </c>
      <c r="M1259">
        <v>1</v>
      </c>
      <c r="N1259">
        <v>3</v>
      </c>
      <c r="O1259">
        <v>3</v>
      </c>
      <c r="P1259" t="s">
        <v>42</v>
      </c>
      <c r="Q1259">
        <v>3</v>
      </c>
      <c r="R1259" s="11">
        <v>1079</v>
      </c>
      <c r="S1259" s="14">
        <v>70</v>
      </c>
      <c r="T1259" s="13">
        <v>8161</v>
      </c>
      <c r="U1259" s="13">
        <f t="shared" si="96"/>
        <v>97932</v>
      </c>
      <c r="V1259" s="14">
        <v>19002</v>
      </c>
      <c r="W1259">
        <v>2</v>
      </c>
      <c r="X1259" s="8" t="s">
        <v>46</v>
      </c>
      <c r="Y1259" s="15">
        <v>0.13</v>
      </c>
      <c r="Z1259">
        <v>3</v>
      </c>
      <c r="AA1259">
        <v>1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 t="str">
        <f t="shared" si="97"/>
        <v>0-3</v>
      </c>
      <c r="AI1259">
        <v>0</v>
      </c>
      <c r="AJ1259" t="str">
        <f t="shared" si="98"/>
        <v>0-2</v>
      </c>
      <c r="AK1259">
        <v>0</v>
      </c>
    </row>
    <row r="1260" spans="1:37" x14ac:dyDescent="0.25">
      <c r="A1260" s="8">
        <v>1259</v>
      </c>
      <c r="B1260" t="s">
        <v>52</v>
      </c>
      <c r="C1260" t="s">
        <v>54</v>
      </c>
      <c r="D1260" s="8">
        <v>29</v>
      </c>
      <c r="E1260" t="str">
        <f t="shared" si="99"/>
        <v>26-35</v>
      </c>
      <c r="F1260" t="s">
        <v>46</v>
      </c>
      <c r="G1260" t="s">
        <v>39</v>
      </c>
      <c r="H1260" s="8" t="s">
        <v>48</v>
      </c>
      <c r="I1260" s="10">
        <v>4</v>
      </c>
      <c r="J1260" t="str">
        <f t="shared" si="95"/>
        <v>Near</v>
      </c>
      <c r="K1260">
        <v>3</v>
      </c>
      <c r="L1260" t="s">
        <v>63</v>
      </c>
      <c r="M1260">
        <v>4</v>
      </c>
      <c r="N1260">
        <v>2</v>
      </c>
      <c r="O1260">
        <v>1</v>
      </c>
      <c r="P1260" t="s">
        <v>49</v>
      </c>
      <c r="Q1260">
        <v>1</v>
      </c>
      <c r="R1260" s="11">
        <v>590</v>
      </c>
      <c r="S1260" s="14">
        <v>91</v>
      </c>
      <c r="T1260" s="13">
        <v>2109</v>
      </c>
      <c r="U1260" s="13">
        <f t="shared" si="96"/>
        <v>25308</v>
      </c>
      <c r="V1260" s="14">
        <v>10007</v>
      </c>
      <c r="W1260">
        <v>1</v>
      </c>
      <c r="X1260" s="8" t="s">
        <v>46</v>
      </c>
      <c r="Y1260" s="15">
        <v>0.13</v>
      </c>
      <c r="Z1260">
        <v>3</v>
      </c>
      <c r="AA1260">
        <v>3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 t="str">
        <f t="shared" si="97"/>
        <v>0-3</v>
      </c>
      <c r="AI1260">
        <v>0</v>
      </c>
      <c r="AJ1260" t="str">
        <f t="shared" si="98"/>
        <v>0-2</v>
      </c>
      <c r="AK1260">
        <v>0</v>
      </c>
    </row>
    <row r="1261" spans="1:37" x14ac:dyDescent="0.25">
      <c r="A1261" s="8">
        <v>1260</v>
      </c>
      <c r="B1261" t="s">
        <v>44</v>
      </c>
      <c r="C1261" t="s">
        <v>45</v>
      </c>
      <c r="D1261" s="8">
        <v>30</v>
      </c>
      <c r="E1261" t="str">
        <f t="shared" si="99"/>
        <v>26-35</v>
      </c>
      <c r="F1261" t="s">
        <v>46</v>
      </c>
      <c r="G1261" t="s">
        <v>39</v>
      </c>
      <c r="H1261" s="8" t="s">
        <v>48</v>
      </c>
      <c r="I1261" s="10">
        <v>16</v>
      </c>
      <c r="J1261" t="str">
        <f t="shared" si="95"/>
        <v>Far</v>
      </c>
      <c r="K1261">
        <v>3</v>
      </c>
      <c r="L1261" t="s">
        <v>41</v>
      </c>
      <c r="M1261">
        <v>3</v>
      </c>
      <c r="N1261">
        <v>4</v>
      </c>
      <c r="O1261">
        <v>2</v>
      </c>
      <c r="P1261" t="s">
        <v>56</v>
      </c>
      <c r="Q1261">
        <v>3</v>
      </c>
      <c r="R1261" s="11">
        <v>305</v>
      </c>
      <c r="S1261" s="14">
        <v>58</v>
      </c>
      <c r="T1261" s="13">
        <v>5294</v>
      </c>
      <c r="U1261" s="13">
        <f t="shared" si="96"/>
        <v>63528</v>
      </c>
      <c r="V1261" s="14">
        <v>9128</v>
      </c>
      <c r="W1261">
        <v>3</v>
      </c>
      <c r="X1261" s="8" t="s">
        <v>46</v>
      </c>
      <c r="Y1261" s="15">
        <v>0.16</v>
      </c>
      <c r="Z1261">
        <v>3</v>
      </c>
      <c r="AA1261">
        <v>3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 t="str">
        <f t="shared" si="97"/>
        <v>0-3</v>
      </c>
      <c r="AI1261">
        <v>1</v>
      </c>
      <c r="AJ1261" t="str">
        <f t="shared" si="98"/>
        <v>0-2</v>
      </c>
      <c r="AK1261">
        <v>7</v>
      </c>
    </row>
    <row r="1262" spans="1:37" x14ac:dyDescent="0.25">
      <c r="A1262" s="8">
        <v>1261</v>
      </c>
      <c r="B1262" t="s">
        <v>44</v>
      </c>
      <c r="C1262" t="s">
        <v>37</v>
      </c>
      <c r="D1262" s="8">
        <v>32</v>
      </c>
      <c r="E1262" t="str">
        <f t="shared" si="99"/>
        <v>26-35</v>
      </c>
      <c r="F1262" t="s">
        <v>46</v>
      </c>
      <c r="G1262" t="s">
        <v>58</v>
      </c>
      <c r="H1262" s="8" t="s">
        <v>48</v>
      </c>
      <c r="I1262" s="10">
        <v>5</v>
      </c>
      <c r="J1262" t="str">
        <f t="shared" si="95"/>
        <v>Near</v>
      </c>
      <c r="K1262">
        <v>4</v>
      </c>
      <c r="L1262" t="s">
        <v>63</v>
      </c>
      <c r="M1262">
        <v>2</v>
      </c>
      <c r="N1262">
        <v>3</v>
      </c>
      <c r="O1262">
        <v>1</v>
      </c>
      <c r="P1262" t="s">
        <v>49</v>
      </c>
      <c r="Q1262">
        <v>2</v>
      </c>
      <c r="R1262" s="11">
        <v>953</v>
      </c>
      <c r="S1262" s="14">
        <v>65</v>
      </c>
      <c r="T1262" s="13">
        <v>2718</v>
      </c>
      <c r="U1262" s="13">
        <f t="shared" si="96"/>
        <v>32616</v>
      </c>
      <c r="V1262" s="14">
        <v>17674</v>
      </c>
      <c r="W1262">
        <v>2</v>
      </c>
      <c r="X1262" s="8" t="s">
        <v>46</v>
      </c>
      <c r="Y1262" s="15">
        <v>0.14000000000000001</v>
      </c>
      <c r="Z1262">
        <v>3</v>
      </c>
      <c r="AA1262">
        <v>2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 t="str">
        <f t="shared" si="97"/>
        <v>4-7</v>
      </c>
      <c r="AI1262">
        <v>0</v>
      </c>
      <c r="AJ1262" t="str">
        <f t="shared" si="98"/>
        <v>0-2</v>
      </c>
      <c r="AK1262">
        <v>7</v>
      </c>
    </row>
    <row r="1263" spans="1:37" x14ac:dyDescent="0.25">
      <c r="A1263" s="8">
        <v>1262</v>
      </c>
      <c r="B1263" t="s">
        <v>44</v>
      </c>
      <c r="C1263" t="s">
        <v>45</v>
      </c>
      <c r="D1263" s="8">
        <v>38</v>
      </c>
      <c r="E1263" t="str">
        <f t="shared" si="99"/>
        <v>36-45</v>
      </c>
      <c r="F1263" t="s">
        <v>46</v>
      </c>
      <c r="G1263" t="s">
        <v>39</v>
      </c>
      <c r="H1263" s="8" t="s">
        <v>48</v>
      </c>
      <c r="I1263" s="10">
        <v>18</v>
      </c>
      <c r="J1263" t="str">
        <f t="shared" si="95"/>
        <v>Far</v>
      </c>
      <c r="K1263">
        <v>3</v>
      </c>
      <c r="L1263" t="s">
        <v>53</v>
      </c>
      <c r="M1263">
        <v>2</v>
      </c>
      <c r="N1263">
        <v>1</v>
      </c>
      <c r="O1263">
        <v>2</v>
      </c>
      <c r="P1263" t="s">
        <v>56</v>
      </c>
      <c r="Q1263">
        <v>4</v>
      </c>
      <c r="R1263" s="11">
        <v>833</v>
      </c>
      <c r="S1263" s="14">
        <v>60</v>
      </c>
      <c r="T1263" s="13">
        <v>5811</v>
      </c>
      <c r="U1263" s="13">
        <f t="shared" si="96"/>
        <v>69732</v>
      </c>
      <c r="V1263" s="14">
        <v>24539</v>
      </c>
      <c r="W1263">
        <v>3</v>
      </c>
      <c r="X1263" s="8" t="s">
        <v>38</v>
      </c>
      <c r="Y1263" s="15">
        <v>0.16</v>
      </c>
      <c r="Z1263">
        <v>3</v>
      </c>
      <c r="AA1263">
        <v>3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 t="str">
        <f t="shared" si="97"/>
        <v>0-3</v>
      </c>
      <c r="AI1263">
        <v>1</v>
      </c>
      <c r="AJ1263" t="str">
        <f t="shared" si="98"/>
        <v>0-2</v>
      </c>
      <c r="AK1263">
        <v>0</v>
      </c>
    </row>
    <row r="1264" spans="1:37" x14ac:dyDescent="0.25">
      <c r="A1264" s="8">
        <v>1263</v>
      </c>
      <c r="B1264" t="s">
        <v>44</v>
      </c>
      <c r="C1264" t="s">
        <v>45</v>
      </c>
      <c r="D1264" s="8">
        <v>43</v>
      </c>
      <c r="E1264" t="str">
        <f t="shared" si="99"/>
        <v>36-45</v>
      </c>
      <c r="F1264" t="s">
        <v>38</v>
      </c>
      <c r="G1264" t="s">
        <v>47</v>
      </c>
      <c r="H1264" s="8" t="s">
        <v>48</v>
      </c>
      <c r="I1264" s="10">
        <v>17</v>
      </c>
      <c r="J1264" t="str">
        <f t="shared" si="95"/>
        <v>Far</v>
      </c>
      <c r="K1264">
        <v>3</v>
      </c>
      <c r="L1264" t="s">
        <v>63</v>
      </c>
      <c r="M1264">
        <v>3</v>
      </c>
      <c r="N1264">
        <v>2</v>
      </c>
      <c r="O1264">
        <v>1</v>
      </c>
      <c r="P1264" t="s">
        <v>49</v>
      </c>
      <c r="Q1264">
        <v>3</v>
      </c>
      <c r="R1264" s="11">
        <v>807</v>
      </c>
      <c r="S1264" s="14">
        <v>38</v>
      </c>
      <c r="T1264" s="13">
        <v>2437</v>
      </c>
      <c r="U1264" s="13">
        <f t="shared" si="96"/>
        <v>29244</v>
      </c>
      <c r="V1264" s="14">
        <v>15587</v>
      </c>
      <c r="W1264">
        <v>9</v>
      </c>
      <c r="X1264" s="8" t="s">
        <v>38</v>
      </c>
      <c r="Y1264" s="15">
        <v>0.16</v>
      </c>
      <c r="Z1264">
        <v>3</v>
      </c>
      <c r="AA1264">
        <v>4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 t="str">
        <f t="shared" si="97"/>
        <v>0-3</v>
      </c>
      <c r="AI1264">
        <v>0</v>
      </c>
      <c r="AJ1264" t="str">
        <f t="shared" si="98"/>
        <v>0-2</v>
      </c>
      <c r="AK1264">
        <v>0</v>
      </c>
    </row>
    <row r="1265" spans="1:37" x14ac:dyDescent="0.25">
      <c r="A1265" s="8">
        <v>1264</v>
      </c>
      <c r="B1265" t="s">
        <v>44</v>
      </c>
      <c r="C1265" t="s">
        <v>54</v>
      </c>
      <c r="D1265" s="8">
        <v>42</v>
      </c>
      <c r="E1265" t="str">
        <f t="shared" si="99"/>
        <v>36-45</v>
      </c>
      <c r="F1265" t="s">
        <v>46</v>
      </c>
      <c r="G1265" t="s">
        <v>39</v>
      </c>
      <c r="H1265" s="8" t="s">
        <v>48</v>
      </c>
      <c r="I1265" s="10">
        <v>12</v>
      </c>
      <c r="J1265" t="str">
        <f t="shared" si="95"/>
        <v>Moderate</v>
      </c>
      <c r="K1265">
        <v>3</v>
      </c>
      <c r="L1265" t="s">
        <v>53</v>
      </c>
      <c r="M1265">
        <v>2</v>
      </c>
      <c r="N1265">
        <v>3</v>
      </c>
      <c r="O1265">
        <v>1</v>
      </c>
      <c r="P1265" t="s">
        <v>51</v>
      </c>
      <c r="Q1265">
        <v>2</v>
      </c>
      <c r="R1265" s="11">
        <v>855</v>
      </c>
      <c r="S1265" s="14">
        <v>57</v>
      </c>
      <c r="T1265" s="13">
        <v>2766</v>
      </c>
      <c r="U1265" s="13">
        <f t="shared" si="96"/>
        <v>33192</v>
      </c>
      <c r="V1265" s="14">
        <v>8952</v>
      </c>
      <c r="W1265">
        <v>8</v>
      </c>
      <c r="X1265" s="8" t="s">
        <v>46</v>
      </c>
      <c r="Y1265" s="15">
        <v>0.22</v>
      </c>
      <c r="Z1265">
        <v>4</v>
      </c>
      <c r="AA1265">
        <v>2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 t="str">
        <f t="shared" si="97"/>
        <v>0-3</v>
      </c>
      <c r="AI1265">
        <v>0</v>
      </c>
      <c r="AJ1265" t="str">
        <f t="shared" si="98"/>
        <v>0-2</v>
      </c>
      <c r="AK1265">
        <v>4</v>
      </c>
    </row>
    <row r="1266" spans="1:37" x14ac:dyDescent="0.25">
      <c r="A1266" s="8">
        <v>1265</v>
      </c>
      <c r="B1266" t="s">
        <v>44</v>
      </c>
      <c r="C1266" t="s">
        <v>45</v>
      </c>
      <c r="D1266" s="8">
        <v>55</v>
      </c>
      <c r="E1266" t="str">
        <f t="shared" si="99"/>
        <v>46-55</v>
      </c>
      <c r="F1266" t="s">
        <v>46</v>
      </c>
      <c r="G1266" t="s">
        <v>39</v>
      </c>
      <c r="H1266" s="8" t="s">
        <v>48</v>
      </c>
      <c r="I1266" s="10">
        <v>2</v>
      </c>
      <c r="J1266" t="str">
        <f t="shared" si="95"/>
        <v>Near</v>
      </c>
      <c r="K1266">
        <v>3</v>
      </c>
      <c r="L1266" t="s">
        <v>53</v>
      </c>
      <c r="M1266">
        <v>3</v>
      </c>
      <c r="N1266">
        <v>2</v>
      </c>
      <c r="O1266">
        <v>5</v>
      </c>
      <c r="P1266" t="s">
        <v>61</v>
      </c>
      <c r="Q1266">
        <v>1</v>
      </c>
      <c r="R1266" s="11">
        <v>478</v>
      </c>
      <c r="S1266" s="14">
        <v>60</v>
      </c>
      <c r="T1266" s="13">
        <v>19038</v>
      </c>
      <c r="U1266" s="13">
        <f t="shared" si="96"/>
        <v>228456</v>
      </c>
      <c r="V1266" s="14">
        <v>19805</v>
      </c>
      <c r="W1266">
        <v>8</v>
      </c>
      <c r="X1266" s="8" t="s">
        <v>46</v>
      </c>
      <c r="Y1266" s="15">
        <v>0.12</v>
      </c>
      <c r="Z1266">
        <v>3</v>
      </c>
      <c r="AA1266">
        <v>2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 t="str">
        <f t="shared" si="97"/>
        <v>0-3</v>
      </c>
      <c r="AI1266">
        <v>0</v>
      </c>
      <c r="AJ1266" t="str">
        <f t="shared" si="98"/>
        <v>0-2</v>
      </c>
      <c r="AK1266">
        <v>0</v>
      </c>
    </row>
    <row r="1267" spans="1:37" x14ac:dyDescent="0.25">
      <c r="A1267" s="8">
        <v>1266</v>
      </c>
      <c r="B1267" t="s">
        <v>44</v>
      </c>
      <c r="C1267" t="s">
        <v>54</v>
      </c>
      <c r="D1267" s="8">
        <v>33</v>
      </c>
      <c r="E1267" t="str">
        <f t="shared" si="99"/>
        <v>26-35</v>
      </c>
      <c r="F1267" t="s">
        <v>46</v>
      </c>
      <c r="G1267" t="s">
        <v>58</v>
      </c>
      <c r="H1267" s="8" t="s">
        <v>48</v>
      </c>
      <c r="I1267" s="10">
        <v>4</v>
      </c>
      <c r="J1267" t="str">
        <f t="shared" si="95"/>
        <v>Near</v>
      </c>
      <c r="K1267">
        <v>3</v>
      </c>
      <c r="L1267" t="s">
        <v>63</v>
      </c>
      <c r="M1267">
        <v>4</v>
      </c>
      <c r="N1267">
        <v>3</v>
      </c>
      <c r="O1267">
        <v>2</v>
      </c>
      <c r="P1267" t="s">
        <v>49</v>
      </c>
      <c r="Q1267">
        <v>2</v>
      </c>
      <c r="R1267" s="11">
        <v>775</v>
      </c>
      <c r="S1267" s="14">
        <v>90</v>
      </c>
      <c r="T1267" s="13">
        <v>3055</v>
      </c>
      <c r="U1267" s="13">
        <f t="shared" si="96"/>
        <v>36660</v>
      </c>
      <c r="V1267" s="14">
        <v>6194</v>
      </c>
      <c r="W1267">
        <v>5</v>
      </c>
      <c r="X1267" s="8" t="s">
        <v>46</v>
      </c>
      <c r="Y1267" s="15">
        <v>0.15</v>
      </c>
      <c r="Z1267">
        <v>3</v>
      </c>
      <c r="AA1267">
        <v>4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 t="str">
        <f t="shared" si="97"/>
        <v>8-11</v>
      </c>
      <c r="AI1267">
        <v>1</v>
      </c>
      <c r="AJ1267" t="str">
        <f t="shared" si="98"/>
        <v>0-2</v>
      </c>
      <c r="AK1267">
        <v>7</v>
      </c>
    </row>
    <row r="1268" spans="1:37" x14ac:dyDescent="0.25">
      <c r="A1268" s="8">
        <v>1267</v>
      </c>
      <c r="B1268" t="s">
        <v>44</v>
      </c>
      <c r="C1268" t="s">
        <v>54</v>
      </c>
      <c r="D1268" s="8">
        <v>41</v>
      </c>
      <c r="E1268" t="str">
        <f t="shared" si="99"/>
        <v>36-45</v>
      </c>
      <c r="F1268" t="s">
        <v>46</v>
      </c>
      <c r="G1268" t="s">
        <v>39</v>
      </c>
      <c r="H1268" s="8" t="s">
        <v>48</v>
      </c>
      <c r="I1268" s="10">
        <v>9</v>
      </c>
      <c r="J1268" t="str">
        <f t="shared" si="95"/>
        <v>Moderate</v>
      </c>
      <c r="K1268">
        <v>4</v>
      </c>
      <c r="L1268" t="s">
        <v>41</v>
      </c>
      <c r="M1268">
        <v>3</v>
      </c>
      <c r="N1268">
        <v>3</v>
      </c>
      <c r="O1268">
        <v>1</v>
      </c>
      <c r="P1268" t="s">
        <v>51</v>
      </c>
      <c r="Q1268">
        <v>1</v>
      </c>
      <c r="R1268" s="11">
        <v>548</v>
      </c>
      <c r="S1268" s="14">
        <v>94</v>
      </c>
      <c r="T1268" s="13">
        <v>2289</v>
      </c>
      <c r="U1268" s="13">
        <f t="shared" si="96"/>
        <v>27468</v>
      </c>
      <c r="V1268" s="14">
        <v>20520</v>
      </c>
      <c r="W1268">
        <v>1</v>
      </c>
      <c r="X1268" s="8" t="s">
        <v>46</v>
      </c>
      <c r="Y1268" s="15">
        <v>0.2</v>
      </c>
      <c r="Z1268">
        <v>4</v>
      </c>
      <c r="AA1268">
        <v>2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 t="str">
        <f t="shared" si="97"/>
        <v>0-3</v>
      </c>
      <c r="AI1268">
        <v>0</v>
      </c>
      <c r="AJ1268" t="str">
        <f t="shared" si="98"/>
        <v>0-2</v>
      </c>
      <c r="AK1268">
        <v>4</v>
      </c>
    </row>
    <row r="1269" spans="1:37" x14ac:dyDescent="0.25">
      <c r="A1269" s="8">
        <v>1268</v>
      </c>
      <c r="B1269" t="s">
        <v>44</v>
      </c>
      <c r="C1269" t="s">
        <v>54</v>
      </c>
      <c r="D1269" s="8">
        <v>34</v>
      </c>
      <c r="E1269" t="str">
        <f t="shared" si="99"/>
        <v>26-35</v>
      </c>
      <c r="F1269" t="s">
        <v>46</v>
      </c>
      <c r="G1269" t="s">
        <v>58</v>
      </c>
      <c r="H1269" s="8" t="s">
        <v>40</v>
      </c>
      <c r="I1269" s="10">
        <v>10</v>
      </c>
      <c r="J1269" t="str">
        <f t="shared" si="95"/>
        <v>Moderate</v>
      </c>
      <c r="K1269">
        <v>3</v>
      </c>
      <c r="L1269" t="s">
        <v>41</v>
      </c>
      <c r="M1269">
        <v>4</v>
      </c>
      <c r="N1269">
        <v>3</v>
      </c>
      <c r="O1269">
        <v>2</v>
      </c>
      <c r="P1269" t="s">
        <v>42</v>
      </c>
      <c r="Q1269">
        <v>3</v>
      </c>
      <c r="R1269" s="11">
        <v>1375</v>
      </c>
      <c r="S1269" s="14">
        <v>87</v>
      </c>
      <c r="T1269" s="13">
        <v>4001</v>
      </c>
      <c r="U1269" s="13">
        <f t="shared" si="96"/>
        <v>48012</v>
      </c>
      <c r="V1269" s="14">
        <v>12313</v>
      </c>
      <c r="W1269">
        <v>1</v>
      </c>
      <c r="X1269" s="8" t="s">
        <v>38</v>
      </c>
      <c r="Y1269" s="15">
        <v>0.14000000000000001</v>
      </c>
      <c r="Z1269">
        <v>3</v>
      </c>
      <c r="AA1269">
        <v>3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 t="str">
        <f t="shared" si="97"/>
        <v>12-15</v>
      </c>
      <c r="AI1269">
        <v>0</v>
      </c>
      <c r="AJ1269" t="str">
        <f t="shared" si="98"/>
        <v>0-2</v>
      </c>
      <c r="AK1269">
        <v>7</v>
      </c>
    </row>
    <row r="1270" spans="1:37" x14ac:dyDescent="0.25">
      <c r="A1270" s="8">
        <v>1269</v>
      </c>
      <c r="B1270" t="s">
        <v>52</v>
      </c>
      <c r="C1270" t="s">
        <v>45</v>
      </c>
      <c r="D1270" s="8">
        <v>53</v>
      </c>
      <c r="E1270" t="str">
        <f t="shared" si="99"/>
        <v>46-55</v>
      </c>
      <c r="F1270" t="s">
        <v>46</v>
      </c>
      <c r="G1270" t="s">
        <v>58</v>
      </c>
      <c r="H1270" s="8" t="s">
        <v>48</v>
      </c>
      <c r="I1270" s="10">
        <v>1</v>
      </c>
      <c r="J1270" t="str">
        <f t="shared" si="95"/>
        <v>Near</v>
      </c>
      <c r="K1270">
        <v>4</v>
      </c>
      <c r="L1270" t="s">
        <v>53</v>
      </c>
      <c r="M1270">
        <v>1</v>
      </c>
      <c r="N1270">
        <v>2</v>
      </c>
      <c r="O1270">
        <v>4</v>
      </c>
      <c r="P1270" t="s">
        <v>55</v>
      </c>
      <c r="Q1270">
        <v>3</v>
      </c>
      <c r="R1270" s="11">
        <v>661</v>
      </c>
      <c r="S1270" s="14">
        <v>60</v>
      </c>
      <c r="T1270" s="13">
        <v>12965</v>
      </c>
      <c r="U1270" s="13">
        <f t="shared" si="96"/>
        <v>155580</v>
      </c>
      <c r="V1270" s="14">
        <v>22308</v>
      </c>
      <c r="W1270">
        <v>4</v>
      </c>
      <c r="X1270" s="8" t="s">
        <v>38</v>
      </c>
      <c r="Y1270" s="15">
        <v>0.2</v>
      </c>
      <c r="Z1270">
        <v>4</v>
      </c>
      <c r="AA1270">
        <v>4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 t="str">
        <f t="shared" si="97"/>
        <v>0-3</v>
      </c>
      <c r="AI1270">
        <v>0</v>
      </c>
      <c r="AJ1270" t="str">
        <f t="shared" si="98"/>
        <v>0-2</v>
      </c>
      <c r="AK1270">
        <v>2</v>
      </c>
    </row>
    <row r="1271" spans="1:37" x14ac:dyDescent="0.25">
      <c r="A1271" s="8">
        <v>1270</v>
      </c>
      <c r="B1271" t="s">
        <v>44</v>
      </c>
      <c r="C1271" t="s">
        <v>37</v>
      </c>
      <c r="D1271" s="8">
        <v>43</v>
      </c>
      <c r="E1271" t="str">
        <f t="shared" si="99"/>
        <v>36-45</v>
      </c>
      <c r="F1271" t="s">
        <v>46</v>
      </c>
      <c r="G1271" t="s">
        <v>39</v>
      </c>
      <c r="H1271" s="8" t="s">
        <v>64</v>
      </c>
      <c r="I1271" s="10">
        <v>2</v>
      </c>
      <c r="J1271" t="str">
        <f t="shared" si="95"/>
        <v>Near</v>
      </c>
      <c r="K1271">
        <v>3</v>
      </c>
      <c r="L1271" t="s">
        <v>41</v>
      </c>
      <c r="M1271">
        <v>2</v>
      </c>
      <c r="N1271">
        <v>3</v>
      </c>
      <c r="O1271">
        <v>1</v>
      </c>
      <c r="P1271" t="s">
        <v>64</v>
      </c>
      <c r="Q1271">
        <v>4</v>
      </c>
      <c r="R1271" s="11">
        <v>244</v>
      </c>
      <c r="S1271" s="14">
        <v>97</v>
      </c>
      <c r="T1271" s="13">
        <v>3539</v>
      </c>
      <c r="U1271" s="13">
        <f t="shared" si="96"/>
        <v>42468</v>
      </c>
      <c r="V1271" s="14">
        <v>5033</v>
      </c>
      <c r="W1271">
        <v>0</v>
      </c>
      <c r="X1271" s="8" t="s">
        <v>46</v>
      </c>
      <c r="Y1271" s="15">
        <v>0.13</v>
      </c>
      <c r="Z1271">
        <v>3</v>
      </c>
      <c r="AA1271">
        <v>2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 t="str">
        <f t="shared" si="97"/>
        <v>4-7</v>
      </c>
      <c r="AI1271">
        <v>1</v>
      </c>
      <c r="AJ1271" t="str">
        <f t="shared" si="98"/>
        <v>0-2</v>
      </c>
      <c r="AK1271">
        <v>8</v>
      </c>
    </row>
    <row r="1272" spans="1:37" x14ac:dyDescent="0.25">
      <c r="A1272" s="8">
        <v>1271</v>
      </c>
      <c r="B1272" t="s">
        <v>52</v>
      </c>
      <c r="C1272" t="s">
        <v>37</v>
      </c>
      <c r="D1272" s="8">
        <v>34</v>
      </c>
      <c r="E1272" t="str">
        <f t="shared" si="99"/>
        <v>26-35</v>
      </c>
      <c r="F1272" t="s">
        <v>46</v>
      </c>
      <c r="G1272" t="s">
        <v>39</v>
      </c>
      <c r="H1272" s="8" t="s">
        <v>40</v>
      </c>
      <c r="I1272" s="10">
        <v>3</v>
      </c>
      <c r="J1272" t="str">
        <f t="shared" si="95"/>
        <v>Near</v>
      </c>
      <c r="K1272">
        <v>2</v>
      </c>
      <c r="L1272" t="s">
        <v>41</v>
      </c>
      <c r="M1272">
        <v>4</v>
      </c>
      <c r="N1272">
        <v>1</v>
      </c>
      <c r="O1272">
        <v>2</v>
      </c>
      <c r="P1272" t="s">
        <v>42</v>
      </c>
      <c r="Q1272">
        <v>4</v>
      </c>
      <c r="R1272" s="11">
        <v>511</v>
      </c>
      <c r="S1272" s="14">
        <v>32</v>
      </c>
      <c r="T1272" s="13">
        <v>6029</v>
      </c>
      <c r="U1272" s="13">
        <f t="shared" si="96"/>
        <v>72348</v>
      </c>
      <c r="V1272" s="14">
        <v>25353</v>
      </c>
      <c r="W1272">
        <v>5</v>
      </c>
      <c r="X1272" s="8" t="s">
        <v>46</v>
      </c>
      <c r="Y1272" s="15">
        <v>0.12</v>
      </c>
      <c r="Z1272">
        <v>3</v>
      </c>
      <c r="AA1272">
        <v>1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 t="str">
        <f t="shared" si="97"/>
        <v>0-3</v>
      </c>
      <c r="AI1272">
        <v>2</v>
      </c>
      <c r="AJ1272" t="str">
        <f t="shared" si="98"/>
        <v>0-2</v>
      </c>
      <c r="AK1272">
        <v>2</v>
      </c>
    </row>
    <row r="1273" spans="1:37" x14ac:dyDescent="0.25">
      <c r="A1273" s="8">
        <v>1272</v>
      </c>
      <c r="B1273" t="s">
        <v>44</v>
      </c>
      <c r="C1273" t="s">
        <v>37</v>
      </c>
      <c r="D1273" s="8">
        <v>21</v>
      </c>
      <c r="E1273" t="str">
        <f t="shared" si="99"/>
        <v>18-25</v>
      </c>
      <c r="F1273" t="s">
        <v>38</v>
      </c>
      <c r="G1273" t="s">
        <v>39</v>
      </c>
      <c r="H1273" s="8" t="s">
        <v>40</v>
      </c>
      <c r="I1273" s="10">
        <v>7</v>
      </c>
      <c r="J1273" t="str">
        <f t="shared" si="95"/>
        <v>Moderate</v>
      </c>
      <c r="K1273">
        <v>1</v>
      </c>
      <c r="L1273" t="s">
        <v>62</v>
      </c>
      <c r="M1273">
        <v>2</v>
      </c>
      <c r="N1273">
        <v>3</v>
      </c>
      <c r="O1273">
        <v>1</v>
      </c>
      <c r="P1273" t="s">
        <v>60</v>
      </c>
      <c r="Q1273">
        <v>2</v>
      </c>
      <c r="R1273" s="11">
        <v>337</v>
      </c>
      <c r="S1273" s="14">
        <v>31</v>
      </c>
      <c r="T1273" s="13">
        <v>2679</v>
      </c>
      <c r="U1273" s="13">
        <f t="shared" si="96"/>
        <v>32148</v>
      </c>
      <c r="V1273" s="14">
        <v>4567</v>
      </c>
      <c r="W1273">
        <v>1</v>
      </c>
      <c r="X1273" s="8" t="s">
        <v>46</v>
      </c>
      <c r="Y1273" s="15">
        <v>0.13</v>
      </c>
      <c r="Z1273">
        <v>3</v>
      </c>
      <c r="AA1273">
        <v>2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 t="str">
        <f t="shared" si="97"/>
        <v>0-3</v>
      </c>
      <c r="AI1273">
        <v>1</v>
      </c>
      <c r="AJ1273" t="str">
        <f t="shared" si="98"/>
        <v>0-2</v>
      </c>
      <c r="AK1273">
        <v>0</v>
      </c>
    </row>
    <row r="1274" spans="1:37" x14ac:dyDescent="0.25">
      <c r="A1274" s="8">
        <v>1273</v>
      </c>
      <c r="B1274" t="s">
        <v>52</v>
      </c>
      <c r="C1274" t="s">
        <v>45</v>
      </c>
      <c r="D1274" s="8">
        <v>38</v>
      </c>
      <c r="E1274" t="str">
        <f t="shared" si="99"/>
        <v>36-45</v>
      </c>
      <c r="F1274" t="s">
        <v>46</v>
      </c>
      <c r="G1274" t="s">
        <v>39</v>
      </c>
      <c r="H1274" s="8" t="s">
        <v>48</v>
      </c>
      <c r="I1274" s="10">
        <v>6</v>
      </c>
      <c r="J1274" t="str">
        <f t="shared" si="95"/>
        <v>Moderate</v>
      </c>
      <c r="K1274">
        <v>2</v>
      </c>
      <c r="L1274" t="s">
        <v>50</v>
      </c>
      <c r="M1274">
        <v>4</v>
      </c>
      <c r="N1274">
        <v>2</v>
      </c>
      <c r="O1274">
        <v>1</v>
      </c>
      <c r="P1274" t="s">
        <v>51</v>
      </c>
      <c r="Q1274">
        <v>3</v>
      </c>
      <c r="R1274" s="11">
        <v>1153</v>
      </c>
      <c r="S1274" s="14">
        <v>40</v>
      </c>
      <c r="T1274" s="13">
        <v>3702</v>
      </c>
      <c r="U1274" s="13">
        <f t="shared" si="96"/>
        <v>44424</v>
      </c>
      <c r="V1274" s="14">
        <v>16376</v>
      </c>
      <c r="W1274">
        <v>1</v>
      </c>
      <c r="X1274" s="8" t="s">
        <v>46</v>
      </c>
      <c r="Y1274" s="15">
        <v>0.11</v>
      </c>
      <c r="Z1274">
        <v>3</v>
      </c>
      <c r="AA1274">
        <v>2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 t="str">
        <f t="shared" si="97"/>
        <v>4-7</v>
      </c>
      <c r="AI1274">
        <v>0</v>
      </c>
      <c r="AJ1274" t="str">
        <f t="shared" si="98"/>
        <v>0-2</v>
      </c>
      <c r="AK1274">
        <v>4</v>
      </c>
    </row>
    <row r="1275" spans="1:37" x14ac:dyDescent="0.25">
      <c r="A1275" s="8">
        <v>1274</v>
      </c>
      <c r="B1275" t="s">
        <v>52</v>
      </c>
      <c r="C1275" t="s">
        <v>45</v>
      </c>
      <c r="D1275" s="8">
        <v>22</v>
      </c>
      <c r="E1275" t="str">
        <f t="shared" si="99"/>
        <v>18-25</v>
      </c>
      <c r="F1275" t="s">
        <v>38</v>
      </c>
      <c r="G1275" t="s">
        <v>39</v>
      </c>
      <c r="H1275" s="8" t="s">
        <v>48</v>
      </c>
      <c r="I1275" s="10">
        <v>8</v>
      </c>
      <c r="J1275" t="str">
        <f t="shared" si="95"/>
        <v>Moderate</v>
      </c>
      <c r="K1275">
        <v>1</v>
      </c>
      <c r="L1275" t="s">
        <v>53</v>
      </c>
      <c r="M1275">
        <v>3</v>
      </c>
      <c r="N1275">
        <v>3</v>
      </c>
      <c r="O1275">
        <v>1</v>
      </c>
      <c r="P1275" t="s">
        <v>51</v>
      </c>
      <c r="Q1275">
        <v>1</v>
      </c>
      <c r="R1275" s="11">
        <v>1294</v>
      </c>
      <c r="S1275" s="14">
        <v>79</v>
      </c>
      <c r="T1275" s="13">
        <v>2398</v>
      </c>
      <c r="U1275" s="13">
        <f t="shared" si="96"/>
        <v>28776</v>
      </c>
      <c r="V1275" s="14">
        <v>15999</v>
      </c>
      <c r="W1275">
        <v>1</v>
      </c>
      <c r="X1275" s="8" t="s">
        <v>38</v>
      </c>
      <c r="Y1275" s="15">
        <v>0.17</v>
      </c>
      <c r="Z1275">
        <v>3</v>
      </c>
      <c r="AA1275">
        <v>3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 t="str">
        <f t="shared" si="97"/>
        <v>0-3</v>
      </c>
      <c r="AI1275">
        <v>0</v>
      </c>
      <c r="AJ1275" t="str">
        <f t="shared" si="98"/>
        <v>0-2</v>
      </c>
      <c r="AK1275">
        <v>0</v>
      </c>
    </row>
    <row r="1276" spans="1:37" x14ac:dyDescent="0.25">
      <c r="A1276" s="8">
        <v>1275</v>
      </c>
      <c r="B1276" t="s">
        <v>52</v>
      </c>
      <c r="C1276" t="s">
        <v>45</v>
      </c>
      <c r="D1276" s="8">
        <v>31</v>
      </c>
      <c r="E1276" t="str">
        <f t="shared" si="99"/>
        <v>26-35</v>
      </c>
      <c r="F1276" t="s">
        <v>46</v>
      </c>
      <c r="G1276" t="s">
        <v>39</v>
      </c>
      <c r="H1276" s="8" t="s">
        <v>40</v>
      </c>
      <c r="I1276" s="10">
        <v>29</v>
      </c>
      <c r="J1276" t="str">
        <f t="shared" si="95"/>
        <v>Far</v>
      </c>
      <c r="K1276">
        <v>4</v>
      </c>
      <c r="L1276" t="s">
        <v>62</v>
      </c>
      <c r="M1276">
        <v>1</v>
      </c>
      <c r="N1276">
        <v>2</v>
      </c>
      <c r="O1276">
        <v>2</v>
      </c>
      <c r="P1276" t="s">
        <v>42</v>
      </c>
      <c r="Q1276">
        <v>4</v>
      </c>
      <c r="R1276" s="11">
        <v>196</v>
      </c>
      <c r="S1276" s="14">
        <v>91</v>
      </c>
      <c r="T1276" s="13">
        <v>5468</v>
      </c>
      <c r="U1276" s="13">
        <f t="shared" si="96"/>
        <v>65616</v>
      </c>
      <c r="V1276" s="14">
        <v>13402</v>
      </c>
      <c r="W1276">
        <v>1</v>
      </c>
      <c r="X1276" s="8" t="s">
        <v>46</v>
      </c>
      <c r="Y1276" s="15">
        <v>0.14000000000000001</v>
      </c>
      <c r="Z1276">
        <v>3</v>
      </c>
      <c r="AA1276">
        <v>1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 t="str">
        <f t="shared" si="97"/>
        <v>4-7</v>
      </c>
      <c r="AI1276">
        <v>5</v>
      </c>
      <c r="AJ1276" t="str">
        <f t="shared" si="98"/>
        <v>3-5</v>
      </c>
      <c r="AK1276">
        <v>7</v>
      </c>
    </row>
    <row r="1277" spans="1:37" x14ac:dyDescent="0.25">
      <c r="A1277" s="8">
        <v>1276</v>
      </c>
      <c r="B1277" t="s">
        <v>52</v>
      </c>
      <c r="C1277" t="s">
        <v>45</v>
      </c>
      <c r="D1277" s="8">
        <v>51</v>
      </c>
      <c r="E1277" t="str">
        <f t="shared" si="99"/>
        <v>46-55</v>
      </c>
      <c r="F1277" t="s">
        <v>46</v>
      </c>
      <c r="G1277" t="s">
        <v>39</v>
      </c>
      <c r="H1277" s="8" t="s">
        <v>48</v>
      </c>
      <c r="I1277" s="10">
        <v>3</v>
      </c>
      <c r="J1277" t="str">
        <f t="shared" si="95"/>
        <v>Near</v>
      </c>
      <c r="K1277">
        <v>3</v>
      </c>
      <c r="L1277" t="s">
        <v>63</v>
      </c>
      <c r="M1277">
        <v>1</v>
      </c>
      <c r="N1277">
        <v>3</v>
      </c>
      <c r="O1277">
        <v>3</v>
      </c>
      <c r="P1277" t="s">
        <v>59</v>
      </c>
      <c r="Q1277">
        <v>3</v>
      </c>
      <c r="R1277" s="11">
        <v>942</v>
      </c>
      <c r="S1277" s="14">
        <v>53</v>
      </c>
      <c r="T1277" s="13">
        <v>13116</v>
      </c>
      <c r="U1277" s="13">
        <f t="shared" si="96"/>
        <v>157392</v>
      </c>
      <c r="V1277" s="14">
        <v>22984</v>
      </c>
      <c r="W1277">
        <v>2</v>
      </c>
      <c r="X1277" s="8" t="s">
        <v>46</v>
      </c>
      <c r="Y1277" s="15">
        <v>0.11</v>
      </c>
      <c r="Z1277">
        <v>3</v>
      </c>
      <c r="AA1277">
        <v>4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 t="str">
        <f t="shared" si="97"/>
        <v>0-3</v>
      </c>
      <c r="AI1277">
        <v>2</v>
      </c>
      <c r="AJ1277" t="str">
        <f t="shared" si="98"/>
        <v>0-2</v>
      </c>
      <c r="AK1277">
        <v>2</v>
      </c>
    </row>
    <row r="1278" spans="1:37" x14ac:dyDescent="0.25">
      <c r="A1278" s="8">
        <v>1277</v>
      </c>
      <c r="B1278" t="s">
        <v>44</v>
      </c>
      <c r="C1278" t="s">
        <v>45</v>
      </c>
      <c r="D1278" s="8">
        <v>37</v>
      </c>
      <c r="E1278" t="str">
        <f t="shared" si="99"/>
        <v>36-45</v>
      </c>
      <c r="F1278" t="s">
        <v>46</v>
      </c>
      <c r="G1278" t="s">
        <v>39</v>
      </c>
      <c r="H1278" s="8" t="s">
        <v>40</v>
      </c>
      <c r="I1278" s="10">
        <v>9</v>
      </c>
      <c r="J1278" t="str">
        <f t="shared" si="95"/>
        <v>Moderate</v>
      </c>
      <c r="K1278">
        <v>2</v>
      </c>
      <c r="L1278" t="s">
        <v>62</v>
      </c>
      <c r="M1278">
        <v>2</v>
      </c>
      <c r="N1278">
        <v>2</v>
      </c>
      <c r="O1278">
        <v>2</v>
      </c>
      <c r="P1278" t="s">
        <v>42</v>
      </c>
      <c r="Q1278">
        <v>2</v>
      </c>
      <c r="R1278" s="11">
        <v>589</v>
      </c>
      <c r="S1278" s="14">
        <v>46</v>
      </c>
      <c r="T1278" s="13">
        <v>4189</v>
      </c>
      <c r="U1278" s="13">
        <f t="shared" si="96"/>
        <v>50268</v>
      </c>
      <c r="V1278" s="14">
        <v>8800</v>
      </c>
      <c r="W1278">
        <v>1</v>
      </c>
      <c r="X1278" s="8" t="s">
        <v>46</v>
      </c>
      <c r="Y1278" s="15">
        <v>0.14000000000000001</v>
      </c>
      <c r="Z1278">
        <v>3</v>
      </c>
      <c r="AA1278">
        <v>1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 t="str">
        <f t="shared" si="97"/>
        <v>0-3</v>
      </c>
      <c r="AI1278">
        <v>0</v>
      </c>
      <c r="AJ1278" t="str">
        <f t="shared" si="98"/>
        <v>0-2</v>
      </c>
      <c r="AK1278">
        <v>3</v>
      </c>
    </row>
    <row r="1279" spans="1:37" x14ac:dyDescent="0.25">
      <c r="A1279" s="8">
        <v>1278</v>
      </c>
      <c r="B1279" t="s">
        <v>44</v>
      </c>
      <c r="C1279" t="s">
        <v>54</v>
      </c>
      <c r="D1279" s="8">
        <v>46</v>
      </c>
      <c r="E1279" t="str">
        <f t="shared" si="99"/>
        <v>46-55</v>
      </c>
      <c r="F1279" t="s">
        <v>46</v>
      </c>
      <c r="G1279" t="s">
        <v>39</v>
      </c>
      <c r="H1279" s="8" t="s">
        <v>48</v>
      </c>
      <c r="I1279" s="10">
        <v>2</v>
      </c>
      <c r="J1279" t="str">
        <f t="shared" si="95"/>
        <v>Near</v>
      </c>
      <c r="K1279">
        <v>4</v>
      </c>
      <c r="L1279" t="s">
        <v>53</v>
      </c>
      <c r="M1279">
        <v>3</v>
      </c>
      <c r="N1279">
        <v>3</v>
      </c>
      <c r="O1279">
        <v>5</v>
      </c>
      <c r="P1279" t="s">
        <v>61</v>
      </c>
      <c r="Q1279">
        <v>4</v>
      </c>
      <c r="R1279" s="11">
        <v>734</v>
      </c>
      <c r="S1279" s="14">
        <v>46</v>
      </c>
      <c r="T1279" s="13">
        <v>19328</v>
      </c>
      <c r="U1279" s="13">
        <f t="shared" si="96"/>
        <v>231936</v>
      </c>
      <c r="V1279" s="14">
        <v>14218</v>
      </c>
      <c r="W1279">
        <v>7</v>
      </c>
      <c r="X1279" s="8" t="s">
        <v>38</v>
      </c>
      <c r="Y1279" s="15">
        <v>0.17</v>
      </c>
      <c r="Z1279">
        <v>3</v>
      </c>
      <c r="AA1279">
        <v>3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 t="str">
        <f t="shared" si="97"/>
        <v>0-3</v>
      </c>
      <c r="AI1279">
        <v>2</v>
      </c>
      <c r="AJ1279" t="str">
        <f t="shared" si="98"/>
        <v>0-2</v>
      </c>
      <c r="AK1279">
        <v>2</v>
      </c>
    </row>
    <row r="1280" spans="1:37" x14ac:dyDescent="0.25">
      <c r="A1280" s="8">
        <v>1279</v>
      </c>
      <c r="B1280" t="s">
        <v>44</v>
      </c>
      <c r="C1280" t="s">
        <v>45</v>
      </c>
      <c r="D1280" s="8">
        <v>36</v>
      </c>
      <c r="E1280" t="str">
        <f t="shared" si="99"/>
        <v>36-45</v>
      </c>
      <c r="F1280" t="s">
        <v>46</v>
      </c>
      <c r="G1280" t="s">
        <v>39</v>
      </c>
      <c r="H1280" s="8" t="s">
        <v>48</v>
      </c>
      <c r="I1280" s="10">
        <v>10</v>
      </c>
      <c r="J1280" t="str">
        <f t="shared" si="95"/>
        <v>Moderate</v>
      </c>
      <c r="K1280">
        <v>3</v>
      </c>
      <c r="L1280" t="s">
        <v>41</v>
      </c>
      <c r="M1280">
        <v>4</v>
      </c>
      <c r="N1280">
        <v>3</v>
      </c>
      <c r="O1280">
        <v>3</v>
      </c>
      <c r="P1280" t="s">
        <v>56</v>
      </c>
      <c r="Q1280">
        <v>1</v>
      </c>
      <c r="R1280" s="11">
        <v>1383</v>
      </c>
      <c r="S1280" s="14">
        <v>90</v>
      </c>
      <c r="T1280" s="13">
        <v>8321</v>
      </c>
      <c r="U1280" s="13">
        <f t="shared" si="96"/>
        <v>99852</v>
      </c>
      <c r="V1280" s="14">
        <v>25949</v>
      </c>
      <c r="W1280">
        <v>7</v>
      </c>
      <c r="X1280" s="8" t="s">
        <v>38</v>
      </c>
      <c r="Y1280" s="15">
        <v>0.13</v>
      </c>
      <c r="Z1280">
        <v>3</v>
      </c>
      <c r="AA1280">
        <v>4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 t="str">
        <f t="shared" si="97"/>
        <v>8-11</v>
      </c>
      <c r="AI1280">
        <v>5</v>
      </c>
      <c r="AJ1280" t="str">
        <f t="shared" si="98"/>
        <v>3-5</v>
      </c>
      <c r="AK1280">
        <v>7</v>
      </c>
    </row>
    <row r="1281" spans="1:37" x14ac:dyDescent="0.25">
      <c r="A1281" s="8">
        <v>1280</v>
      </c>
      <c r="B1281" t="s">
        <v>44</v>
      </c>
      <c r="C1281" t="s">
        <v>54</v>
      </c>
      <c r="D1281" s="8">
        <v>44</v>
      </c>
      <c r="E1281" t="str">
        <f t="shared" si="99"/>
        <v>36-45</v>
      </c>
      <c r="F1281" t="s">
        <v>38</v>
      </c>
      <c r="G1281" t="s">
        <v>47</v>
      </c>
      <c r="H1281" s="8" t="s">
        <v>48</v>
      </c>
      <c r="I1281" s="10">
        <v>1</v>
      </c>
      <c r="J1281" t="str">
        <f t="shared" si="95"/>
        <v>Near</v>
      </c>
      <c r="K1281">
        <v>2</v>
      </c>
      <c r="L1281" t="s">
        <v>53</v>
      </c>
      <c r="M1281">
        <v>3</v>
      </c>
      <c r="N1281">
        <v>3</v>
      </c>
      <c r="O1281">
        <v>1</v>
      </c>
      <c r="P1281" t="s">
        <v>49</v>
      </c>
      <c r="Q1281">
        <v>2</v>
      </c>
      <c r="R1281" s="11">
        <v>429</v>
      </c>
      <c r="S1281" s="14">
        <v>99</v>
      </c>
      <c r="T1281" s="13">
        <v>2342</v>
      </c>
      <c r="U1281" s="13">
        <f t="shared" si="96"/>
        <v>28104</v>
      </c>
      <c r="V1281" s="14">
        <v>11092</v>
      </c>
      <c r="W1281">
        <v>1</v>
      </c>
      <c r="X1281" s="8" t="s">
        <v>38</v>
      </c>
      <c r="Y1281" s="15">
        <v>0.12</v>
      </c>
      <c r="Z1281">
        <v>3</v>
      </c>
      <c r="AA1281">
        <v>3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 t="str">
        <f t="shared" si="97"/>
        <v>0-3</v>
      </c>
      <c r="AI1281">
        <v>2</v>
      </c>
      <c r="AJ1281" t="str">
        <f t="shared" si="98"/>
        <v>0-2</v>
      </c>
      <c r="AK1281">
        <v>3</v>
      </c>
    </row>
    <row r="1282" spans="1:37" x14ac:dyDescent="0.25">
      <c r="A1282" s="8">
        <v>1281</v>
      </c>
      <c r="B1282" t="s">
        <v>44</v>
      </c>
      <c r="C1282" t="s">
        <v>54</v>
      </c>
      <c r="D1282" s="8">
        <v>37</v>
      </c>
      <c r="E1282" t="str">
        <f t="shared" si="99"/>
        <v>36-45</v>
      </c>
      <c r="F1282" t="s">
        <v>46</v>
      </c>
      <c r="G1282" t="s">
        <v>39</v>
      </c>
      <c r="H1282" s="8" t="s">
        <v>64</v>
      </c>
      <c r="I1282" s="10">
        <v>8</v>
      </c>
      <c r="J1282" t="str">
        <f t="shared" si="95"/>
        <v>Moderate</v>
      </c>
      <c r="K1282">
        <v>2</v>
      </c>
      <c r="L1282" t="s">
        <v>50</v>
      </c>
      <c r="M1282">
        <v>3</v>
      </c>
      <c r="N1282">
        <v>3</v>
      </c>
      <c r="O1282">
        <v>2</v>
      </c>
      <c r="P1282" t="s">
        <v>64</v>
      </c>
      <c r="Q1282">
        <v>2</v>
      </c>
      <c r="R1282" s="11">
        <v>1239</v>
      </c>
      <c r="S1282" s="14">
        <v>89</v>
      </c>
      <c r="T1282" s="13">
        <v>4071</v>
      </c>
      <c r="U1282" s="13">
        <f t="shared" si="96"/>
        <v>48852</v>
      </c>
      <c r="V1282" s="14">
        <v>12832</v>
      </c>
      <c r="W1282">
        <v>2</v>
      </c>
      <c r="X1282" s="8" t="s">
        <v>46</v>
      </c>
      <c r="Y1282" s="15">
        <v>0.13</v>
      </c>
      <c r="Z1282">
        <v>3</v>
      </c>
      <c r="AA1282">
        <v>3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 t="str">
        <f t="shared" si="97"/>
        <v>0-3</v>
      </c>
      <c r="AI1282">
        <v>4</v>
      </c>
      <c r="AJ1282" t="str">
        <f t="shared" si="98"/>
        <v>3-5</v>
      </c>
      <c r="AK1282">
        <v>7</v>
      </c>
    </row>
    <row r="1283" spans="1:37" x14ac:dyDescent="0.25">
      <c r="A1283" s="8">
        <v>1282</v>
      </c>
      <c r="B1283" t="s">
        <v>44</v>
      </c>
      <c r="C1283" t="s">
        <v>37</v>
      </c>
      <c r="D1283" s="8">
        <v>35</v>
      </c>
      <c r="E1283" t="str">
        <f t="shared" si="99"/>
        <v>26-35</v>
      </c>
      <c r="F1283" t="s">
        <v>38</v>
      </c>
      <c r="G1283" t="s">
        <v>39</v>
      </c>
      <c r="H1283" s="8" t="s">
        <v>40</v>
      </c>
      <c r="I1283" s="10">
        <v>27</v>
      </c>
      <c r="J1283" t="str">
        <f t="shared" ref="J1283:J1346" si="100">IF(I1283&lt;=5,"Near",IF(I1283&lt;=15,"Moderate",IF(I1283&gt;15,"Far")))</f>
        <v>Far</v>
      </c>
      <c r="K1283">
        <v>3</v>
      </c>
      <c r="L1283" t="s">
        <v>41</v>
      </c>
      <c r="M1283">
        <v>3</v>
      </c>
      <c r="N1283">
        <v>3</v>
      </c>
      <c r="O1283">
        <v>2</v>
      </c>
      <c r="P1283" t="s">
        <v>42</v>
      </c>
      <c r="Q1283">
        <v>4</v>
      </c>
      <c r="R1283" s="11">
        <v>303</v>
      </c>
      <c r="S1283" s="14">
        <v>84</v>
      </c>
      <c r="T1283" s="13">
        <v>5813</v>
      </c>
      <c r="U1283" s="13">
        <f t="shared" ref="U1283:U1346" si="101">T1283*12</f>
        <v>69756</v>
      </c>
      <c r="V1283" s="14">
        <v>13492</v>
      </c>
      <c r="W1283">
        <v>1</v>
      </c>
      <c r="X1283" s="8" t="s">
        <v>38</v>
      </c>
      <c r="Y1283" s="15">
        <v>0.18</v>
      </c>
      <c r="Z1283">
        <v>3</v>
      </c>
      <c r="AA1283">
        <v>4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 t="str">
        <f t="shared" ref="AH1283:AH1346" si="102">IF(AG:AG&lt;=3,"0-3", IF(AG:AG&lt;=7,"4-7", IF(AG:AG&lt;=11,"8-11", IF(AG:AG&lt;=15,"12-15","16-19"))))</f>
        <v>4-7</v>
      </c>
      <c r="AI1283">
        <v>7</v>
      </c>
      <c r="AJ1283" t="str">
        <f t="shared" ref="AJ1283:AJ1346" si="103">IF(AI:AI&lt;=2,"0-2",IF(AI:AI&lt;=5,"3-5", IF(AI:AI&lt;=8,"6-8", IF(AI:AI&lt;=11,"9-11","12-15"))))</f>
        <v>6-8</v>
      </c>
      <c r="AK1283">
        <v>7</v>
      </c>
    </row>
    <row r="1284" spans="1:37" x14ac:dyDescent="0.25">
      <c r="A1284" s="8">
        <v>1283</v>
      </c>
      <c r="B1284" t="s">
        <v>44</v>
      </c>
      <c r="C1284" t="s">
        <v>45</v>
      </c>
      <c r="D1284" s="8">
        <v>33</v>
      </c>
      <c r="E1284" t="str">
        <f t="shared" ref="E1284:E1347" si="104">IF(D1284&lt;25,"18-25",IF(D1284&lt;=35,"26-35",IF(D1284&lt;=45,"36-45",IF(D1284&lt;=55,"46-55",IF(D1284&gt;55,"55+")))))</f>
        <v>26-35</v>
      </c>
      <c r="F1284" t="s">
        <v>46</v>
      </c>
      <c r="G1284" t="s">
        <v>39</v>
      </c>
      <c r="H1284" s="8" t="s">
        <v>48</v>
      </c>
      <c r="I1284" s="10">
        <v>8</v>
      </c>
      <c r="J1284" t="str">
        <f t="shared" si="100"/>
        <v>Moderate</v>
      </c>
      <c r="K1284">
        <v>4</v>
      </c>
      <c r="L1284" t="s">
        <v>41</v>
      </c>
      <c r="M1284">
        <v>4</v>
      </c>
      <c r="N1284">
        <v>4</v>
      </c>
      <c r="O1284">
        <v>1</v>
      </c>
      <c r="P1284" t="s">
        <v>49</v>
      </c>
      <c r="Q1284">
        <v>1</v>
      </c>
      <c r="R1284" s="11">
        <v>867</v>
      </c>
      <c r="S1284" s="14">
        <v>90</v>
      </c>
      <c r="T1284" s="13">
        <v>3143</v>
      </c>
      <c r="U1284" s="13">
        <f t="shared" si="101"/>
        <v>37716</v>
      </c>
      <c r="V1284" s="14">
        <v>6076</v>
      </c>
      <c r="W1284">
        <v>6</v>
      </c>
      <c r="X1284" s="8" t="s">
        <v>46</v>
      </c>
      <c r="Y1284" s="15">
        <v>0.19</v>
      </c>
      <c r="Z1284">
        <v>3</v>
      </c>
      <c r="AA1284">
        <v>2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 t="str">
        <f t="shared" si="102"/>
        <v>8-11</v>
      </c>
      <c r="AI1284">
        <v>7</v>
      </c>
      <c r="AJ1284" t="str">
        <f t="shared" si="103"/>
        <v>6-8</v>
      </c>
      <c r="AK1284">
        <v>6</v>
      </c>
    </row>
    <row r="1285" spans="1:37" x14ac:dyDescent="0.25">
      <c r="A1285" s="8">
        <v>1284</v>
      </c>
      <c r="B1285" t="s">
        <v>44</v>
      </c>
      <c r="C1285" t="s">
        <v>45</v>
      </c>
      <c r="D1285" s="8">
        <v>28</v>
      </c>
      <c r="E1285" t="str">
        <f t="shared" si="104"/>
        <v>26-35</v>
      </c>
      <c r="F1285" t="s">
        <v>46</v>
      </c>
      <c r="G1285" t="s">
        <v>39</v>
      </c>
      <c r="H1285" s="8" t="s">
        <v>48</v>
      </c>
      <c r="I1285" s="10">
        <v>1</v>
      </c>
      <c r="J1285" t="str">
        <f t="shared" si="100"/>
        <v>Near</v>
      </c>
      <c r="K1285">
        <v>3</v>
      </c>
      <c r="L1285" t="s">
        <v>41</v>
      </c>
      <c r="M1285">
        <v>3</v>
      </c>
      <c r="N1285">
        <v>3</v>
      </c>
      <c r="O1285">
        <v>1</v>
      </c>
      <c r="P1285" t="s">
        <v>49</v>
      </c>
      <c r="Q1285">
        <v>4</v>
      </c>
      <c r="R1285" s="11">
        <v>1181</v>
      </c>
      <c r="S1285" s="14">
        <v>82</v>
      </c>
      <c r="T1285" s="13">
        <v>2044</v>
      </c>
      <c r="U1285" s="13">
        <f t="shared" si="101"/>
        <v>24528</v>
      </c>
      <c r="V1285" s="14">
        <v>5531</v>
      </c>
      <c r="W1285">
        <v>1</v>
      </c>
      <c r="X1285" s="8" t="s">
        <v>46</v>
      </c>
      <c r="Y1285" s="15">
        <v>0.11</v>
      </c>
      <c r="Z1285">
        <v>3</v>
      </c>
      <c r="AA1285">
        <v>3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 t="str">
        <f t="shared" si="102"/>
        <v>0-3</v>
      </c>
      <c r="AI1285">
        <v>0</v>
      </c>
      <c r="AJ1285" t="str">
        <f t="shared" si="103"/>
        <v>0-2</v>
      </c>
      <c r="AK1285">
        <v>3</v>
      </c>
    </row>
    <row r="1286" spans="1:37" x14ac:dyDescent="0.25">
      <c r="A1286" s="8">
        <v>1285</v>
      </c>
      <c r="B1286" t="s">
        <v>44</v>
      </c>
      <c r="C1286" t="s">
        <v>37</v>
      </c>
      <c r="D1286" s="8">
        <v>39</v>
      </c>
      <c r="E1286" t="str">
        <f t="shared" si="104"/>
        <v>36-45</v>
      </c>
      <c r="F1286" t="s">
        <v>46</v>
      </c>
      <c r="G1286" t="s">
        <v>39</v>
      </c>
      <c r="H1286" s="8" t="s">
        <v>48</v>
      </c>
      <c r="I1286" s="10">
        <v>10</v>
      </c>
      <c r="J1286" t="str">
        <f t="shared" si="100"/>
        <v>Moderate</v>
      </c>
      <c r="K1286">
        <v>1</v>
      </c>
      <c r="L1286" t="s">
        <v>53</v>
      </c>
      <c r="M1286">
        <v>3</v>
      </c>
      <c r="N1286">
        <v>3</v>
      </c>
      <c r="O1286">
        <v>3</v>
      </c>
      <c r="P1286" t="s">
        <v>61</v>
      </c>
      <c r="Q1286">
        <v>3</v>
      </c>
      <c r="R1286" s="11">
        <v>1253</v>
      </c>
      <c r="S1286" s="14">
        <v>65</v>
      </c>
      <c r="T1286" s="13">
        <v>13464</v>
      </c>
      <c r="U1286" s="13">
        <f t="shared" si="101"/>
        <v>161568</v>
      </c>
      <c r="V1286" s="14">
        <v>7914</v>
      </c>
      <c r="W1286">
        <v>7</v>
      </c>
      <c r="X1286" s="8" t="s">
        <v>46</v>
      </c>
      <c r="Y1286" s="15">
        <v>0.21</v>
      </c>
      <c r="Z1286">
        <v>4</v>
      </c>
      <c r="AA1286">
        <v>3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 t="str">
        <f t="shared" si="102"/>
        <v>0-3</v>
      </c>
      <c r="AI1286">
        <v>2</v>
      </c>
      <c r="AJ1286" t="str">
        <f t="shared" si="103"/>
        <v>0-2</v>
      </c>
      <c r="AK1286">
        <v>2</v>
      </c>
    </row>
    <row r="1287" spans="1:37" x14ac:dyDescent="0.25">
      <c r="A1287" s="8">
        <v>1286</v>
      </c>
      <c r="B1287" t="s">
        <v>44</v>
      </c>
      <c r="C1287" t="s">
        <v>37</v>
      </c>
      <c r="D1287" s="8">
        <v>46</v>
      </c>
      <c r="E1287" t="str">
        <f t="shared" si="104"/>
        <v>46-55</v>
      </c>
      <c r="F1287" t="s">
        <v>46</v>
      </c>
      <c r="G1287" t="s">
        <v>58</v>
      </c>
      <c r="H1287" s="8" t="s">
        <v>40</v>
      </c>
      <c r="I1287" s="10">
        <v>26</v>
      </c>
      <c r="J1287" t="str">
        <f t="shared" si="100"/>
        <v>Far</v>
      </c>
      <c r="K1287">
        <v>2</v>
      </c>
      <c r="L1287" t="s">
        <v>41</v>
      </c>
      <c r="M1287">
        <v>2</v>
      </c>
      <c r="N1287">
        <v>2</v>
      </c>
      <c r="O1287">
        <v>2</v>
      </c>
      <c r="P1287" t="s">
        <v>42</v>
      </c>
      <c r="Q1287">
        <v>2</v>
      </c>
      <c r="R1287" s="11">
        <v>849</v>
      </c>
      <c r="S1287" s="14">
        <v>98</v>
      </c>
      <c r="T1287" s="13">
        <v>7991</v>
      </c>
      <c r="U1287" s="13">
        <f t="shared" si="101"/>
        <v>95892</v>
      </c>
      <c r="V1287" s="14">
        <v>25166</v>
      </c>
      <c r="W1287">
        <v>8</v>
      </c>
      <c r="X1287" s="8" t="s">
        <v>46</v>
      </c>
      <c r="Y1287" s="15">
        <v>0.15</v>
      </c>
      <c r="Z1287">
        <v>3</v>
      </c>
      <c r="AA1287">
        <v>3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 t="str">
        <f t="shared" si="102"/>
        <v>0-3</v>
      </c>
      <c r="AI1287">
        <v>2</v>
      </c>
      <c r="AJ1287" t="str">
        <f t="shared" si="103"/>
        <v>0-2</v>
      </c>
      <c r="AK1287">
        <v>2</v>
      </c>
    </row>
    <row r="1288" spans="1:37" x14ac:dyDescent="0.25">
      <c r="A1288" s="8">
        <v>1287</v>
      </c>
      <c r="B1288" t="s">
        <v>52</v>
      </c>
      <c r="C1288" t="s">
        <v>45</v>
      </c>
      <c r="D1288" s="8">
        <v>40</v>
      </c>
      <c r="E1288" t="str">
        <f t="shared" si="104"/>
        <v>36-45</v>
      </c>
      <c r="F1288" t="s">
        <v>46</v>
      </c>
      <c r="G1288" t="s">
        <v>39</v>
      </c>
      <c r="H1288" s="8" t="s">
        <v>48</v>
      </c>
      <c r="I1288" s="10">
        <v>2</v>
      </c>
      <c r="J1288" t="str">
        <f t="shared" si="100"/>
        <v>Near</v>
      </c>
      <c r="K1288">
        <v>2</v>
      </c>
      <c r="L1288" t="s">
        <v>41</v>
      </c>
      <c r="M1288">
        <v>3</v>
      </c>
      <c r="N1288">
        <v>3</v>
      </c>
      <c r="O1288">
        <v>1</v>
      </c>
      <c r="P1288" t="s">
        <v>51</v>
      </c>
      <c r="Q1288">
        <v>1</v>
      </c>
      <c r="R1288" s="11">
        <v>616</v>
      </c>
      <c r="S1288" s="14">
        <v>99</v>
      </c>
      <c r="T1288" s="13">
        <v>3377</v>
      </c>
      <c r="U1288" s="13">
        <f t="shared" si="101"/>
        <v>40524</v>
      </c>
      <c r="V1288" s="14">
        <v>25605</v>
      </c>
      <c r="W1288">
        <v>4</v>
      </c>
      <c r="X1288" s="8" t="s">
        <v>46</v>
      </c>
      <c r="Y1288" s="15">
        <v>0.17</v>
      </c>
      <c r="Z1288">
        <v>3</v>
      </c>
      <c r="AA1288">
        <v>4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 t="str">
        <f t="shared" si="102"/>
        <v>0-3</v>
      </c>
      <c r="AI1288">
        <v>0</v>
      </c>
      <c r="AJ1288" t="str">
        <f t="shared" si="103"/>
        <v>0-2</v>
      </c>
      <c r="AK1288">
        <v>2</v>
      </c>
    </row>
    <row r="1289" spans="1:37" x14ac:dyDescent="0.25">
      <c r="A1289" s="8">
        <v>1288</v>
      </c>
      <c r="B1289" t="s">
        <v>44</v>
      </c>
      <c r="C1289" t="s">
        <v>45</v>
      </c>
      <c r="D1289" s="8">
        <v>42</v>
      </c>
      <c r="E1289" t="str">
        <f t="shared" si="104"/>
        <v>36-45</v>
      </c>
      <c r="F1289" t="s">
        <v>46</v>
      </c>
      <c r="G1289" t="s">
        <v>39</v>
      </c>
      <c r="H1289" s="8" t="s">
        <v>48</v>
      </c>
      <c r="I1289" s="10">
        <v>13</v>
      </c>
      <c r="J1289" t="str">
        <f t="shared" si="100"/>
        <v>Moderate</v>
      </c>
      <c r="K1289">
        <v>3</v>
      </c>
      <c r="L1289" t="s">
        <v>53</v>
      </c>
      <c r="M1289">
        <v>2</v>
      </c>
      <c r="N1289">
        <v>4</v>
      </c>
      <c r="O1289">
        <v>2</v>
      </c>
      <c r="P1289" t="s">
        <v>56</v>
      </c>
      <c r="Q1289">
        <v>1</v>
      </c>
      <c r="R1289" s="11">
        <v>1128</v>
      </c>
      <c r="S1289" s="14">
        <v>95</v>
      </c>
      <c r="T1289" s="13">
        <v>5538</v>
      </c>
      <c r="U1289" s="13">
        <f t="shared" si="101"/>
        <v>66456</v>
      </c>
      <c r="V1289" s="14">
        <v>5696</v>
      </c>
      <c r="W1289">
        <v>5</v>
      </c>
      <c r="X1289" s="8" t="s">
        <v>46</v>
      </c>
      <c r="Y1289" s="15">
        <v>0.18</v>
      </c>
      <c r="Z1289">
        <v>3</v>
      </c>
      <c r="AA1289">
        <v>3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 t="str">
        <f t="shared" si="102"/>
        <v>0-3</v>
      </c>
      <c r="AI1289">
        <v>0</v>
      </c>
      <c r="AJ1289" t="str">
        <f t="shared" si="103"/>
        <v>0-2</v>
      </c>
      <c r="AK1289">
        <v>0</v>
      </c>
    </row>
    <row r="1290" spans="1:37" x14ac:dyDescent="0.25">
      <c r="A1290" s="8">
        <v>1289</v>
      </c>
      <c r="B1290" t="s">
        <v>44</v>
      </c>
      <c r="C1290" t="s">
        <v>54</v>
      </c>
      <c r="D1290" s="8">
        <v>35</v>
      </c>
      <c r="E1290" t="str">
        <f t="shared" si="104"/>
        <v>26-35</v>
      </c>
      <c r="F1290" t="s">
        <v>46</v>
      </c>
      <c r="G1290" t="s">
        <v>58</v>
      </c>
      <c r="H1290" s="8" t="s">
        <v>48</v>
      </c>
      <c r="I1290" s="10">
        <v>2</v>
      </c>
      <c r="J1290" t="str">
        <f t="shared" si="100"/>
        <v>Near</v>
      </c>
      <c r="K1290">
        <v>2</v>
      </c>
      <c r="L1290" t="s">
        <v>53</v>
      </c>
      <c r="M1290">
        <v>2</v>
      </c>
      <c r="N1290">
        <v>3</v>
      </c>
      <c r="O1290">
        <v>2</v>
      </c>
      <c r="P1290" t="s">
        <v>55</v>
      </c>
      <c r="Q1290">
        <v>4</v>
      </c>
      <c r="R1290" s="11">
        <v>1180</v>
      </c>
      <c r="S1290" s="14">
        <v>90</v>
      </c>
      <c r="T1290" s="13">
        <v>5762</v>
      </c>
      <c r="U1290" s="13">
        <f t="shared" si="101"/>
        <v>69144</v>
      </c>
      <c r="V1290" s="14">
        <v>24442</v>
      </c>
      <c r="W1290">
        <v>2</v>
      </c>
      <c r="X1290" s="8" t="s">
        <v>46</v>
      </c>
      <c r="Y1290" s="15">
        <v>0.14000000000000001</v>
      </c>
      <c r="Z1290">
        <v>3</v>
      </c>
      <c r="AA1290">
        <v>3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 t="str">
        <f t="shared" si="102"/>
        <v>4-7</v>
      </c>
      <c r="AI1290">
        <v>1</v>
      </c>
      <c r="AJ1290" t="str">
        <f t="shared" si="103"/>
        <v>0-2</v>
      </c>
      <c r="AK1290">
        <v>7</v>
      </c>
    </row>
    <row r="1291" spans="1:37" x14ac:dyDescent="0.25">
      <c r="A1291" s="8">
        <v>1290</v>
      </c>
      <c r="B1291" t="s">
        <v>44</v>
      </c>
      <c r="C1291" t="s">
        <v>54</v>
      </c>
      <c r="D1291" s="8">
        <v>38</v>
      </c>
      <c r="E1291" t="str">
        <f t="shared" si="104"/>
        <v>36-45</v>
      </c>
      <c r="F1291" t="s">
        <v>46</v>
      </c>
      <c r="G1291" t="s">
        <v>58</v>
      </c>
      <c r="H1291" s="8" t="s">
        <v>64</v>
      </c>
      <c r="I1291" s="10">
        <v>2</v>
      </c>
      <c r="J1291" t="str">
        <f t="shared" si="100"/>
        <v>Near</v>
      </c>
      <c r="K1291">
        <v>3</v>
      </c>
      <c r="L1291" t="s">
        <v>64</v>
      </c>
      <c r="M1291">
        <v>1</v>
      </c>
      <c r="N1291">
        <v>3</v>
      </c>
      <c r="O1291">
        <v>1</v>
      </c>
      <c r="P1291" t="s">
        <v>64</v>
      </c>
      <c r="Q1291">
        <v>2</v>
      </c>
      <c r="R1291" s="11">
        <v>1336</v>
      </c>
      <c r="S1291" s="14">
        <v>100</v>
      </c>
      <c r="T1291" s="13">
        <v>2592</v>
      </c>
      <c r="U1291" s="13">
        <f t="shared" si="101"/>
        <v>31104</v>
      </c>
      <c r="V1291" s="14">
        <v>7129</v>
      </c>
      <c r="W1291">
        <v>5</v>
      </c>
      <c r="X1291" s="8" t="s">
        <v>46</v>
      </c>
      <c r="Y1291" s="15">
        <v>0.13</v>
      </c>
      <c r="Z1291">
        <v>3</v>
      </c>
      <c r="AA1291">
        <v>4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 t="str">
        <f t="shared" si="102"/>
        <v>8-11</v>
      </c>
      <c r="AI1291">
        <v>3</v>
      </c>
      <c r="AJ1291" t="str">
        <f t="shared" si="103"/>
        <v>3-5</v>
      </c>
      <c r="AK1291">
        <v>8</v>
      </c>
    </row>
    <row r="1292" spans="1:37" x14ac:dyDescent="0.25">
      <c r="A1292" s="8">
        <v>1291</v>
      </c>
      <c r="B1292" t="s">
        <v>44</v>
      </c>
      <c r="C1292" t="s">
        <v>45</v>
      </c>
      <c r="D1292" s="8">
        <v>34</v>
      </c>
      <c r="E1292" t="str">
        <f t="shared" si="104"/>
        <v>26-35</v>
      </c>
      <c r="F1292" t="s">
        <v>38</v>
      </c>
      <c r="G1292" t="s">
        <v>47</v>
      </c>
      <c r="H1292" s="8" t="s">
        <v>48</v>
      </c>
      <c r="I1292" s="10">
        <v>9</v>
      </c>
      <c r="J1292" t="str">
        <f t="shared" si="100"/>
        <v>Moderate</v>
      </c>
      <c r="K1292">
        <v>4</v>
      </c>
      <c r="L1292" t="s">
        <v>41</v>
      </c>
      <c r="M1292">
        <v>4</v>
      </c>
      <c r="N1292">
        <v>3</v>
      </c>
      <c r="O1292">
        <v>2</v>
      </c>
      <c r="P1292" t="s">
        <v>51</v>
      </c>
      <c r="Q1292">
        <v>1</v>
      </c>
      <c r="R1292" s="11">
        <v>234</v>
      </c>
      <c r="S1292" s="14">
        <v>93</v>
      </c>
      <c r="T1292" s="13">
        <v>5346</v>
      </c>
      <c r="U1292" s="13">
        <f t="shared" si="101"/>
        <v>64152</v>
      </c>
      <c r="V1292" s="14">
        <v>6208</v>
      </c>
      <c r="W1292">
        <v>4</v>
      </c>
      <c r="X1292" s="8" t="s">
        <v>46</v>
      </c>
      <c r="Y1292" s="15">
        <v>0.17</v>
      </c>
      <c r="Z1292">
        <v>3</v>
      </c>
      <c r="AA1292">
        <v>3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 t="str">
        <f t="shared" si="102"/>
        <v>0-3</v>
      </c>
      <c r="AI1292">
        <v>0</v>
      </c>
      <c r="AJ1292" t="str">
        <f t="shared" si="103"/>
        <v>0-2</v>
      </c>
      <c r="AK1292">
        <v>7</v>
      </c>
    </row>
    <row r="1293" spans="1:37" x14ac:dyDescent="0.25">
      <c r="A1293" s="8">
        <v>1292</v>
      </c>
      <c r="B1293" t="s">
        <v>44</v>
      </c>
      <c r="C1293" t="s">
        <v>37</v>
      </c>
      <c r="D1293" s="8">
        <v>37</v>
      </c>
      <c r="E1293" t="str">
        <f t="shared" si="104"/>
        <v>36-45</v>
      </c>
      <c r="F1293" t="s">
        <v>38</v>
      </c>
      <c r="G1293" t="s">
        <v>39</v>
      </c>
      <c r="H1293" s="8" t="s">
        <v>48</v>
      </c>
      <c r="I1293" s="10">
        <v>10</v>
      </c>
      <c r="J1293" t="str">
        <f t="shared" si="100"/>
        <v>Moderate</v>
      </c>
      <c r="K1293">
        <v>4</v>
      </c>
      <c r="L1293" t="s">
        <v>53</v>
      </c>
      <c r="M1293">
        <v>4</v>
      </c>
      <c r="N1293">
        <v>3</v>
      </c>
      <c r="O1293">
        <v>2</v>
      </c>
      <c r="P1293" t="s">
        <v>55</v>
      </c>
      <c r="Q1293">
        <v>1</v>
      </c>
      <c r="R1293" s="11">
        <v>370</v>
      </c>
      <c r="S1293" s="14">
        <v>58</v>
      </c>
      <c r="T1293" s="13">
        <v>4213</v>
      </c>
      <c r="U1293" s="13">
        <f t="shared" si="101"/>
        <v>50556</v>
      </c>
      <c r="V1293" s="14">
        <v>4992</v>
      </c>
      <c r="W1293">
        <v>1</v>
      </c>
      <c r="X1293" s="8" t="s">
        <v>46</v>
      </c>
      <c r="Y1293" s="15">
        <v>0.15</v>
      </c>
      <c r="Z1293">
        <v>3</v>
      </c>
      <c r="AA1293">
        <v>2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 t="str">
        <f t="shared" si="102"/>
        <v>0-3</v>
      </c>
      <c r="AI1293">
        <v>0</v>
      </c>
      <c r="AJ1293" t="str">
        <f t="shared" si="103"/>
        <v>0-2</v>
      </c>
      <c r="AK1293">
        <v>8</v>
      </c>
    </row>
    <row r="1294" spans="1:37" x14ac:dyDescent="0.25">
      <c r="A1294" s="8">
        <v>1293</v>
      </c>
      <c r="B1294" t="s">
        <v>44</v>
      </c>
      <c r="C1294" t="s">
        <v>54</v>
      </c>
      <c r="D1294" s="8">
        <v>39</v>
      </c>
      <c r="E1294" t="str">
        <f t="shared" si="104"/>
        <v>36-45</v>
      </c>
      <c r="F1294" t="s">
        <v>46</v>
      </c>
      <c r="G1294" t="s">
        <v>47</v>
      </c>
      <c r="H1294" s="8" t="s">
        <v>40</v>
      </c>
      <c r="I1294" s="10">
        <v>20</v>
      </c>
      <c r="J1294" t="str">
        <f t="shared" si="100"/>
        <v>Far</v>
      </c>
      <c r="K1294">
        <v>3</v>
      </c>
      <c r="L1294" t="s">
        <v>41</v>
      </c>
      <c r="M1294">
        <v>3</v>
      </c>
      <c r="N1294">
        <v>3</v>
      </c>
      <c r="O1294">
        <v>2</v>
      </c>
      <c r="P1294" t="s">
        <v>42</v>
      </c>
      <c r="Q1294">
        <v>4</v>
      </c>
      <c r="R1294" s="11">
        <v>766</v>
      </c>
      <c r="S1294" s="14">
        <v>83</v>
      </c>
      <c r="T1294" s="13">
        <v>4127</v>
      </c>
      <c r="U1294" s="13">
        <f t="shared" si="101"/>
        <v>49524</v>
      </c>
      <c r="V1294" s="14">
        <v>19188</v>
      </c>
      <c r="W1294">
        <v>2</v>
      </c>
      <c r="X1294" s="8" t="s">
        <v>46</v>
      </c>
      <c r="Y1294" s="15">
        <v>0.18</v>
      </c>
      <c r="Z1294">
        <v>3</v>
      </c>
      <c r="AA1294">
        <v>4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 t="str">
        <f t="shared" si="102"/>
        <v>0-3</v>
      </c>
      <c r="AI1294">
        <v>2</v>
      </c>
      <c r="AJ1294" t="str">
        <f t="shared" si="103"/>
        <v>0-2</v>
      </c>
      <c r="AK1294">
        <v>2</v>
      </c>
    </row>
    <row r="1295" spans="1:37" x14ac:dyDescent="0.25">
      <c r="A1295" s="8">
        <v>1294</v>
      </c>
      <c r="B1295" t="s">
        <v>44</v>
      </c>
      <c r="C1295" t="s">
        <v>37</v>
      </c>
      <c r="D1295" s="8">
        <v>43</v>
      </c>
      <c r="E1295" t="str">
        <f t="shared" si="104"/>
        <v>36-45</v>
      </c>
      <c r="F1295" t="s">
        <v>46</v>
      </c>
      <c r="G1295" t="s">
        <v>58</v>
      </c>
      <c r="H1295" s="8" t="s">
        <v>48</v>
      </c>
      <c r="I1295" s="10">
        <v>9</v>
      </c>
      <c r="J1295" t="str">
        <f t="shared" si="100"/>
        <v>Moderate</v>
      </c>
      <c r="K1295">
        <v>3</v>
      </c>
      <c r="L1295" t="s">
        <v>41</v>
      </c>
      <c r="M1295">
        <v>1</v>
      </c>
      <c r="N1295">
        <v>3</v>
      </c>
      <c r="O1295">
        <v>1</v>
      </c>
      <c r="P1295" t="s">
        <v>49</v>
      </c>
      <c r="Q1295">
        <v>3</v>
      </c>
      <c r="R1295" s="11">
        <v>343</v>
      </c>
      <c r="S1295" s="14">
        <v>52</v>
      </c>
      <c r="T1295" s="13">
        <v>2438</v>
      </c>
      <c r="U1295" s="13">
        <f t="shared" si="101"/>
        <v>29256</v>
      </c>
      <c r="V1295" s="14">
        <v>24978</v>
      </c>
      <c r="W1295">
        <v>4</v>
      </c>
      <c r="X1295" s="8" t="s">
        <v>46</v>
      </c>
      <c r="Y1295" s="15">
        <v>0.13</v>
      </c>
      <c r="Z1295">
        <v>3</v>
      </c>
      <c r="AA1295">
        <v>3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 t="str">
        <f t="shared" si="102"/>
        <v>0-3</v>
      </c>
      <c r="AI1295">
        <v>1</v>
      </c>
      <c r="AJ1295" t="str">
        <f t="shared" si="103"/>
        <v>0-2</v>
      </c>
      <c r="AK1295">
        <v>2</v>
      </c>
    </row>
    <row r="1296" spans="1:37" x14ac:dyDescent="0.25">
      <c r="A1296" s="8">
        <v>1295</v>
      </c>
      <c r="B1296" t="s">
        <v>44</v>
      </c>
      <c r="C1296" t="s">
        <v>37</v>
      </c>
      <c r="D1296" s="8">
        <v>41</v>
      </c>
      <c r="E1296" t="str">
        <f t="shared" si="104"/>
        <v>36-45</v>
      </c>
      <c r="F1296" t="s">
        <v>46</v>
      </c>
      <c r="G1296" t="s">
        <v>39</v>
      </c>
      <c r="H1296" s="8" t="s">
        <v>48</v>
      </c>
      <c r="I1296" s="10">
        <v>5</v>
      </c>
      <c r="J1296" t="str">
        <f t="shared" si="100"/>
        <v>Near</v>
      </c>
      <c r="K1296">
        <v>3</v>
      </c>
      <c r="L1296" t="s">
        <v>41</v>
      </c>
      <c r="M1296">
        <v>2</v>
      </c>
      <c r="N1296">
        <v>4</v>
      </c>
      <c r="O1296">
        <v>2</v>
      </c>
      <c r="P1296" t="s">
        <v>56</v>
      </c>
      <c r="Q1296">
        <v>2</v>
      </c>
      <c r="R1296" s="11">
        <v>447</v>
      </c>
      <c r="S1296" s="14">
        <v>85</v>
      </c>
      <c r="T1296" s="13">
        <v>6870</v>
      </c>
      <c r="U1296" s="13">
        <f t="shared" si="101"/>
        <v>82440</v>
      </c>
      <c r="V1296" s="14">
        <v>15530</v>
      </c>
      <c r="W1296">
        <v>3</v>
      </c>
      <c r="X1296" s="8" t="s">
        <v>46</v>
      </c>
      <c r="Y1296" s="15">
        <v>0.12</v>
      </c>
      <c r="Z1296">
        <v>3</v>
      </c>
      <c r="AA1296">
        <v>1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 t="str">
        <f t="shared" si="102"/>
        <v>0-3</v>
      </c>
      <c r="AI1296">
        <v>1</v>
      </c>
      <c r="AJ1296" t="str">
        <f t="shared" si="103"/>
        <v>0-2</v>
      </c>
      <c r="AK1296">
        <v>2</v>
      </c>
    </row>
    <row r="1297" spans="1:37" x14ac:dyDescent="0.25">
      <c r="A1297" s="8">
        <v>1296</v>
      </c>
      <c r="B1297" t="s">
        <v>52</v>
      </c>
      <c r="C1297" t="s">
        <v>54</v>
      </c>
      <c r="D1297" s="8">
        <v>41</v>
      </c>
      <c r="E1297" t="str">
        <f t="shared" si="104"/>
        <v>36-45</v>
      </c>
      <c r="F1297" t="s">
        <v>46</v>
      </c>
      <c r="G1297" t="s">
        <v>39</v>
      </c>
      <c r="H1297" s="8" t="s">
        <v>40</v>
      </c>
      <c r="I1297" s="10">
        <v>4</v>
      </c>
      <c r="J1297" t="str">
        <f t="shared" si="100"/>
        <v>Near</v>
      </c>
      <c r="K1297">
        <v>1</v>
      </c>
      <c r="L1297" t="s">
        <v>62</v>
      </c>
      <c r="M1297">
        <v>3</v>
      </c>
      <c r="N1297">
        <v>3</v>
      </c>
      <c r="O1297">
        <v>3</v>
      </c>
      <c r="P1297" t="s">
        <v>42</v>
      </c>
      <c r="Q1297">
        <v>3</v>
      </c>
      <c r="R1297" s="11">
        <v>796</v>
      </c>
      <c r="S1297" s="14">
        <v>81</v>
      </c>
      <c r="T1297" s="13">
        <v>10447</v>
      </c>
      <c r="U1297" s="13">
        <f t="shared" si="101"/>
        <v>125364</v>
      </c>
      <c r="V1297" s="14">
        <v>26458</v>
      </c>
      <c r="W1297">
        <v>0</v>
      </c>
      <c r="X1297" s="8" t="s">
        <v>38</v>
      </c>
      <c r="Y1297" s="15">
        <v>0.13</v>
      </c>
      <c r="Z1297">
        <v>3</v>
      </c>
      <c r="AA1297">
        <v>4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 t="str">
        <f t="shared" si="102"/>
        <v>12-15</v>
      </c>
      <c r="AI1297">
        <v>13</v>
      </c>
      <c r="AJ1297" t="str">
        <f t="shared" si="103"/>
        <v>12-15</v>
      </c>
      <c r="AK1297">
        <v>5</v>
      </c>
    </row>
    <row r="1298" spans="1:37" x14ac:dyDescent="0.25">
      <c r="A1298" s="8">
        <v>1297</v>
      </c>
      <c r="B1298" t="s">
        <v>52</v>
      </c>
      <c r="C1298" t="s">
        <v>37</v>
      </c>
      <c r="D1298" s="8">
        <v>30</v>
      </c>
      <c r="E1298" t="str">
        <f t="shared" si="104"/>
        <v>26-35</v>
      </c>
      <c r="F1298" t="s">
        <v>46</v>
      </c>
      <c r="G1298" t="s">
        <v>39</v>
      </c>
      <c r="H1298" s="8" t="s">
        <v>48</v>
      </c>
      <c r="I1298" s="10">
        <v>10</v>
      </c>
      <c r="J1298" t="str">
        <f t="shared" si="100"/>
        <v>Moderate</v>
      </c>
      <c r="K1298">
        <v>3</v>
      </c>
      <c r="L1298" t="s">
        <v>53</v>
      </c>
      <c r="M1298">
        <v>1</v>
      </c>
      <c r="N1298">
        <v>3</v>
      </c>
      <c r="O1298">
        <v>3</v>
      </c>
      <c r="P1298" t="s">
        <v>55</v>
      </c>
      <c r="Q1298">
        <v>3</v>
      </c>
      <c r="R1298" s="11">
        <v>1092</v>
      </c>
      <c r="S1298" s="14">
        <v>64</v>
      </c>
      <c r="T1298" s="13">
        <v>9667</v>
      </c>
      <c r="U1298" s="13">
        <f t="shared" si="101"/>
        <v>116004</v>
      </c>
      <c r="V1298" s="14">
        <v>2739</v>
      </c>
      <c r="W1298">
        <v>9</v>
      </c>
      <c r="X1298" s="8" t="s">
        <v>46</v>
      </c>
      <c r="Y1298" s="15">
        <v>0.14000000000000001</v>
      </c>
      <c r="Z1298">
        <v>3</v>
      </c>
      <c r="AA1298">
        <v>2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 t="str">
        <f t="shared" si="102"/>
        <v>4-7</v>
      </c>
      <c r="AI1298">
        <v>0</v>
      </c>
      <c r="AJ1298" t="str">
        <f t="shared" si="103"/>
        <v>0-2</v>
      </c>
      <c r="AK1298">
        <v>2</v>
      </c>
    </row>
    <row r="1299" spans="1:37" x14ac:dyDescent="0.25">
      <c r="A1299" s="8">
        <v>1298</v>
      </c>
      <c r="B1299" t="s">
        <v>52</v>
      </c>
      <c r="C1299" t="s">
        <v>45</v>
      </c>
      <c r="D1299" s="8">
        <v>26</v>
      </c>
      <c r="E1299" t="str">
        <f t="shared" si="104"/>
        <v>26-35</v>
      </c>
      <c r="F1299" t="s">
        <v>38</v>
      </c>
      <c r="G1299" t="s">
        <v>39</v>
      </c>
      <c r="H1299" s="8" t="s">
        <v>64</v>
      </c>
      <c r="I1299" s="10">
        <v>20</v>
      </c>
      <c r="J1299" t="str">
        <f t="shared" si="100"/>
        <v>Far</v>
      </c>
      <c r="K1299">
        <v>2</v>
      </c>
      <c r="L1299" t="s">
        <v>53</v>
      </c>
      <c r="M1299">
        <v>4</v>
      </c>
      <c r="N1299">
        <v>3</v>
      </c>
      <c r="O1299">
        <v>1</v>
      </c>
      <c r="P1299" t="s">
        <v>64</v>
      </c>
      <c r="Q1299">
        <v>2</v>
      </c>
      <c r="R1299" s="11">
        <v>920</v>
      </c>
      <c r="S1299" s="14">
        <v>69</v>
      </c>
      <c r="T1299" s="13">
        <v>2148</v>
      </c>
      <c r="U1299" s="13">
        <f t="shared" si="101"/>
        <v>25776</v>
      </c>
      <c r="V1299" s="14">
        <v>6889</v>
      </c>
      <c r="W1299">
        <v>0</v>
      </c>
      <c r="X1299" s="8" t="s">
        <v>38</v>
      </c>
      <c r="Y1299" s="15">
        <v>0.11</v>
      </c>
      <c r="Z1299">
        <v>3</v>
      </c>
      <c r="AA1299">
        <v>3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 t="str">
        <f t="shared" si="102"/>
        <v>0-3</v>
      </c>
      <c r="AI1299">
        <v>1</v>
      </c>
      <c r="AJ1299" t="str">
        <f t="shared" si="103"/>
        <v>0-2</v>
      </c>
      <c r="AK1299">
        <v>4</v>
      </c>
    </row>
    <row r="1300" spans="1:37" x14ac:dyDescent="0.25">
      <c r="A1300" s="8">
        <v>1299</v>
      </c>
      <c r="B1300" t="s">
        <v>52</v>
      </c>
      <c r="C1300" t="s">
        <v>45</v>
      </c>
      <c r="D1300" s="8">
        <v>46</v>
      </c>
      <c r="E1300" t="str">
        <f t="shared" si="104"/>
        <v>46-55</v>
      </c>
      <c r="F1300" t="s">
        <v>38</v>
      </c>
      <c r="G1300" t="s">
        <v>39</v>
      </c>
      <c r="H1300" s="8" t="s">
        <v>48</v>
      </c>
      <c r="I1300" s="10">
        <v>21</v>
      </c>
      <c r="J1300" t="str">
        <f t="shared" si="100"/>
        <v>Far</v>
      </c>
      <c r="K1300">
        <v>2</v>
      </c>
      <c r="L1300" t="s">
        <v>53</v>
      </c>
      <c r="M1300">
        <v>4</v>
      </c>
      <c r="N1300">
        <v>3</v>
      </c>
      <c r="O1300">
        <v>2</v>
      </c>
      <c r="P1300" t="s">
        <v>56</v>
      </c>
      <c r="Q1300">
        <v>2</v>
      </c>
      <c r="R1300" s="11">
        <v>261</v>
      </c>
      <c r="S1300" s="14">
        <v>66</v>
      </c>
      <c r="T1300" s="13">
        <v>8926</v>
      </c>
      <c r="U1300" s="13">
        <f t="shared" si="101"/>
        <v>107112</v>
      </c>
      <c r="V1300" s="14">
        <v>10842</v>
      </c>
      <c r="W1300">
        <v>4</v>
      </c>
      <c r="X1300" s="8" t="s">
        <v>46</v>
      </c>
      <c r="Y1300" s="15">
        <v>0.22</v>
      </c>
      <c r="Z1300">
        <v>4</v>
      </c>
      <c r="AA1300">
        <v>4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 t="str">
        <f t="shared" si="102"/>
        <v>4-7</v>
      </c>
      <c r="AI1300">
        <v>3</v>
      </c>
      <c r="AJ1300" t="str">
        <f t="shared" si="103"/>
        <v>3-5</v>
      </c>
      <c r="AK1300">
        <v>7</v>
      </c>
    </row>
    <row r="1301" spans="1:37" x14ac:dyDescent="0.25">
      <c r="A1301" s="8">
        <v>1300</v>
      </c>
      <c r="B1301" t="s">
        <v>52</v>
      </c>
      <c r="C1301" t="s">
        <v>54</v>
      </c>
      <c r="D1301" s="8">
        <v>40</v>
      </c>
      <c r="E1301" t="str">
        <f t="shared" si="104"/>
        <v>36-45</v>
      </c>
      <c r="F1301" t="s">
        <v>46</v>
      </c>
      <c r="G1301" t="s">
        <v>39</v>
      </c>
      <c r="H1301" s="8" t="s">
        <v>48</v>
      </c>
      <c r="I1301" s="10">
        <v>1</v>
      </c>
      <c r="J1301" t="str">
        <f t="shared" si="100"/>
        <v>Near</v>
      </c>
      <c r="K1301">
        <v>3</v>
      </c>
      <c r="L1301" t="s">
        <v>41</v>
      </c>
      <c r="M1301">
        <v>3</v>
      </c>
      <c r="N1301">
        <v>3</v>
      </c>
      <c r="O1301">
        <v>2</v>
      </c>
      <c r="P1301" t="s">
        <v>56</v>
      </c>
      <c r="Q1301">
        <v>4</v>
      </c>
      <c r="R1301" s="11">
        <v>1194</v>
      </c>
      <c r="S1301" s="14">
        <v>52</v>
      </c>
      <c r="T1301" s="13">
        <v>6513</v>
      </c>
      <c r="U1301" s="13">
        <f t="shared" si="101"/>
        <v>78156</v>
      </c>
      <c r="V1301" s="14">
        <v>9060</v>
      </c>
      <c r="W1301">
        <v>4</v>
      </c>
      <c r="X1301" s="8" t="s">
        <v>46</v>
      </c>
      <c r="Y1301" s="15">
        <v>0.17</v>
      </c>
      <c r="Z1301">
        <v>3</v>
      </c>
      <c r="AA1301">
        <v>4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 t="str">
        <f t="shared" si="102"/>
        <v>0-3</v>
      </c>
      <c r="AI1301">
        <v>0</v>
      </c>
      <c r="AJ1301" t="str">
        <f t="shared" si="103"/>
        <v>0-2</v>
      </c>
      <c r="AK1301">
        <v>3</v>
      </c>
    </row>
    <row r="1302" spans="1:37" x14ac:dyDescent="0.25">
      <c r="A1302" s="8">
        <v>1301</v>
      </c>
      <c r="B1302" t="s">
        <v>44</v>
      </c>
      <c r="C1302" t="s">
        <v>45</v>
      </c>
      <c r="D1302" s="8">
        <v>34</v>
      </c>
      <c r="E1302" t="str">
        <f t="shared" si="104"/>
        <v>26-35</v>
      </c>
      <c r="F1302" t="s">
        <v>46</v>
      </c>
      <c r="G1302" t="s">
        <v>39</v>
      </c>
      <c r="H1302" s="8" t="s">
        <v>40</v>
      </c>
      <c r="I1302" s="10">
        <v>8</v>
      </c>
      <c r="J1302" t="str">
        <f t="shared" si="100"/>
        <v>Moderate</v>
      </c>
      <c r="K1302">
        <v>2</v>
      </c>
      <c r="L1302" t="s">
        <v>63</v>
      </c>
      <c r="M1302">
        <v>2</v>
      </c>
      <c r="N1302">
        <v>4</v>
      </c>
      <c r="O1302">
        <v>2</v>
      </c>
      <c r="P1302" t="s">
        <v>42</v>
      </c>
      <c r="Q1302">
        <v>3</v>
      </c>
      <c r="R1302" s="11">
        <v>810</v>
      </c>
      <c r="S1302" s="14">
        <v>92</v>
      </c>
      <c r="T1302" s="13">
        <v>6799</v>
      </c>
      <c r="U1302" s="13">
        <f t="shared" si="101"/>
        <v>81588</v>
      </c>
      <c r="V1302" s="14">
        <v>22128</v>
      </c>
      <c r="W1302">
        <v>1</v>
      </c>
      <c r="X1302" s="8" t="s">
        <v>46</v>
      </c>
      <c r="Y1302" s="15">
        <v>0.21</v>
      </c>
      <c r="Z1302">
        <v>4</v>
      </c>
      <c r="AA1302">
        <v>3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 t="str">
        <f t="shared" si="102"/>
        <v>8-11</v>
      </c>
      <c r="AI1302">
        <v>4</v>
      </c>
      <c r="AJ1302" t="str">
        <f t="shared" si="103"/>
        <v>3-5</v>
      </c>
      <c r="AK1302">
        <v>8</v>
      </c>
    </row>
    <row r="1303" spans="1:37" x14ac:dyDescent="0.25">
      <c r="A1303" s="8">
        <v>1302</v>
      </c>
      <c r="B1303" t="s">
        <v>44</v>
      </c>
      <c r="C1303" t="s">
        <v>54</v>
      </c>
      <c r="D1303" s="8">
        <v>58</v>
      </c>
      <c r="E1303" t="str">
        <f t="shared" si="104"/>
        <v>55+</v>
      </c>
      <c r="F1303" t="s">
        <v>46</v>
      </c>
      <c r="G1303" t="s">
        <v>58</v>
      </c>
      <c r="H1303" s="8" t="s">
        <v>40</v>
      </c>
      <c r="I1303" s="10">
        <v>2</v>
      </c>
      <c r="J1303" t="str">
        <f t="shared" si="100"/>
        <v>Near</v>
      </c>
      <c r="K1303">
        <v>3</v>
      </c>
      <c r="L1303" t="s">
        <v>53</v>
      </c>
      <c r="M1303">
        <v>2</v>
      </c>
      <c r="N1303">
        <v>3</v>
      </c>
      <c r="O1303">
        <v>4</v>
      </c>
      <c r="P1303" t="s">
        <v>59</v>
      </c>
      <c r="Q1303">
        <v>2</v>
      </c>
      <c r="R1303" s="11">
        <v>350</v>
      </c>
      <c r="S1303" s="14">
        <v>52</v>
      </c>
      <c r="T1303" s="13">
        <v>16291</v>
      </c>
      <c r="U1303" s="13">
        <f t="shared" si="101"/>
        <v>195492</v>
      </c>
      <c r="V1303" s="14">
        <v>22577</v>
      </c>
      <c r="W1303">
        <v>4</v>
      </c>
      <c r="X1303" s="8" t="s">
        <v>46</v>
      </c>
      <c r="Y1303" s="15">
        <v>0.22</v>
      </c>
      <c r="Z1303">
        <v>4</v>
      </c>
      <c r="AA1303">
        <v>4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 t="str">
        <f t="shared" si="102"/>
        <v>8-11</v>
      </c>
      <c r="AI1303">
        <v>14</v>
      </c>
      <c r="AJ1303" t="str">
        <f t="shared" si="103"/>
        <v>12-15</v>
      </c>
      <c r="AK1303">
        <v>14</v>
      </c>
    </row>
    <row r="1304" spans="1:37" x14ac:dyDescent="0.25">
      <c r="A1304" s="8">
        <v>1303</v>
      </c>
      <c r="B1304" t="s">
        <v>44</v>
      </c>
      <c r="C1304" t="s">
        <v>45</v>
      </c>
      <c r="D1304" s="8">
        <v>35</v>
      </c>
      <c r="E1304" t="str">
        <f t="shared" si="104"/>
        <v>26-35</v>
      </c>
      <c r="F1304" t="s">
        <v>46</v>
      </c>
      <c r="G1304" t="s">
        <v>39</v>
      </c>
      <c r="H1304" s="8" t="s">
        <v>48</v>
      </c>
      <c r="I1304" s="10">
        <v>23</v>
      </c>
      <c r="J1304" t="str">
        <f t="shared" si="100"/>
        <v>Far</v>
      </c>
      <c r="K1304">
        <v>4</v>
      </c>
      <c r="L1304" t="s">
        <v>53</v>
      </c>
      <c r="M1304">
        <v>2</v>
      </c>
      <c r="N1304">
        <v>1</v>
      </c>
      <c r="O1304">
        <v>1</v>
      </c>
      <c r="P1304" t="s">
        <v>51</v>
      </c>
      <c r="Q1304">
        <v>3</v>
      </c>
      <c r="R1304" s="11">
        <v>185</v>
      </c>
      <c r="S1304" s="14">
        <v>91</v>
      </c>
      <c r="T1304" s="13">
        <v>2705</v>
      </c>
      <c r="U1304" s="13">
        <f t="shared" si="101"/>
        <v>32460</v>
      </c>
      <c r="V1304" s="14">
        <v>9696</v>
      </c>
      <c r="W1304">
        <v>0</v>
      </c>
      <c r="X1304" s="8" t="s">
        <v>46</v>
      </c>
      <c r="Y1304" s="15">
        <v>0.16</v>
      </c>
      <c r="Z1304">
        <v>3</v>
      </c>
      <c r="AA1304">
        <v>2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 t="str">
        <f t="shared" si="102"/>
        <v>4-7</v>
      </c>
      <c r="AI1304">
        <v>0</v>
      </c>
      <c r="AJ1304" t="str">
        <f t="shared" si="103"/>
        <v>0-2</v>
      </c>
      <c r="AK1304">
        <v>3</v>
      </c>
    </row>
    <row r="1305" spans="1:37" x14ac:dyDescent="0.25">
      <c r="A1305" s="8">
        <v>1304</v>
      </c>
      <c r="B1305" t="s">
        <v>52</v>
      </c>
      <c r="C1305" t="s">
        <v>54</v>
      </c>
      <c r="D1305" s="8">
        <v>47</v>
      </c>
      <c r="E1305" t="str">
        <f t="shared" si="104"/>
        <v>46-55</v>
      </c>
      <c r="F1305" t="s">
        <v>46</v>
      </c>
      <c r="G1305" t="s">
        <v>39</v>
      </c>
      <c r="H1305" s="8" t="s">
        <v>48</v>
      </c>
      <c r="I1305" s="10">
        <v>4</v>
      </c>
      <c r="J1305" t="str">
        <f t="shared" si="100"/>
        <v>Near</v>
      </c>
      <c r="K1305">
        <v>3</v>
      </c>
      <c r="L1305" t="s">
        <v>41</v>
      </c>
      <c r="M1305">
        <v>3</v>
      </c>
      <c r="N1305">
        <v>2</v>
      </c>
      <c r="O1305">
        <v>3</v>
      </c>
      <c r="P1305" t="s">
        <v>55</v>
      </c>
      <c r="Q1305">
        <v>2</v>
      </c>
      <c r="R1305" s="11">
        <v>1001</v>
      </c>
      <c r="S1305" s="14">
        <v>92</v>
      </c>
      <c r="T1305" s="13">
        <v>10333</v>
      </c>
      <c r="U1305" s="13">
        <f t="shared" si="101"/>
        <v>123996</v>
      </c>
      <c r="V1305" s="14">
        <v>19271</v>
      </c>
      <c r="W1305">
        <v>8</v>
      </c>
      <c r="X1305" s="8" t="s">
        <v>38</v>
      </c>
      <c r="Y1305" s="15">
        <v>0.12</v>
      </c>
      <c r="Z1305">
        <v>3</v>
      </c>
      <c r="AA1305">
        <v>3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 t="str">
        <f t="shared" si="102"/>
        <v>8-11</v>
      </c>
      <c r="AI1305">
        <v>14</v>
      </c>
      <c r="AJ1305" t="str">
        <f t="shared" si="103"/>
        <v>12-15</v>
      </c>
      <c r="AK1305">
        <v>10</v>
      </c>
    </row>
    <row r="1306" spans="1:37" x14ac:dyDescent="0.25">
      <c r="A1306" s="8">
        <v>1305</v>
      </c>
      <c r="B1306" t="s">
        <v>52</v>
      </c>
      <c r="C1306" t="s">
        <v>54</v>
      </c>
      <c r="D1306" s="8">
        <v>40</v>
      </c>
      <c r="E1306" t="str">
        <f t="shared" si="104"/>
        <v>36-45</v>
      </c>
      <c r="F1306" t="s">
        <v>46</v>
      </c>
      <c r="G1306" t="s">
        <v>39</v>
      </c>
      <c r="H1306" s="8" t="s">
        <v>48</v>
      </c>
      <c r="I1306" s="10">
        <v>12</v>
      </c>
      <c r="J1306" t="str">
        <f t="shared" si="100"/>
        <v>Moderate</v>
      </c>
      <c r="K1306">
        <v>3</v>
      </c>
      <c r="L1306" t="s">
        <v>41</v>
      </c>
      <c r="M1306">
        <v>2</v>
      </c>
      <c r="N1306">
        <v>3</v>
      </c>
      <c r="O1306">
        <v>2</v>
      </c>
      <c r="P1306" t="s">
        <v>56</v>
      </c>
      <c r="Q1306">
        <v>1</v>
      </c>
      <c r="R1306" s="11">
        <v>750</v>
      </c>
      <c r="S1306" s="14">
        <v>47</v>
      </c>
      <c r="T1306" s="13">
        <v>4448</v>
      </c>
      <c r="U1306" s="13">
        <f t="shared" si="101"/>
        <v>53376</v>
      </c>
      <c r="V1306" s="14">
        <v>10748</v>
      </c>
      <c r="W1306">
        <v>2</v>
      </c>
      <c r="X1306" s="8" t="s">
        <v>46</v>
      </c>
      <c r="Y1306" s="15">
        <v>0.12</v>
      </c>
      <c r="Z1306">
        <v>3</v>
      </c>
      <c r="AA1306">
        <v>2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 t="str">
        <f t="shared" si="102"/>
        <v>4-7</v>
      </c>
      <c r="AI1306">
        <v>7</v>
      </c>
      <c r="AJ1306" t="str">
        <f t="shared" si="103"/>
        <v>6-8</v>
      </c>
      <c r="AK1306">
        <v>7</v>
      </c>
    </row>
    <row r="1307" spans="1:37" x14ac:dyDescent="0.25">
      <c r="A1307" s="8">
        <v>1306</v>
      </c>
      <c r="B1307" t="s">
        <v>52</v>
      </c>
      <c r="C1307" t="s">
        <v>45</v>
      </c>
      <c r="D1307" s="8">
        <v>54</v>
      </c>
      <c r="E1307" t="str">
        <f t="shared" si="104"/>
        <v>46-55</v>
      </c>
      <c r="F1307" t="s">
        <v>46</v>
      </c>
      <c r="G1307" t="s">
        <v>39</v>
      </c>
      <c r="H1307" s="8" t="s">
        <v>48</v>
      </c>
      <c r="I1307" s="10">
        <v>7</v>
      </c>
      <c r="J1307" t="str">
        <f t="shared" si="100"/>
        <v>Moderate</v>
      </c>
      <c r="K1307">
        <v>4</v>
      </c>
      <c r="L1307" t="s">
        <v>53</v>
      </c>
      <c r="M1307">
        <v>4</v>
      </c>
      <c r="N1307">
        <v>3</v>
      </c>
      <c r="O1307">
        <v>2</v>
      </c>
      <c r="P1307" t="s">
        <v>49</v>
      </c>
      <c r="Q1307">
        <v>4</v>
      </c>
      <c r="R1307" s="11">
        <v>431</v>
      </c>
      <c r="S1307" s="14">
        <v>68</v>
      </c>
      <c r="T1307" s="13">
        <v>6854</v>
      </c>
      <c r="U1307" s="13">
        <f t="shared" si="101"/>
        <v>82248</v>
      </c>
      <c r="V1307" s="14">
        <v>15696</v>
      </c>
      <c r="W1307">
        <v>4</v>
      </c>
      <c r="X1307" s="8" t="s">
        <v>46</v>
      </c>
      <c r="Y1307" s="15">
        <v>0.15</v>
      </c>
      <c r="Z1307">
        <v>3</v>
      </c>
      <c r="AA1307">
        <v>2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 t="str">
        <f t="shared" si="102"/>
        <v>0-3</v>
      </c>
      <c r="AI1307">
        <v>1</v>
      </c>
      <c r="AJ1307" t="str">
        <f t="shared" si="103"/>
        <v>0-2</v>
      </c>
      <c r="AK1307">
        <v>7</v>
      </c>
    </row>
    <row r="1308" spans="1:37" x14ac:dyDescent="0.25">
      <c r="A1308" s="8">
        <v>1307</v>
      </c>
      <c r="B1308" t="s">
        <v>52</v>
      </c>
      <c r="C1308" t="s">
        <v>45</v>
      </c>
      <c r="D1308" s="8">
        <v>31</v>
      </c>
      <c r="E1308" t="str">
        <f t="shared" si="104"/>
        <v>26-35</v>
      </c>
      <c r="F1308" t="s">
        <v>46</v>
      </c>
      <c r="G1308" t="s">
        <v>47</v>
      </c>
      <c r="H1308" s="8" t="s">
        <v>40</v>
      </c>
      <c r="I1308" s="10">
        <v>7</v>
      </c>
      <c r="J1308" t="str">
        <f t="shared" si="100"/>
        <v>Moderate</v>
      </c>
      <c r="K1308">
        <v>4</v>
      </c>
      <c r="L1308" t="s">
        <v>62</v>
      </c>
      <c r="M1308">
        <v>1</v>
      </c>
      <c r="N1308">
        <v>3</v>
      </c>
      <c r="O1308">
        <v>3</v>
      </c>
      <c r="P1308" t="s">
        <v>42</v>
      </c>
      <c r="Q1308">
        <v>1</v>
      </c>
      <c r="R1308" s="11">
        <v>1125</v>
      </c>
      <c r="S1308" s="14">
        <v>68</v>
      </c>
      <c r="T1308" s="13">
        <v>9637</v>
      </c>
      <c r="U1308" s="13">
        <f t="shared" si="101"/>
        <v>115644</v>
      </c>
      <c r="V1308" s="14">
        <v>8277</v>
      </c>
      <c r="W1308">
        <v>2</v>
      </c>
      <c r="X1308" s="8" t="s">
        <v>46</v>
      </c>
      <c r="Y1308" s="15">
        <v>0.14000000000000001</v>
      </c>
      <c r="Z1308">
        <v>3</v>
      </c>
      <c r="AA1308">
        <v>4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 t="str">
        <f t="shared" si="102"/>
        <v>0-3</v>
      </c>
      <c r="AI1308">
        <v>2</v>
      </c>
      <c r="AJ1308" t="str">
        <f t="shared" si="103"/>
        <v>0-2</v>
      </c>
      <c r="AK1308">
        <v>2</v>
      </c>
    </row>
    <row r="1309" spans="1:37" x14ac:dyDescent="0.25">
      <c r="A1309" s="8">
        <v>1308</v>
      </c>
      <c r="B1309" t="s">
        <v>52</v>
      </c>
      <c r="C1309" t="s">
        <v>45</v>
      </c>
      <c r="D1309" s="8">
        <v>28</v>
      </c>
      <c r="E1309" t="str">
        <f t="shared" si="104"/>
        <v>26-35</v>
      </c>
      <c r="F1309" t="s">
        <v>46</v>
      </c>
      <c r="G1309" t="s">
        <v>39</v>
      </c>
      <c r="H1309" s="8" t="s">
        <v>48</v>
      </c>
      <c r="I1309" s="10">
        <v>1</v>
      </c>
      <c r="J1309" t="str">
        <f t="shared" si="100"/>
        <v>Near</v>
      </c>
      <c r="K1309">
        <v>3</v>
      </c>
      <c r="L1309" t="s">
        <v>53</v>
      </c>
      <c r="M1309">
        <v>3</v>
      </c>
      <c r="N1309">
        <v>3</v>
      </c>
      <c r="O1309">
        <v>1</v>
      </c>
      <c r="P1309" t="s">
        <v>49</v>
      </c>
      <c r="Q1309">
        <v>1</v>
      </c>
      <c r="R1309" s="11">
        <v>1217</v>
      </c>
      <c r="S1309" s="14">
        <v>67</v>
      </c>
      <c r="T1309" s="13">
        <v>3591</v>
      </c>
      <c r="U1309" s="13">
        <f t="shared" si="101"/>
        <v>43092</v>
      </c>
      <c r="V1309" s="14">
        <v>12719</v>
      </c>
      <c r="W1309">
        <v>1</v>
      </c>
      <c r="X1309" s="8" t="s">
        <v>46</v>
      </c>
      <c r="Y1309" s="15">
        <v>0.25</v>
      </c>
      <c r="Z1309">
        <v>4</v>
      </c>
      <c r="AA1309">
        <v>3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 t="str">
        <f t="shared" si="102"/>
        <v>0-3</v>
      </c>
      <c r="AI1309">
        <v>1</v>
      </c>
      <c r="AJ1309" t="str">
        <f t="shared" si="103"/>
        <v>0-2</v>
      </c>
      <c r="AK1309">
        <v>2</v>
      </c>
    </row>
    <row r="1310" spans="1:37" x14ac:dyDescent="0.25">
      <c r="A1310" s="8">
        <v>1309</v>
      </c>
      <c r="B1310" t="s">
        <v>52</v>
      </c>
      <c r="C1310" t="s">
        <v>45</v>
      </c>
      <c r="D1310" s="8">
        <v>38</v>
      </c>
      <c r="E1310" t="str">
        <f t="shared" si="104"/>
        <v>36-45</v>
      </c>
      <c r="F1310" t="s">
        <v>46</v>
      </c>
      <c r="G1310" t="s">
        <v>39</v>
      </c>
      <c r="H1310" s="8" t="s">
        <v>40</v>
      </c>
      <c r="I1310" s="10">
        <v>2</v>
      </c>
      <c r="J1310" t="str">
        <f t="shared" si="100"/>
        <v>Near</v>
      </c>
      <c r="K1310">
        <v>4</v>
      </c>
      <c r="L1310" t="s">
        <v>62</v>
      </c>
      <c r="M1310">
        <v>2</v>
      </c>
      <c r="N1310">
        <v>1</v>
      </c>
      <c r="O1310">
        <v>2</v>
      </c>
      <c r="P1310" t="s">
        <v>60</v>
      </c>
      <c r="Q1310">
        <v>4</v>
      </c>
      <c r="R1310" s="11">
        <v>723</v>
      </c>
      <c r="S1310" s="14">
        <v>77</v>
      </c>
      <c r="T1310" s="13">
        <v>5405</v>
      </c>
      <c r="U1310" s="13">
        <f t="shared" si="101"/>
        <v>64860</v>
      </c>
      <c r="V1310" s="14">
        <v>4244</v>
      </c>
      <c r="W1310">
        <v>2</v>
      </c>
      <c r="X1310" s="8" t="s">
        <v>38</v>
      </c>
      <c r="Y1310" s="15">
        <v>0.2</v>
      </c>
      <c r="Z1310">
        <v>4</v>
      </c>
      <c r="AA1310">
        <v>1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 t="str">
        <f t="shared" si="102"/>
        <v>0-3</v>
      </c>
      <c r="AI1310">
        <v>0</v>
      </c>
      <c r="AJ1310" t="str">
        <f t="shared" si="103"/>
        <v>0-2</v>
      </c>
      <c r="AK1310">
        <v>3</v>
      </c>
    </row>
    <row r="1311" spans="1:37" x14ac:dyDescent="0.25">
      <c r="A1311" s="8">
        <v>1310</v>
      </c>
      <c r="B1311" t="s">
        <v>44</v>
      </c>
      <c r="C1311" t="s">
        <v>37</v>
      </c>
      <c r="D1311" s="8">
        <v>26</v>
      </c>
      <c r="E1311" t="str">
        <f t="shared" si="104"/>
        <v>26-35</v>
      </c>
      <c r="F1311" t="s">
        <v>46</v>
      </c>
      <c r="G1311" t="s">
        <v>39</v>
      </c>
      <c r="H1311" s="8" t="s">
        <v>40</v>
      </c>
      <c r="I1311" s="10">
        <v>10</v>
      </c>
      <c r="J1311" t="str">
        <f t="shared" si="100"/>
        <v>Moderate</v>
      </c>
      <c r="K1311">
        <v>3</v>
      </c>
      <c r="L1311" t="s">
        <v>53</v>
      </c>
      <c r="M1311">
        <v>3</v>
      </c>
      <c r="N1311">
        <v>3</v>
      </c>
      <c r="O1311">
        <v>2</v>
      </c>
      <c r="P1311" t="s">
        <v>42</v>
      </c>
      <c r="Q1311">
        <v>4</v>
      </c>
      <c r="R1311" s="11">
        <v>572</v>
      </c>
      <c r="S1311" s="14">
        <v>46</v>
      </c>
      <c r="T1311" s="13">
        <v>4684</v>
      </c>
      <c r="U1311" s="13">
        <f t="shared" si="101"/>
        <v>56208</v>
      </c>
      <c r="V1311" s="14">
        <v>9125</v>
      </c>
      <c r="W1311">
        <v>1</v>
      </c>
      <c r="X1311" s="8" t="s">
        <v>46</v>
      </c>
      <c r="Y1311" s="15">
        <v>0.13</v>
      </c>
      <c r="Z1311">
        <v>3</v>
      </c>
      <c r="AA1311">
        <v>1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 t="str">
        <f t="shared" si="102"/>
        <v>0-3</v>
      </c>
      <c r="AI1311">
        <v>1</v>
      </c>
      <c r="AJ1311" t="str">
        <f t="shared" si="103"/>
        <v>0-2</v>
      </c>
      <c r="AK1311">
        <v>2</v>
      </c>
    </row>
    <row r="1312" spans="1:37" x14ac:dyDescent="0.25">
      <c r="A1312" s="8">
        <v>1311</v>
      </c>
      <c r="B1312" t="s">
        <v>44</v>
      </c>
      <c r="C1312" t="s">
        <v>45</v>
      </c>
      <c r="D1312" s="8">
        <v>58</v>
      </c>
      <c r="E1312" t="str">
        <f t="shared" si="104"/>
        <v>55+</v>
      </c>
      <c r="F1312" t="s">
        <v>46</v>
      </c>
      <c r="G1312" t="s">
        <v>47</v>
      </c>
      <c r="H1312" s="8" t="s">
        <v>48</v>
      </c>
      <c r="I1312" s="10">
        <v>15</v>
      </c>
      <c r="J1312" t="str">
        <f t="shared" si="100"/>
        <v>Moderate</v>
      </c>
      <c r="K1312">
        <v>4</v>
      </c>
      <c r="L1312" t="s">
        <v>41</v>
      </c>
      <c r="M1312">
        <v>1</v>
      </c>
      <c r="N1312">
        <v>3</v>
      </c>
      <c r="O1312">
        <v>4</v>
      </c>
      <c r="P1312" t="s">
        <v>61</v>
      </c>
      <c r="Q1312">
        <v>3</v>
      </c>
      <c r="R1312" s="11">
        <v>1216</v>
      </c>
      <c r="S1312" s="14">
        <v>87</v>
      </c>
      <c r="T1312" s="13">
        <v>15787</v>
      </c>
      <c r="U1312" s="13">
        <f t="shared" si="101"/>
        <v>189444</v>
      </c>
      <c r="V1312" s="14">
        <v>21624</v>
      </c>
      <c r="W1312">
        <v>2</v>
      </c>
      <c r="X1312" s="8" t="s">
        <v>38</v>
      </c>
      <c r="Y1312" s="15">
        <v>0.14000000000000001</v>
      </c>
      <c r="Z1312">
        <v>3</v>
      </c>
      <c r="AA1312">
        <v>2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 t="str">
        <f t="shared" si="102"/>
        <v>0-3</v>
      </c>
      <c r="AI1312">
        <v>2</v>
      </c>
      <c r="AJ1312" t="str">
        <f t="shared" si="103"/>
        <v>0-2</v>
      </c>
      <c r="AK1312">
        <v>2</v>
      </c>
    </row>
    <row r="1313" spans="1:37" x14ac:dyDescent="0.25">
      <c r="A1313" s="8">
        <v>1312</v>
      </c>
      <c r="B1313" t="s">
        <v>52</v>
      </c>
      <c r="C1313" t="s">
        <v>37</v>
      </c>
      <c r="D1313" s="8">
        <v>18</v>
      </c>
      <c r="E1313" t="str">
        <f t="shared" si="104"/>
        <v>18-25</v>
      </c>
      <c r="F1313" t="s">
        <v>46</v>
      </c>
      <c r="G1313" t="s">
        <v>58</v>
      </c>
      <c r="H1313" s="8" t="s">
        <v>48</v>
      </c>
      <c r="I1313" s="10">
        <v>14</v>
      </c>
      <c r="J1313" t="str">
        <f t="shared" si="100"/>
        <v>Moderate</v>
      </c>
      <c r="K1313">
        <v>3</v>
      </c>
      <c r="L1313" t="s">
        <v>53</v>
      </c>
      <c r="M1313">
        <v>2</v>
      </c>
      <c r="N1313">
        <v>3</v>
      </c>
      <c r="O1313">
        <v>1</v>
      </c>
      <c r="P1313" t="s">
        <v>49</v>
      </c>
      <c r="Q1313">
        <v>3</v>
      </c>
      <c r="R1313" s="11">
        <v>1431</v>
      </c>
      <c r="S1313" s="14">
        <v>33</v>
      </c>
      <c r="T1313" s="13">
        <v>1514</v>
      </c>
      <c r="U1313" s="13">
        <f t="shared" si="101"/>
        <v>18168</v>
      </c>
      <c r="V1313" s="14">
        <v>8018</v>
      </c>
      <c r="W1313">
        <v>1</v>
      </c>
      <c r="X1313" s="8" t="s">
        <v>46</v>
      </c>
      <c r="Y1313" s="15">
        <v>0.16</v>
      </c>
      <c r="Z1313">
        <v>3</v>
      </c>
      <c r="AA1313">
        <v>3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 t="str">
        <f t="shared" si="102"/>
        <v>0-3</v>
      </c>
      <c r="AI1313">
        <v>0</v>
      </c>
      <c r="AJ1313" t="str">
        <f t="shared" si="103"/>
        <v>0-2</v>
      </c>
      <c r="AK1313">
        <v>0</v>
      </c>
    </row>
    <row r="1314" spans="1:37" x14ac:dyDescent="0.25">
      <c r="A1314" s="8">
        <v>1313</v>
      </c>
      <c r="B1314" t="s">
        <v>44</v>
      </c>
      <c r="C1314" t="s">
        <v>45</v>
      </c>
      <c r="D1314" s="8">
        <v>31</v>
      </c>
      <c r="E1314" t="str">
        <f t="shared" si="104"/>
        <v>26-35</v>
      </c>
      <c r="F1314" t="s">
        <v>38</v>
      </c>
      <c r="G1314" t="s">
        <v>39</v>
      </c>
      <c r="H1314" s="8" t="s">
        <v>64</v>
      </c>
      <c r="I1314" s="10">
        <v>18</v>
      </c>
      <c r="J1314" t="str">
        <f t="shared" si="100"/>
        <v>Far</v>
      </c>
      <c r="K1314">
        <v>5</v>
      </c>
      <c r="L1314" t="s">
        <v>64</v>
      </c>
      <c r="M1314">
        <v>4</v>
      </c>
      <c r="N1314">
        <v>4</v>
      </c>
      <c r="O1314">
        <v>1</v>
      </c>
      <c r="P1314" t="s">
        <v>64</v>
      </c>
      <c r="Q1314">
        <v>1</v>
      </c>
      <c r="R1314" s="11">
        <v>359</v>
      </c>
      <c r="S1314" s="14">
        <v>89</v>
      </c>
      <c r="T1314" s="13">
        <v>2956</v>
      </c>
      <c r="U1314" s="13">
        <f t="shared" si="101"/>
        <v>35472</v>
      </c>
      <c r="V1314" s="14">
        <v>21495</v>
      </c>
      <c r="W1314">
        <v>0</v>
      </c>
      <c r="X1314" s="8" t="s">
        <v>46</v>
      </c>
      <c r="Y1314" s="15">
        <v>0.17</v>
      </c>
      <c r="Z1314">
        <v>3</v>
      </c>
      <c r="AA1314">
        <v>3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 t="str">
        <f t="shared" si="102"/>
        <v>0-3</v>
      </c>
      <c r="AI1314">
        <v>0</v>
      </c>
      <c r="AJ1314" t="str">
        <f t="shared" si="103"/>
        <v>0-2</v>
      </c>
      <c r="AK1314">
        <v>0</v>
      </c>
    </row>
    <row r="1315" spans="1:37" x14ac:dyDescent="0.25">
      <c r="A1315" s="8">
        <v>1314</v>
      </c>
      <c r="B1315" t="s">
        <v>44</v>
      </c>
      <c r="C1315" t="s">
        <v>54</v>
      </c>
      <c r="D1315" s="8">
        <v>29</v>
      </c>
      <c r="E1315" t="str">
        <f t="shared" si="104"/>
        <v>26-35</v>
      </c>
      <c r="F1315" t="s">
        <v>38</v>
      </c>
      <c r="G1315" t="s">
        <v>39</v>
      </c>
      <c r="H1315" s="8" t="s">
        <v>64</v>
      </c>
      <c r="I1315" s="10">
        <v>13</v>
      </c>
      <c r="J1315" t="str">
        <f t="shared" si="100"/>
        <v>Moderate</v>
      </c>
      <c r="K1315">
        <v>3</v>
      </c>
      <c r="L1315" t="s">
        <v>64</v>
      </c>
      <c r="M1315">
        <v>1</v>
      </c>
      <c r="N1315">
        <v>2</v>
      </c>
      <c r="O1315">
        <v>1</v>
      </c>
      <c r="P1315" t="s">
        <v>64</v>
      </c>
      <c r="Q1315">
        <v>1</v>
      </c>
      <c r="R1315" s="11">
        <v>350</v>
      </c>
      <c r="S1315" s="14">
        <v>56</v>
      </c>
      <c r="T1315" s="13">
        <v>2335</v>
      </c>
      <c r="U1315" s="13">
        <f t="shared" si="101"/>
        <v>28020</v>
      </c>
      <c r="V1315" s="14">
        <v>3157</v>
      </c>
      <c r="W1315">
        <v>4</v>
      </c>
      <c r="X1315" s="8" t="s">
        <v>38</v>
      </c>
      <c r="Y1315" s="15">
        <v>0.15</v>
      </c>
      <c r="Z1315">
        <v>3</v>
      </c>
      <c r="AA1315">
        <v>4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 t="str">
        <f t="shared" si="102"/>
        <v>0-3</v>
      </c>
      <c r="AI1315">
        <v>2</v>
      </c>
      <c r="AJ1315" t="str">
        <f t="shared" si="103"/>
        <v>0-2</v>
      </c>
      <c r="AK1315">
        <v>0</v>
      </c>
    </row>
    <row r="1316" spans="1:37" x14ac:dyDescent="0.25">
      <c r="A1316" s="8">
        <v>1315</v>
      </c>
      <c r="B1316" t="s">
        <v>52</v>
      </c>
      <c r="C1316" t="s">
        <v>45</v>
      </c>
      <c r="D1316" s="8">
        <v>45</v>
      </c>
      <c r="E1316" t="str">
        <f t="shared" si="104"/>
        <v>36-45</v>
      </c>
      <c r="F1316" t="s">
        <v>46</v>
      </c>
      <c r="G1316" t="s">
        <v>58</v>
      </c>
      <c r="H1316" s="8" t="s">
        <v>40</v>
      </c>
      <c r="I1316" s="10">
        <v>2</v>
      </c>
      <c r="J1316" t="str">
        <f t="shared" si="100"/>
        <v>Near</v>
      </c>
      <c r="K1316">
        <v>4</v>
      </c>
      <c r="L1316" t="s">
        <v>41</v>
      </c>
      <c r="M1316">
        <v>3</v>
      </c>
      <c r="N1316">
        <v>3</v>
      </c>
      <c r="O1316">
        <v>2</v>
      </c>
      <c r="P1316" t="s">
        <v>42</v>
      </c>
      <c r="Q1316">
        <v>3</v>
      </c>
      <c r="R1316" s="11">
        <v>589</v>
      </c>
      <c r="S1316" s="14">
        <v>67</v>
      </c>
      <c r="T1316" s="13">
        <v>5154</v>
      </c>
      <c r="U1316" s="13">
        <f t="shared" si="101"/>
        <v>61848</v>
      </c>
      <c r="V1316" s="14">
        <v>19665</v>
      </c>
      <c r="W1316">
        <v>4</v>
      </c>
      <c r="X1316" s="8" t="s">
        <v>46</v>
      </c>
      <c r="Y1316" s="15">
        <v>0.22</v>
      </c>
      <c r="Z1316">
        <v>4</v>
      </c>
      <c r="AA1316">
        <v>2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 t="str">
        <f t="shared" si="102"/>
        <v>4-7</v>
      </c>
      <c r="AI1316">
        <v>5</v>
      </c>
      <c r="AJ1316" t="str">
        <f t="shared" si="103"/>
        <v>3-5</v>
      </c>
      <c r="AK1316">
        <v>7</v>
      </c>
    </row>
    <row r="1317" spans="1:37" x14ac:dyDescent="0.25">
      <c r="A1317" s="8">
        <v>1316</v>
      </c>
      <c r="B1317" t="s">
        <v>52</v>
      </c>
      <c r="C1317" t="s">
        <v>45</v>
      </c>
      <c r="D1317" s="8">
        <v>36</v>
      </c>
      <c r="E1317" t="str">
        <f t="shared" si="104"/>
        <v>36-45</v>
      </c>
      <c r="F1317" t="s">
        <v>46</v>
      </c>
      <c r="G1317" t="s">
        <v>39</v>
      </c>
      <c r="H1317" s="8" t="s">
        <v>48</v>
      </c>
      <c r="I1317" s="10">
        <v>2</v>
      </c>
      <c r="J1317" t="str">
        <f t="shared" si="100"/>
        <v>Near</v>
      </c>
      <c r="K1317">
        <v>4</v>
      </c>
      <c r="L1317" t="s">
        <v>50</v>
      </c>
      <c r="M1317">
        <v>4</v>
      </c>
      <c r="N1317">
        <v>3</v>
      </c>
      <c r="O1317">
        <v>2</v>
      </c>
      <c r="P1317" t="s">
        <v>49</v>
      </c>
      <c r="Q1317">
        <v>2</v>
      </c>
      <c r="R1317" s="11">
        <v>430</v>
      </c>
      <c r="S1317" s="14">
        <v>73</v>
      </c>
      <c r="T1317" s="13">
        <v>6962</v>
      </c>
      <c r="U1317" s="13">
        <f t="shared" si="101"/>
        <v>83544</v>
      </c>
      <c r="V1317" s="14">
        <v>19573</v>
      </c>
      <c r="W1317">
        <v>4</v>
      </c>
      <c r="X1317" s="8" t="s">
        <v>38</v>
      </c>
      <c r="Y1317" s="15">
        <v>0.22</v>
      </c>
      <c r="Z1317">
        <v>4</v>
      </c>
      <c r="AA1317">
        <v>4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 t="str">
        <f t="shared" si="102"/>
        <v>0-3</v>
      </c>
      <c r="AI1317">
        <v>0</v>
      </c>
      <c r="AJ1317" t="str">
        <f t="shared" si="103"/>
        <v>0-2</v>
      </c>
      <c r="AK1317">
        <v>0</v>
      </c>
    </row>
    <row r="1318" spans="1:37" x14ac:dyDescent="0.25">
      <c r="A1318" s="8">
        <v>1317</v>
      </c>
      <c r="B1318" t="s">
        <v>44</v>
      </c>
      <c r="C1318" t="s">
        <v>45</v>
      </c>
      <c r="D1318" s="8">
        <v>43</v>
      </c>
      <c r="E1318" t="str">
        <f t="shared" si="104"/>
        <v>36-45</v>
      </c>
      <c r="F1318" t="s">
        <v>46</v>
      </c>
      <c r="G1318" t="s">
        <v>47</v>
      </c>
      <c r="H1318" s="8" t="s">
        <v>40</v>
      </c>
      <c r="I1318" s="10">
        <v>2</v>
      </c>
      <c r="J1318" t="str">
        <f t="shared" si="100"/>
        <v>Near</v>
      </c>
      <c r="K1318">
        <v>4</v>
      </c>
      <c r="L1318" t="s">
        <v>41</v>
      </c>
      <c r="M1318">
        <v>1</v>
      </c>
      <c r="N1318">
        <v>3</v>
      </c>
      <c r="O1318">
        <v>2</v>
      </c>
      <c r="P1318" t="s">
        <v>42</v>
      </c>
      <c r="Q1318">
        <v>4</v>
      </c>
      <c r="R1318" s="11">
        <v>1422</v>
      </c>
      <c r="S1318" s="14">
        <v>92</v>
      </c>
      <c r="T1318" s="13">
        <v>5675</v>
      </c>
      <c r="U1318" s="13">
        <f t="shared" si="101"/>
        <v>68100</v>
      </c>
      <c r="V1318" s="14">
        <v>19246</v>
      </c>
      <c r="W1318">
        <v>1</v>
      </c>
      <c r="X1318" s="8" t="s">
        <v>46</v>
      </c>
      <c r="Y1318" s="15">
        <v>0.2</v>
      </c>
      <c r="Z1318">
        <v>4</v>
      </c>
      <c r="AA1318">
        <v>3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 t="str">
        <f t="shared" si="102"/>
        <v>4-7</v>
      </c>
      <c r="AI1318">
        <v>7</v>
      </c>
      <c r="AJ1318" t="str">
        <f t="shared" si="103"/>
        <v>6-8</v>
      </c>
      <c r="AK1318">
        <v>7</v>
      </c>
    </row>
    <row r="1319" spans="1:37" x14ac:dyDescent="0.25">
      <c r="A1319" s="8">
        <v>1318</v>
      </c>
      <c r="B1319" t="s">
        <v>52</v>
      </c>
      <c r="C1319" t="s">
        <v>37</v>
      </c>
      <c r="D1319" s="8">
        <v>27</v>
      </c>
      <c r="E1319" t="str">
        <f t="shared" si="104"/>
        <v>26-35</v>
      </c>
      <c r="F1319" t="s">
        <v>46</v>
      </c>
      <c r="G1319" t="s">
        <v>47</v>
      </c>
      <c r="H1319" s="8" t="s">
        <v>48</v>
      </c>
      <c r="I1319" s="10">
        <v>5</v>
      </c>
      <c r="J1319" t="str">
        <f t="shared" si="100"/>
        <v>Near</v>
      </c>
      <c r="K1319">
        <v>2</v>
      </c>
      <c r="L1319" t="s">
        <v>41</v>
      </c>
      <c r="M1319">
        <v>4</v>
      </c>
      <c r="N1319">
        <v>3</v>
      </c>
      <c r="O1319">
        <v>1</v>
      </c>
      <c r="P1319" t="s">
        <v>51</v>
      </c>
      <c r="Q1319">
        <v>4</v>
      </c>
      <c r="R1319" s="11">
        <v>1297</v>
      </c>
      <c r="S1319" s="14">
        <v>53</v>
      </c>
      <c r="T1319" s="13">
        <v>2379</v>
      </c>
      <c r="U1319" s="13">
        <f t="shared" si="101"/>
        <v>28548</v>
      </c>
      <c r="V1319" s="14">
        <v>19826</v>
      </c>
      <c r="W1319">
        <v>0</v>
      </c>
      <c r="X1319" s="8" t="s">
        <v>38</v>
      </c>
      <c r="Y1319" s="15">
        <v>0.14000000000000001</v>
      </c>
      <c r="Z1319">
        <v>3</v>
      </c>
      <c r="AA1319">
        <v>3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 t="str">
        <f t="shared" si="102"/>
        <v>4-7</v>
      </c>
      <c r="AI1319">
        <v>0</v>
      </c>
      <c r="AJ1319" t="str">
        <f t="shared" si="103"/>
        <v>0-2</v>
      </c>
      <c r="AK1319">
        <v>2</v>
      </c>
    </row>
    <row r="1320" spans="1:37" x14ac:dyDescent="0.25">
      <c r="A1320" s="8">
        <v>1319</v>
      </c>
      <c r="B1320" t="s">
        <v>44</v>
      </c>
      <c r="C1320" t="s">
        <v>45</v>
      </c>
      <c r="D1320" s="8">
        <v>29</v>
      </c>
      <c r="E1320" t="str">
        <f t="shared" si="104"/>
        <v>26-35</v>
      </c>
      <c r="F1320" t="s">
        <v>46</v>
      </c>
      <c r="G1320" t="s">
        <v>47</v>
      </c>
      <c r="H1320" s="8" t="s">
        <v>48</v>
      </c>
      <c r="I1320" s="10">
        <v>20</v>
      </c>
      <c r="J1320" t="str">
        <f t="shared" si="100"/>
        <v>Far</v>
      </c>
      <c r="K1320">
        <v>1</v>
      </c>
      <c r="L1320" t="s">
        <v>53</v>
      </c>
      <c r="M1320">
        <v>4</v>
      </c>
      <c r="N1320">
        <v>3</v>
      </c>
      <c r="O1320">
        <v>1</v>
      </c>
      <c r="P1320" t="s">
        <v>51</v>
      </c>
      <c r="Q1320">
        <v>4</v>
      </c>
      <c r="R1320" s="11">
        <v>574</v>
      </c>
      <c r="S1320" s="14">
        <v>40</v>
      </c>
      <c r="T1320" s="13">
        <v>3812</v>
      </c>
      <c r="U1320" s="13">
        <f t="shared" si="101"/>
        <v>45744</v>
      </c>
      <c r="V1320" s="14">
        <v>7003</v>
      </c>
      <c r="W1320">
        <v>1</v>
      </c>
      <c r="X1320" s="8" t="s">
        <v>46</v>
      </c>
      <c r="Y1320" s="15">
        <v>0.13</v>
      </c>
      <c r="Z1320">
        <v>3</v>
      </c>
      <c r="AA1320">
        <v>2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 t="str">
        <f t="shared" si="102"/>
        <v>8-11</v>
      </c>
      <c r="AI1320">
        <v>3</v>
      </c>
      <c r="AJ1320" t="str">
        <f t="shared" si="103"/>
        <v>3-5</v>
      </c>
      <c r="AK1320">
        <v>10</v>
      </c>
    </row>
    <row r="1321" spans="1:37" x14ac:dyDescent="0.25">
      <c r="A1321" s="8">
        <v>1320</v>
      </c>
      <c r="B1321" t="s">
        <v>44</v>
      </c>
      <c r="C1321" t="s">
        <v>37</v>
      </c>
      <c r="D1321" s="8">
        <v>32</v>
      </c>
      <c r="E1321" t="str">
        <f t="shared" si="104"/>
        <v>26-35</v>
      </c>
      <c r="F1321" t="s">
        <v>46</v>
      </c>
      <c r="G1321" t="s">
        <v>47</v>
      </c>
      <c r="H1321" s="8" t="s">
        <v>40</v>
      </c>
      <c r="I1321" s="10">
        <v>10</v>
      </c>
      <c r="J1321" t="str">
        <f t="shared" si="100"/>
        <v>Moderate</v>
      </c>
      <c r="K1321">
        <v>4</v>
      </c>
      <c r="L1321" t="s">
        <v>62</v>
      </c>
      <c r="M1321">
        <v>4</v>
      </c>
      <c r="N1321">
        <v>3</v>
      </c>
      <c r="O1321">
        <v>2</v>
      </c>
      <c r="P1321" t="s">
        <v>42</v>
      </c>
      <c r="Q1321">
        <v>4</v>
      </c>
      <c r="R1321" s="11">
        <v>1318</v>
      </c>
      <c r="S1321" s="14">
        <v>79</v>
      </c>
      <c r="T1321" s="13">
        <v>4648</v>
      </c>
      <c r="U1321" s="13">
        <f t="shared" si="101"/>
        <v>55776</v>
      </c>
      <c r="V1321" s="14">
        <v>26075</v>
      </c>
      <c r="W1321">
        <v>8</v>
      </c>
      <c r="X1321" s="8" t="s">
        <v>46</v>
      </c>
      <c r="Y1321" s="15">
        <v>0.13</v>
      </c>
      <c r="Z1321">
        <v>3</v>
      </c>
      <c r="AA1321">
        <v>3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 t="str">
        <f t="shared" si="102"/>
        <v>0-3</v>
      </c>
      <c r="AI1321">
        <v>0</v>
      </c>
      <c r="AJ1321" t="str">
        <f t="shared" si="103"/>
        <v>0-2</v>
      </c>
      <c r="AK1321">
        <v>0</v>
      </c>
    </row>
    <row r="1322" spans="1:37" x14ac:dyDescent="0.25">
      <c r="A1322" s="8">
        <v>1321</v>
      </c>
      <c r="B1322" t="s">
        <v>44</v>
      </c>
      <c r="C1322" t="s">
        <v>45</v>
      </c>
      <c r="D1322" s="8">
        <v>42</v>
      </c>
      <c r="E1322" t="str">
        <f t="shared" si="104"/>
        <v>36-45</v>
      </c>
      <c r="F1322" t="s">
        <v>46</v>
      </c>
      <c r="G1322" t="s">
        <v>58</v>
      </c>
      <c r="H1322" s="8" t="s">
        <v>48</v>
      </c>
      <c r="I1322" s="10">
        <v>10</v>
      </c>
      <c r="J1322" t="str">
        <f t="shared" si="100"/>
        <v>Moderate</v>
      </c>
      <c r="K1322">
        <v>4</v>
      </c>
      <c r="L1322" t="s">
        <v>63</v>
      </c>
      <c r="M1322">
        <v>3</v>
      </c>
      <c r="N1322">
        <v>3</v>
      </c>
      <c r="O1322">
        <v>1</v>
      </c>
      <c r="P1322" t="s">
        <v>49</v>
      </c>
      <c r="Q1322">
        <v>3</v>
      </c>
      <c r="R1322" s="11">
        <v>355</v>
      </c>
      <c r="S1322" s="14">
        <v>38</v>
      </c>
      <c r="T1322" s="13">
        <v>2936</v>
      </c>
      <c r="U1322" s="13">
        <f t="shared" si="101"/>
        <v>35232</v>
      </c>
      <c r="V1322" s="14">
        <v>6161</v>
      </c>
      <c r="W1322">
        <v>3</v>
      </c>
      <c r="X1322" s="8" t="s">
        <v>46</v>
      </c>
      <c r="Y1322" s="15">
        <v>0.22</v>
      </c>
      <c r="Z1322">
        <v>4</v>
      </c>
      <c r="AA1322">
        <v>2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 t="str">
        <f t="shared" si="102"/>
        <v>0-3</v>
      </c>
      <c r="AI1322">
        <v>3</v>
      </c>
      <c r="AJ1322" t="str">
        <f t="shared" si="103"/>
        <v>3-5</v>
      </c>
      <c r="AK1322">
        <v>3</v>
      </c>
    </row>
    <row r="1323" spans="1:37" x14ac:dyDescent="0.25">
      <c r="A1323" s="8">
        <v>1322</v>
      </c>
      <c r="B1323" t="s">
        <v>52</v>
      </c>
      <c r="C1323" t="s">
        <v>37</v>
      </c>
      <c r="D1323" s="8">
        <v>47</v>
      </c>
      <c r="E1323" t="str">
        <f t="shared" si="104"/>
        <v>46-55</v>
      </c>
      <c r="F1323" t="s">
        <v>46</v>
      </c>
      <c r="G1323" t="s">
        <v>39</v>
      </c>
      <c r="H1323" s="8" t="s">
        <v>48</v>
      </c>
      <c r="I1323" s="10">
        <v>9</v>
      </c>
      <c r="J1323" t="str">
        <f t="shared" si="100"/>
        <v>Moderate</v>
      </c>
      <c r="K1323">
        <v>4</v>
      </c>
      <c r="L1323" t="s">
        <v>41</v>
      </c>
      <c r="M1323">
        <v>2</v>
      </c>
      <c r="N1323">
        <v>3</v>
      </c>
      <c r="O1323">
        <v>1</v>
      </c>
      <c r="P1323" t="s">
        <v>51</v>
      </c>
      <c r="Q1323">
        <v>3</v>
      </c>
      <c r="R1323" s="11">
        <v>207</v>
      </c>
      <c r="S1323" s="14">
        <v>64</v>
      </c>
      <c r="T1323" s="13">
        <v>2105</v>
      </c>
      <c r="U1323" s="13">
        <f t="shared" si="101"/>
        <v>25260</v>
      </c>
      <c r="V1323" s="14">
        <v>5411</v>
      </c>
      <c r="W1323">
        <v>4</v>
      </c>
      <c r="X1323" s="8" t="s">
        <v>46</v>
      </c>
      <c r="Y1323" s="15">
        <v>0.12</v>
      </c>
      <c r="Z1323">
        <v>3</v>
      </c>
      <c r="AA1323">
        <v>3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 t="str">
        <f t="shared" si="102"/>
        <v>0-3</v>
      </c>
      <c r="AI1323">
        <v>2</v>
      </c>
      <c r="AJ1323" t="str">
        <f t="shared" si="103"/>
        <v>0-2</v>
      </c>
      <c r="AK1323">
        <v>0</v>
      </c>
    </row>
    <row r="1324" spans="1:37" x14ac:dyDescent="0.25">
      <c r="A1324" s="8">
        <v>1323</v>
      </c>
      <c r="B1324" t="s">
        <v>44</v>
      </c>
      <c r="C1324" t="s">
        <v>54</v>
      </c>
      <c r="D1324" s="8">
        <v>46</v>
      </c>
      <c r="E1324" t="str">
        <f t="shared" si="104"/>
        <v>46-55</v>
      </c>
      <c r="F1324" t="s">
        <v>46</v>
      </c>
      <c r="G1324" t="s">
        <v>39</v>
      </c>
      <c r="H1324" s="8" t="s">
        <v>48</v>
      </c>
      <c r="I1324" s="10">
        <v>2</v>
      </c>
      <c r="J1324" t="str">
        <f t="shared" si="100"/>
        <v>Near</v>
      </c>
      <c r="K1324">
        <v>2</v>
      </c>
      <c r="L1324" t="s">
        <v>41</v>
      </c>
      <c r="M1324">
        <v>4</v>
      </c>
      <c r="N1324">
        <v>3</v>
      </c>
      <c r="O1324">
        <v>3</v>
      </c>
      <c r="P1324" t="s">
        <v>55</v>
      </c>
      <c r="Q1324">
        <v>4</v>
      </c>
      <c r="R1324" s="11">
        <v>706</v>
      </c>
      <c r="S1324" s="14">
        <v>82</v>
      </c>
      <c r="T1324" s="13">
        <v>8578</v>
      </c>
      <c r="U1324" s="13">
        <f t="shared" si="101"/>
        <v>102936</v>
      </c>
      <c r="V1324" s="14">
        <v>19989</v>
      </c>
      <c r="W1324">
        <v>3</v>
      </c>
      <c r="X1324" s="8" t="s">
        <v>46</v>
      </c>
      <c r="Y1324" s="15">
        <v>0.14000000000000001</v>
      </c>
      <c r="Z1324">
        <v>3</v>
      </c>
      <c r="AA1324">
        <v>3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 t="str">
        <f t="shared" si="102"/>
        <v>8-11</v>
      </c>
      <c r="AI1324">
        <v>4</v>
      </c>
      <c r="AJ1324" t="str">
        <f t="shared" si="103"/>
        <v>3-5</v>
      </c>
      <c r="AK1324">
        <v>7</v>
      </c>
    </row>
    <row r="1325" spans="1:37" x14ac:dyDescent="0.25">
      <c r="A1325" s="8">
        <v>1324</v>
      </c>
      <c r="B1325" t="s">
        <v>44</v>
      </c>
      <c r="C1325" t="s">
        <v>54</v>
      </c>
      <c r="D1325" s="8">
        <v>28</v>
      </c>
      <c r="E1325" t="str">
        <f t="shared" si="104"/>
        <v>26-35</v>
      </c>
      <c r="F1325" t="s">
        <v>46</v>
      </c>
      <c r="G1325" t="s">
        <v>58</v>
      </c>
      <c r="H1325" s="8" t="s">
        <v>64</v>
      </c>
      <c r="I1325" s="10">
        <v>1</v>
      </c>
      <c r="J1325" t="str">
        <f t="shared" si="100"/>
        <v>Near</v>
      </c>
      <c r="K1325">
        <v>2</v>
      </c>
      <c r="L1325" t="s">
        <v>41</v>
      </c>
      <c r="M1325">
        <v>3</v>
      </c>
      <c r="N1325">
        <v>3</v>
      </c>
      <c r="O1325">
        <v>1</v>
      </c>
      <c r="P1325" t="s">
        <v>64</v>
      </c>
      <c r="Q1325">
        <v>4</v>
      </c>
      <c r="R1325" s="11">
        <v>280</v>
      </c>
      <c r="S1325" s="14">
        <v>43</v>
      </c>
      <c r="T1325" s="13">
        <v>2706</v>
      </c>
      <c r="U1325" s="13">
        <f t="shared" si="101"/>
        <v>32472</v>
      </c>
      <c r="V1325" s="14">
        <v>10494</v>
      </c>
      <c r="W1325">
        <v>1</v>
      </c>
      <c r="X1325" s="8" t="s">
        <v>46</v>
      </c>
      <c r="Y1325" s="15">
        <v>0.15</v>
      </c>
      <c r="Z1325">
        <v>3</v>
      </c>
      <c r="AA1325">
        <v>2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 t="str">
        <f t="shared" si="102"/>
        <v>0-3</v>
      </c>
      <c r="AI1325">
        <v>2</v>
      </c>
      <c r="AJ1325" t="str">
        <f t="shared" si="103"/>
        <v>0-2</v>
      </c>
      <c r="AK1325">
        <v>2</v>
      </c>
    </row>
    <row r="1326" spans="1:37" x14ac:dyDescent="0.25">
      <c r="A1326" s="8">
        <v>1325</v>
      </c>
      <c r="B1326" t="s">
        <v>44</v>
      </c>
      <c r="C1326" t="s">
        <v>54</v>
      </c>
      <c r="D1326" s="8">
        <v>29</v>
      </c>
      <c r="E1326" t="str">
        <f t="shared" si="104"/>
        <v>26-35</v>
      </c>
      <c r="F1326" t="s">
        <v>46</v>
      </c>
      <c r="G1326" t="s">
        <v>39</v>
      </c>
      <c r="H1326" s="8" t="s">
        <v>48</v>
      </c>
      <c r="I1326" s="10">
        <v>29</v>
      </c>
      <c r="J1326" t="str">
        <f t="shared" si="100"/>
        <v>Far</v>
      </c>
      <c r="K1326">
        <v>1</v>
      </c>
      <c r="L1326" t="s">
        <v>41</v>
      </c>
      <c r="M1326">
        <v>4</v>
      </c>
      <c r="N1326">
        <v>1</v>
      </c>
      <c r="O1326">
        <v>2</v>
      </c>
      <c r="P1326" t="s">
        <v>56</v>
      </c>
      <c r="Q1326">
        <v>3</v>
      </c>
      <c r="R1326" s="11">
        <v>726</v>
      </c>
      <c r="S1326" s="14">
        <v>93</v>
      </c>
      <c r="T1326" s="13">
        <v>6384</v>
      </c>
      <c r="U1326" s="13">
        <f t="shared" si="101"/>
        <v>76608</v>
      </c>
      <c r="V1326" s="14">
        <v>21143</v>
      </c>
      <c r="W1326">
        <v>8</v>
      </c>
      <c r="X1326" s="8" t="s">
        <v>46</v>
      </c>
      <c r="Y1326" s="15">
        <v>0.17</v>
      </c>
      <c r="Z1326">
        <v>3</v>
      </c>
      <c r="AA1326">
        <v>4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 t="str">
        <f t="shared" si="102"/>
        <v>0-3</v>
      </c>
      <c r="AI1326">
        <v>1</v>
      </c>
      <c r="AJ1326" t="str">
        <f t="shared" si="103"/>
        <v>0-2</v>
      </c>
      <c r="AK1326">
        <v>6</v>
      </c>
    </row>
    <row r="1327" spans="1:37" x14ac:dyDescent="0.25">
      <c r="A1327" s="8">
        <v>1326</v>
      </c>
      <c r="B1327" t="s">
        <v>44</v>
      </c>
      <c r="C1327" t="s">
        <v>37</v>
      </c>
      <c r="D1327" s="8">
        <v>42</v>
      </c>
      <c r="E1327" t="str">
        <f t="shared" si="104"/>
        <v>36-45</v>
      </c>
      <c r="F1327" t="s">
        <v>46</v>
      </c>
      <c r="G1327" t="s">
        <v>39</v>
      </c>
      <c r="H1327" s="8" t="s">
        <v>48</v>
      </c>
      <c r="I1327" s="10">
        <v>8</v>
      </c>
      <c r="J1327" t="str">
        <f t="shared" si="100"/>
        <v>Moderate</v>
      </c>
      <c r="K1327">
        <v>3</v>
      </c>
      <c r="L1327" t="s">
        <v>41</v>
      </c>
      <c r="M1327">
        <v>4</v>
      </c>
      <c r="N1327">
        <v>3</v>
      </c>
      <c r="O1327">
        <v>1</v>
      </c>
      <c r="P1327" t="s">
        <v>51</v>
      </c>
      <c r="Q1327">
        <v>3</v>
      </c>
      <c r="R1327" s="11">
        <v>1142</v>
      </c>
      <c r="S1327" s="14">
        <v>81</v>
      </c>
      <c r="T1327" s="13">
        <v>3968</v>
      </c>
      <c r="U1327" s="13">
        <f t="shared" si="101"/>
        <v>47616</v>
      </c>
      <c r="V1327" s="14">
        <v>13624</v>
      </c>
      <c r="W1327">
        <v>4</v>
      </c>
      <c r="X1327" s="8" t="s">
        <v>46</v>
      </c>
      <c r="Y1327" s="15">
        <v>0.13</v>
      </c>
      <c r="Z1327">
        <v>3</v>
      </c>
      <c r="AA1327">
        <v>4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 t="str">
        <f t="shared" si="102"/>
        <v>0-3</v>
      </c>
      <c r="AI1327">
        <v>0</v>
      </c>
      <c r="AJ1327" t="str">
        <f t="shared" si="103"/>
        <v>0-2</v>
      </c>
      <c r="AK1327">
        <v>0</v>
      </c>
    </row>
    <row r="1328" spans="1:37" x14ac:dyDescent="0.25">
      <c r="A1328" s="8">
        <v>1327</v>
      </c>
      <c r="B1328" t="s">
        <v>44</v>
      </c>
      <c r="C1328" t="s">
        <v>37</v>
      </c>
      <c r="D1328" s="8">
        <v>32</v>
      </c>
      <c r="E1328" t="str">
        <f t="shared" si="104"/>
        <v>26-35</v>
      </c>
      <c r="F1328" t="s">
        <v>38</v>
      </c>
      <c r="G1328" t="s">
        <v>39</v>
      </c>
      <c r="H1328" s="8" t="s">
        <v>40</v>
      </c>
      <c r="I1328" s="10">
        <v>2</v>
      </c>
      <c r="J1328" t="str">
        <f t="shared" si="100"/>
        <v>Near</v>
      </c>
      <c r="K1328">
        <v>4</v>
      </c>
      <c r="L1328" t="s">
        <v>62</v>
      </c>
      <c r="M1328">
        <v>3</v>
      </c>
      <c r="N1328">
        <v>2</v>
      </c>
      <c r="O1328">
        <v>2</v>
      </c>
      <c r="P1328" t="s">
        <v>42</v>
      </c>
      <c r="Q1328">
        <v>2</v>
      </c>
      <c r="R1328" s="11">
        <v>414</v>
      </c>
      <c r="S1328" s="14">
        <v>82</v>
      </c>
      <c r="T1328" s="13">
        <v>9907</v>
      </c>
      <c r="U1328" s="13">
        <f t="shared" si="101"/>
        <v>118884</v>
      </c>
      <c r="V1328" s="14">
        <v>26186</v>
      </c>
      <c r="W1328">
        <v>7</v>
      </c>
      <c r="X1328" s="8" t="s">
        <v>38</v>
      </c>
      <c r="Y1328" s="15">
        <v>0.12</v>
      </c>
      <c r="Z1328">
        <v>3</v>
      </c>
      <c r="AA1328">
        <v>3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 t="str">
        <f t="shared" si="102"/>
        <v>0-3</v>
      </c>
      <c r="AI1328">
        <v>2</v>
      </c>
      <c r="AJ1328" t="str">
        <f t="shared" si="103"/>
        <v>0-2</v>
      </c>
      <c r="AK1328">
        <v>2</v>
      </c>
    </row>
    <row r="1329" spans="1:37" x14ac:dyDescent="0.25">
      <c r="A1329" s="8">
        <v>1328</v>
      </c>
      <c r="B1329" t="s">
        <v>52</v>
      </c>
      <c r="C1329" t="s">
        <v>54</v>
      </c>
      <c r="D1329" s="8">
        <v>46</v>
      </c>
      <c r="E1329" t="str">
        <f t="shared" si="104"/>
        <v>46-55</v>
      </c>
      <c r="F1329" t="s">
        <v>46</v>
      </c>
      <c r="G1329" t="s">
        <v>39</v>
      </c>
      <c r="H1329" s="8" t="s">
        <v>40</v>
      </c>
      <c r="I1329" s="10">
        <v>3</v>
      </c>
      <c r="J1329" t="str">
        <f t="shared" si="100"/>
        <v>Near</v>
      </c>
      <c r="K1329">
        <v>3</v>
      </c>
      <c r="L1329" t="s">
        <v>63</v>
      </c>
      <c r="M1329">
        <v>1</v>
      </c>
      <c r="N1329">
        <v>4</v>
      </c>
      <c r="O1329">
        <v>4</v>
      </c>
      <c r="P1329" t="s">
        <v>42</v>
      </c>
      <c r="Q1329">
        <v>1</v>
      </c>
      <c r="R1329" s="11">
        <v>1319</v>
      </c>
      <c r="S1329" s="14">
        <v>45</v>
      </c>
      <c r="T1329" s="13">
        <v>13225</v>
      </c>
      <c r="U1329" s="13">
        <f t="shared" si="101"/>
        <v>158700</v>
      </c>
      <c r="V1329" s="14">
        <v>7739</v>
      </c>
      <c r="W1329">
        <v>2</v>
      </c>
      <c r="X1329" s="8" t="s">
        <v>46</v>
      </c>
      <c r="Y1329" s="15">
        <v>0.12</v>
      </c>
      <c r="Z1329">
        <v>3</v>
      </c>
      <c r="AA1329">
        <v>4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 t="str">
        <f t="shared" si="102"/>
        <v>16-19</v>
      </c>
      <c r="AI1329">
        <v>2</v>
      </c>
      <c r="AJ1329" t="str">
        <f t="shared" si="103"/>
        <v>0-2</v>
      </c>
      <c r="AK1329">
        <v>8</v>
      </c>
    </row>
    <row r="1330" spans="1:37" x14ac:dyDescent="0.25">
      <c r="A1330" s="8">
        <v>1329</v>
      </c>
      <c r="B1330" t="s">
        <v>52</v>
      </c>
      <c r="C1330" t="s">
        <v>45</v>
      </c>
      <c r="D1330" s="8">
        <v>27</v>
      </c>
      <c r="E1330" t="str">
        <f t="shared" si="104"/>
        <v>26-35</v>
      </c>
      <c r="F1330" t="s">
        <v>46</v>
      </c>
      <c r="G1330" t="s">
        <v>39</v>
      </c>
      <c r="H1330" s="8" t="s">
        <v>40</v>
      </c>
      <c r="I1330" s="10">
        <v>23</v>
      </c>
      <c r="J1330" t="str">
        <f t="shared" si="100"/>
        <v>Far</v>
      </c>
      <c r="K1330">
        <v>1</v>
      </c>
      <c r="L1330" t="s">
        <v>53</v>
      </c>
      <c r="M1330">
        <v>2</v>
      </c>
      <c r="N1330">
        <v>2</v>
      </c>
      <c r="O1330">
        <v>2</v>
      </c>
      <c r="P1330" t="s">
        <v>60</v>
      </c>
      <c r="Q1330">
        <v>3</v>
      </c>
      <c r="R1330" s="11">
        <v>728</v>
      </c>
      <c r="S1330" s="14">
        <v>36</v>
      </c>
      <c r="T1330" s="13">
        <v>3540</v>
      </c>
      <c r="U1330" s="13">
        <f t="shared" si="101"/>
        <v>42480</v>
      </c>
      <c r="V1330" s="14">
        <v>7018</v>
      </c>
      <c r="W1330">
        <v>1</v>
      </c>
      <c r="X1330" s="8" t="s">
        <v>46</v>
      </c>
      <c r="Y1330" s="15">
        <v>0.21</v>
      </c>
      <c r="Z1330">
        <v>4</v>
      </c>
      <c r="AA1330">
        <v>4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 t="str">
        <f t="shared" si="102"/>
        <v>8-11</v>
      </c>
      <c r="AI1330">
        <v>5</v>
      </c>
      <c r="AJ1330" t="str">
        <f t="shared" si="103"/>
        <v>3-5</v>
      </c>
      <c r="AK1330">
        <v>8</v>
      </c>
    </row>
    <row r="1331" spans="1:37" x14ac:dyDescent="0.25">
      <c r="A1331" s="8">
        <v>1330</v>
      </c>
      <c r="B1331" t="s">
        <v>44</v>
      </c>
      <c r="C1331" t="s">
        <v>45</v>
      </c>
      <c r="D1331" s="8">
        <v>29</v>
      </c>
      <c r="E1331" t="str">
        <f t="shared" si="104"/>
        <v>26-35</v>
      </c>
      <c r="F1331" t="s">
        <v>46</v>
      </c>
      <c r="G1331" t="s">
        <v>39</v>
      </c>
      <c r="H1331" s="8" t="s">
        <v>64</v>
      </c>
      <c r="I1331" s="10">
        <v>6</v>
      </c>
      <c r="J1331" t="str">
        <f t="shared" si="100"/>
        <v>Moderate</v>
      </c>
      <c r="K1331">
        <v>1</v>
      </c>
      <c r="L1331" t="s">
        <v>53</v>
      </c>
      <c r="M1331">
        <v>4</v>
      </c>
      <c r="N1331">
        <v>2</v>
      </c>
      <c r="O1331">
        <v>1</v>
      </c>
      <c r="P1331" t="s">
        <v>64</v>
      </c>
      <c r="Q1331">
        <v>2</v>
      </c>
      <c r="R1331" s="11">
        <v>352</v>
      </c>
      <c r="S1331" s="14">
        <v>87</v>
      </c>
      <c r="T1331" s="13">
        <v>2804</v>
      </c>
      <c r="U1331" s="13">
        <f t="shared" si="101"/>
        <v>33648</v>
      </c>
      <c r="V1331" s="14">
        <v>15434</v>
      </c>
      <c r="W1331">
        <v>1</v>
      </c>
      <c r="X1331" s="8" t="s">
        <v>46</v>
      </c>
      <c r="Y1331" s="15">
        <v>0.11</v>
      </c>
      <c r="Z1331">
        <v>3</v>
      </c>
      <c r="AA1331">
        <v>4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 t="str">
        <f t="shared" si="102"/>
        <v>0-3</v>
      </c>
      <c r="AI1331">
        <v>0</v>
      </c>
      <c r="AJ1331" t="str">
        <f t="shared" si="103"/>
        <v>0-2</v>
      </c>
      <c r="AK1331">
        <v>0</v>
      </c>
    </row>
    <row r="1332" spans="1:37" x14ac:dyDescent="0.25">
      <c r="A1332" s="8">
        <v>1331</v>
      </c>
      <c r="B1332" t="s">
        <v>52</v>
      </c>
      <c r="C1332" t="s">
        <v>45</v>
      </c>
      <c r="D1332" s="8">
        <v>43</v>
      </c>
      <c r="E1332" t="str">
        <f t="shared" si="104"/>
        <v>36-45</v>
      </c>
      <c r="F1332" t="s">
        <v>46</v>
      </c>
      <c r="G1332" t="s">
        <v>39</v>
      </c>
      <c r="H1332" s="8" t="s">
        <v>48</v>
      </c>
      <c r="I1332" s="10">
        <v>6</v>
      </c>
      <c r="J1332" t="str">
        <f t="shared" si="100"/>
        <v>Moderate</v>
      </c>
      <c r="K1332">
        <v>3</v>
      </c>
      <c r="L1332" t="s">
        <v>53</v>
      </c>
      <c r="M1332">
        <v>1</v>
      </c>
      <c r="N1332">
        <v>2</v>
      </c>
      <c r="O1332">
        <v>5</v>
      </c>
      <c r="P1332" t="s">
        <v>59</v>
      </c>
      <c r="Q1332">
        <v>3</v>
      </c>
      <c r="R1332" s="11">
        <v>823</v>
      </c>
      <c r="S1332" s="14">
        <v>81</v>
      </c>
      <c r="T1332" s="13">
        <v>19392</v>
      </c>
      <c r="U1332" s="13">
        <f t="shared" si="101"/>
        <v>232704</v>
      </c>
      <c r="V1332" s="14">
        <v>22539</v>
      </c>
      <c r="W1332">
        <v>7</v>
      </c>
      <c r="X1332" s="8" t="s">
        <v>46</v>
      </c>
      <c r="Y1332" s="15">
        <v>0.13</v>
      </c>
      <c r="Z1332">
        <v>3</v>
      </c>
      <c r="AA1332">
        <v>4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 t="str">
        <f t="shared" si="102"/>
        <v>12-15</v>
      </c>
      <c r="AI1332">
        <v>6</v>
      </c>
      <c r="AJ1332" t="str">
        <f t="shared" si="103"/>
        <v>6-8</v>
      </c>
      <c r="AK1332">
        <v>14</v>
      </c>
    </row>
    <row r="1333" spans="1:37" x14ac:dyDescent="0.25">
      <c r="A1333" s="8">
        <v>1332</v>
      </c>
      <c r="B1333" t="s">
        <v>44</v>
      </c>
      <c r="C1333" t="s">
        <v>45</v>
      </c>
      <c r="D1333" s="8">
        <v>48</v>
      </c>
      <c r="E1333" t="str">
        <f t="shared" si="104"/>
        <v>46-55</v>
      </c>
      <c r="F1333" t="s">
        <v>46</v>
      </c>
      <c r="G1333" t="s">
        <v>39</v>
      </c>
      <c r="H1333" s="8" t="s">
        <v>48</v>
      </c>
      <c r="I1333" s="10">
        <v>10</v>
      </c>
      <c r="J1333" t="str">
        <f t="shared" si="100"/>
        <v>Moderate</v>
      </c>
      <c r="K1333">
        <v>3</v>
      </c>
      <c r="L1333" t="s">
        <v>41</v>
      </c>
      <c r="M1333">
        <v>4</v>
      </c>
      <c r="N1333">
        <v>2</v>
      </c>
      <c r="O1333">
        <v>5</v>
      </c>
      <c r="P1333" t="s">
        <v>61</v>
      </c>
      <c r="Q1333">
        <v>2</v>
      </c>
      <c r="R1333" s="11">
        <v>1224</v>
      </c>
      <c r="S1333" s="14">
        <v>91</v>
      </c>
      <c r="T1333" s="13">
        <v>19665</v>
      </c>
      <c r="U1333" s="13">
        <f t="shared" si="101"/>
        <v>235980</v>
      </c>
      <c r="V1333" s="14">
        <v>13583</v>
      </c>
      <c r="W1333">
        <v>4</v>
      </c>
      <c r="X1333" s="8" t="s">
        <v>46</v>
      </c>
      <c r="Y1333" s="15">
        <v>0.12</v>
      </c>
      <c r="Z1333">
        <v>3</v>
      </c>
      <c r="AA1333">
        <v>4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 t="str">
        <f t="shared" si="102"/>
        <v>8-11</v>
      </c>
      <c r="AI1333">
        <v>12</v>
      </c>
      <c r="AJ1333" t="str">
        <f t="shared" si="103"/>
        <v>12-15</v>
      </c>
      <c r="AK1333">
        <v>9</v>
      </c>
    </row>
    <row r="1334" spans="1:37" x14ac:dyDescent="0.25">
      <c r="A1334" s="8">
        <v>1333</v>
      </c>
      <c r="B1334" t="s">
        <v>44</v>
      </c>
      <c r="C1334" t="s">
        <v>37</v>
      </c>
      <c r="D1334" s="8">
        <v>29</v>
      </c>
      <c r="E1334" t="str">
        <f t="shared" si="104"/>
        <v>26-35</v>
      </c>
      <c r="F1334" t="s">
        <v>38</v>
      </c>
      <c r="G1334" t="s">
        <v>47</v>
      </c>
      <c r="H1334" s="8" t="s">
        <v>48</v>
      </c>
      <c r="I1334" s="10">
        <v>24</v>
      </c>
      <c r="J1334" t="str">
        <f t="shared" si="100"/>
        <v>Far</v>
      </c>
      <c r="K1334">
        <v>2</v>
      </c>
      <c r="L1334" t="s">
        <v>41</v>
      </c>
      <c r="M1334">
        <v>4</v>
      </c>
      <c r="N1334">
        <v>2</v>
      </c>
      <c r="O1334">
        <v>1</v>
      </c>
      <c r="P1334" t="s">
        <v>49</v>
      </c>
      <c r="Q1334">
        <v>4</v>
      </c>
      <c r="R1334" s="11">
        <v>459</v>
      </c>
      <c r="S1334" s="14">
        <v>73</v>
      </c>
      <c r="T1334" s="13">
        <v>2439</v>
      </c>
      <c r="U1334" s="13">
        <f t="shared" si="101"/>
        <v>29268</v>
      </c>
      <c r="V1334" s="14">
        <v>14753</v>
      </c>
      <c r="W1334">
        <v>1</v>
      </c>
      <c r="X1334" s="8" t="s">
        <v>38</v>
      </c>
      <c r="Y1334" s="15">
        <v>0.24</v>
      </c>
      <c r="Z1334">
        <v>4</v>
      </c>
      <c r="AA1334">
        <v>2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 t="str">
        <f t="shared" si="102"/>
        <v>0-3</v>
      </c>
      <c r="AI1334">
        <v>1</v>
      </c>
      <c r="AJ1334" t="str">
        <f t="shared" si="103"/>
        <v>0-2</v>
      </c>
      <c r="AK1334">
        <v>0</v>
      </c>
    </row>
    <row r="1335" spans="1:37" x14ac:dyDescent="0.25">
      <c r="A1335" s="8">
        <v>1334</v>
      </c>
      <c r="B1335" t="s">
        <v>52</v>
      </c>
      <c r="C1335" t="s">
        <v>45</v>
      </c>
      <c r="D1335" s="8">
        <v>46</v>
      </c>
      <c r="E1335" t="str">
        <f t="shared" si="104"/>
        <v>46-55</v>
      </c>
      <c r="F1335" t="s">
        <v>38</v>
      </c>
      <c r="G1335" t="s">
        <v>39</v>
      </c>
      <c r="H1335" s="8" t="s">
        <v>40</v>
      </c>
      <c r="I1335" s="10">
        <v>10</v>
      </c>
      <c r="J1335" t="str">
        <f t="shared" si="100"/>
        <v>Moderate</v>
      </c>
      <c r="K1335">
        <v>3</v>
      </c>
      <c r="L1335" t="s">
        <v>41</v>
      </c>
      <c r="M1335">
        <v>3</v>
      </c>
      <c r="N1335">
        <v>3</v>
      </c>
      <c r="O1335">
        <v>3</v>
      </c>
      <c r="P1335" t="s">
        <v>42</v>
      </c>
      <c r="Q1335">
        <v>2</v>
      </c>
      <c r="R1335" s="11">
        <v>1254</v>
      </c>
      <c r="S1335" s="14">
        <v>64</v>
      </c>
      <c r="T1335" s="13">
        <v>7314</v>
      </c>
      <c r="U1335" s="13">
        <f t="shared" si="101"/>
        <v>87768</v>
      </c>
      <c r="V1335" s="14">
        <v>14011</v>
      </c>
      <c r="W1335">
        <v>5</v>
      </c>
      <c r="X1335" s="8" t="s">
        <v>46</v>
      </c>
      <c r="Y1335" s="15">
        <v>0.21</v>
      </c>
      <c r="Z1335">
        <v>4</v>
      </c>
      <c r="AA1335">
        <v>3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 t="str">
        <f t="shared" si="102"/>
        <v>4-7</v>
      </c>
      <c r="AI1335">
        <v>0</v>
      </c>
      <c r="AJ1335" t="str">
        <f t="shared" si="103"/>
        <v>0-2</v>
      </c>
      <c r="AK1335">
        <v>7</v>
      </c>
    </row>
    <row r="1336" spans="1:37" x14ac:dyDescent="0.25">
      <c r="A1336" s="8">
        <v>1335</v>
      </c>
      <c r="B1336" t="s">
        <v>52</v>
      </c>
      <c r="C1336" t="s">
        <v>45</v>
      </c>
      <c r="D1336" s="8">
        <v>27</v>
      </c>
      <c r="E1336" t="str">
        <f t="shared" si="104"/>
        <v>26-35</v>
      </c>
      <c r="F1336" t="s">
        <v>46</v>
      </c>
      <c r="G1336" t="s">
        <v>47</v>
      </c>
      <c r="H1336" s="8" t="s">
        <v>48</v>
      </c>
      <c r="I1336" s="10">
        <v>15</v>
      </c>
      <c r="J1336" t="str">
        <f t="shared" si="100"/>
        <v>Moderate</v>
      </c>
      <c r="K1336">
        <v>3</v>
      </c>
      <c r="L1336" t="s">
        <v>41</v>
      </c>
      <c r="M1336">
        <v>4</v>
      </c>
      <c r="N1336">
        <v>2</v>
      </c>
      <c r="O1336">
        <v>1</v>
      </c>
      <c r="P1336" t="s">
        <v>49</v>
      </c>
      <c r="Q1336">
        <v>1</v>
      </c>
      <c r="R1336" s="11">
        <v>1131</v>
      </c>
      <c r="S1336" s="14">
        <v>77</v>
      </c>
      <c r="T1336" s="13">
        <v>4774</v>
      </c>
      <c r="U1336" s="13">
        <f t="shared" si="101"/>
        <v>57288</v>
      </c>
      <c r="V1336" s="14">
        <v>23844</v>
      </c>
      <c r="W1336">
        <v>0</v>
      </c>
      <c r="X1336" s="8" t="s">
        <v>46</v>
      </c>
      <c r="Y1336" s="15">
        <v>0.19</v>
      </c>
      <c r="Z1336">
        <v>3</v>
      </c>
      <c r="AA1336">
        <v>4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 t="str">
        <f t="shared" si="102"/>
        <v>4-7</v>
      </c>
      <c r="AI1336">
        <v>7</v>
      </c>
      <c r="AJ1336" t="str">
        <f t="shared" si="103"/>
        <v>6-8</v>
      </c>
      <c r="AK1336">
        <v>3</v>
      </c>
    </row>
    <row r="1337" spans="1:37" x14ac:dyDescent="0.25">
      <c r="A1337" s="8">
        <v>1336</v>
      </c>
      <c r="B1337" t="s">
        <v>44</v>
      </c>
      <c r="C1337" t="s">
        <v>54</v>
      </c>
      <c r="D1337" s="8">
        <v>39</v>
      </c>
      <c r="E1337" t="str">
        <f t="shared" si="104"/>
        <v>36-45</v>
      </c>
      <c r="F1337" t="s">
        <v>46</v>
      </c>
      <c r="G1337" t="s">
        <v>39</v>
      </c>
      <c r="H1337" s="8" t="s">
        <v>48</v>
      </c>
      <c r="I1337" s="10">
        <v>19</v>
      </c>
      <c r="J1337" t="str">
        <f t="shared" si="100"/>
        <v>Far</v>
      </c>
      <c r="K1337">
        <v>4</v>
      </c>
      <c r="L1337" t="s">
        <v>50</v>
      </c>
      <c r="M1337">
        <v>4</v>
      </c>
      <c r="N1337">
        <v>3</v>
      </c>
      <c r="O1337">
        <v>2</v>
      </c>
      <c r="P1337" t="s">
        <v>49</v>
      </c>
      <c r="Q1337">
        <v>4</v>
      </c>
      <c r="R1337" s="11">
        <v>835</v>
      </c>
      <c r="S1337" s="14">
        <v>41</v>
      </c>
      <c r="T1337" s="13">
        <v>3902</v>
      </c>
      <c r="U1337" s="13">
        <f t="shared" si="101"/>
        <v>46824</v>
      </c>
      <c r="V1337" s="14">
        <v>5141</v>
      </c>
      <c r="W1337">
        <v>8</v>
      </c>
      <c r="X1337" s="8" t="s">
        <v>46</v>
      </c>
      <c r="Y1337" s="15">
        <v>0.14000000000000001</v>
      </c>
      <c r="Z1337">
        <v>3</v>
      </c>
      <c r="AA1337">
        <v>2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 t="str">
        <f t="shared" si="102"/>
        <v>0-3</v>
      </c>
      <c r="AI1337">
        <v>2</v>
      </c>
      <c r="AJ1337" t="str">
        <f t="shared" si="103"/>
        <v>0-2</v>
      </c>
      <c r="AK1337">
        <v>2</v>
      </c>
    </row>
    <row r="1338" spans="1:37" x14ac:dyDescent="0.25">
      <c r="A1338" s="8">
        <v>1337</v>
      </c>
      <c r="B1338" t="s">
        <v>44</v>
      </c>
      <c r="C1338" t="s">
        <v>45</v>
      </c>
      <c r="D1338" s="8">
        <v>55</v>
      </c>
      <c r="E1338" t="str">
        <f t="shared" si="104"/>
        <v>46-55</v>
      </c>
      <c r="F1338" t="s">
        <v>46</v>
      </c>
      <c r="G1338" t="s">
        <v>39</v>
      </c>
      <c r="H1338" s="8" t="s">
        <v>48</v>
      </c>
      <c r="I1338" s="10">
        <v>2</v>
      </c>
      <c r="J1338" t="str">
        <f t="shared" si="100"/>
        <v>Near</v>
      </c>
      <c r="K1338">
        <v>4</v>
      </c>
      <c r="L1338" t="s">
        <v>63</v>
      </c>
      <c r="M1338">
        <v>2</v>
      </c>
      <c r="N1338">
        <v>2</v>
      </c>
      <c r="O1338">
        <v>1</v>
      </c>
      <c r="P1338" t="s">
        <v>49</v>
      </c>
      <c r="Q1338">
        <v>4</v>
      </c>
      <c r="R1338" s="11">
        <v>836</v>
      </c>
      <c r="S1338" s="14">
        <v>98</v>
      </c>
      <c r="T1338" s="13">
        <v>2662</v>
      </c>
      <c r="U1338" s="13">
        <f t="shared" si="101"/>
        <v>31944</v>
      </c>
      <c r="V1338" s="14">
        <v>7975</v>
      </c>
      <c r="W1338">
        <v>8</v>
      </c>
      <c r="X1338" s="8" t="s">
        <v>46</v>
      </c>
      <c r="Y1338" s="15">
        <v>0.2</v>
      </c>
      <c r="Z1338">
        <v>4</v>
      </c>
      <c r="AA1338">
        <v>2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 t="str">
        <f t="shared" si="102"/>
        <v>0-3</v>
      </c>
      <c r="AI1338">
        <v>0</v>
      </c>
      <c r="AJ1338" t="str">
        <f t="shared" si="103"/>
        <v>0-2</v>
      </c>
      <c r="AK1338">
        <v>4</v>
      </c>
    </row>
    <row r="1339" spans="1:37" x14ac:dyDescent="0.25">
      <c r="A1339" s="8">
        <v>1338</v>
      </c>
      <c r="B1339" t="s">
        <v>52</v>
      </c>
      <c r="C1339" t="s">
        <v>45</v>
      </c>
      <c r="D1339" s="8">
        <v>28</v>
      </c>
      <c r="E1339" t="str">
        <f t="shared" si="104"/>
        <v>26-35</v>
      </c>
      <c r="F1339" t="s">
        <v>46</v>
      </c>
      <c r="G1339" t="s">
        <v>39</v>
      </c>
      <c r="H1339" s="8" t="s">
        <v>40</v>
      </c>
      <c r="I1339" s="10">
        <v>3</v>
      </c>
      <c r="J1339" t="str">
        <f t="shared" si="100"/>
        <v>Near</v>
      </c>
      <c r="K1339">
        <v>3</v>
      </c>
      <c r="L1339" t="s">
        <v>53</v>
      </c>
      <c r="M1339">
        <v>2</v>
      </c>
      <c r="N1339">
        <v>3</v>
      </c>
      <c r="O1339">
        <v>1</v>
      </c>
      <c r="P1339" t="s">
        <v>60</v>
      </c>
      <c r="Q1339">
        <v>2</v>
      </c>
      <c r="R1339" s="11">
        <v>1172</v>
      </c>
      <c r="S1339" s="14">
        <v>78</v>
      </c>
      <c r="T1339" s="13">
        <v>2856</v>
      </c>
      <c r="U1339" s="13">
        <f t="shared" si="101"/>
        <v>34272</v>
      </c>
      <c r="V1339" s="14">
        <v>3692</v>
      </c>
      <c r="W1339">
        <v>1</v>
      </c>
      <c r="X1339" s="8" t="s">
        <v>46</v>
      </c>
      <c r="Y1339" s="15">
        <v>0.19</v>
      </c>
      <c r="Z1339">
        <v>3</v>
      </c>
      <c r="AA1339">
        <v>4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 t="str">
        <f t="shared" si="102"/>
        <v>0-3</v>
      </c>
      <c r="AI1339">
        <v>0</v>
      </c>
      <c r="AJ1339" t="str">
        <f t="shared" si="103"/>
        <v>0-2</v>
      </c>
      <c r="AK1339">
        <v>0</v>
      </c>
    </row>
    <row r="1340" spans="1:37" x14ac:dyDescent="0.25">
      <c r="A1340" s="8">
        <v>1339</v>
      </c>
      <c r="B1340" t="s">
        <v>44</v>
      </c>
      <c r="C1340" t="s">
        <v>37</v>
      </c>
      <c r="D1340" s="8">
        <v>30</v>
      </c>
      <c r="E1340" t="str">
        <f t="shared" si="104"/>
        <v>26-35</v>
      </c>
      <c r="F1340" t="s">
        <v>38</v>
      </c>
      <c r="G1340" t="s">
        <v>39</v>
      </c>
      <c r="H1340" s="8" t="s">
        <v>40</v>
      </c>
      <c r="I1340" s="10">
        <v>9</v>
      </c>
      <c r="J1340" t="str">
        <f t="shared" si="100"/>
        <v>Moderate</v>
      </c>
      <c r="K1340">
        <v>3</v>
      </c>
      <c r="L1340" t="s">
        <v>53</v>
      </c>
      <c r="M1340">
        <v>2</v>
      </c>
      <c r="N1340">
        <v>3</v>
      </c>
      <c r="O1340">
        <v>1</v>
      </c>
      <c r="P1340" t="s">
        <v>60</v>
      </c>
      <c r="Q1340">
        <v>4</v>
      </c>
      <c r="R1340" s="11">
        <v>945</v>
      </c>
      <c r="S1340" s="14">
        <v>89</v>
      </c>
      <c r="T1340" s="13">
        <v>1081</v>
      </c>
      <c r="U1340" s="13">
        <f t="shared" si="101"/>
        <v>12972</v>
      </c>
      <c r="V1340" s="14">
        <v>16019</v>
      </c>
      <c r="W1340">
        <v>1</v>
      </c>
      <c r="X1340" s="8" t="s">
        <v>46</v>
      </c>
      <c r="Y1340" s="15">
        <v>0.13</v>
      </c>
      <c r="Z1340">
        <v>3</v>
      </c>
      <c r="AA1340">
        <v>3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 t="str">
        <f t="shared" si="102"/>
        <v>0-3</v>
      </c>
      <c r="AI1340">
        <v>0</v>
      </c>
      <c r="AJ1340" t="str">
        <f t="shared" si="103"/>
        <v>0-2</v>
      </c>
      <c r="AK1340">
        <v>0</v>
      </c>
    </row>
    <row r="1341" spans="1:37" x14ac:dyDescent="0.25">
      <c r="A1341" s="8">
        <v>1340</v>
      </c>
      <c r="B1341" t="s">
        <v>44</v>
      </c>
      <c r="C1341" t="s">
        <v>37</v>
      </c>
      <c r="D1341" s="8">
        <v>22</v>
      </c>
      <c r="E1341" t="str">
        <f t="shared" si="104"/>
        <v>18-25</v>
      </c>
      <c r="F1341" t="s">
        <v>38</v>
      </c>
      <c r="G1341" t="s">
        <v>39</v>
      </c>
      <c r="H1341" s="8" t="s">
        <v>48</v>
      </c>
      <c r="I1341" s="10">
        <v>7</v>
      </c>
      <c r="J1341" t="str">
        <f t="shared" si="100"/>
        <v>Moderate</v>
      </c>
      <c r="K1341">
        <v>1</v>
      </c>
      <c r="L1341" t="s">
        <v>41</v>
      </c>
      <c r="M1341">
        <v>4</v>
      </c>
      <c r="N1341">
        <v>3</v>
      </c>
      <c r="O1341">
        <v>1</v>
      </c>
      <c r="P1341" t="s">
        <v>49</v>
      </c>
      <c r="Q1341">
        <v>2</v>
      </c>
      <c r="R1341" s="11">
        <v>391</v>
      </c>
      <c r="S1341" s="14">
        <v>75</v>
      </c>
      <c r="T1341" s="13">
        <v>2472</v>
      </c>
      <c r="U1341" s="13">
        <f t="shared" si="101"/>
        <v>29664</v>
      </c>
      <c r="V1341" s="14">
        <v>26092</v>
      </c>
      <c r="W1341">
        <v>1</v>
      </c>
      <c r="X1341" s="8" t="s">
        <v>38</v>
      </c>
      <c r="Y1341" s="15">
        <v>0.23</v>
      </c>
      <c r="Z1341">
        <v>4</v>
      </c>
      <c r="AA1341">
        <v>1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 t="str">
        <f t="shared" si="102"/>
        <v>0-3</v>
      </c>
      <c r="AI1341">
        <v>0</v>
      </c>
      <c r="AJ1341" t="str">
        <f t="shared" si="103"/>
        <v>0-2</v>
      </c>
      <c r="AK1341">
        <v>0</v>
      </c>
    </row>
    <row r="1342" spans="1:37" x14ac:dyDescent="0.25">
      <c r="A1342" s="8">
        <v>1341</v>
      </c>
      <c r="B1342" t="s">
        <v>52</v>
      </c>
      <c r="C1342" t="s">
        <v>45</v>
      </c>
      <c r="D1342" s="8">
        <v>36</v>
      </c>
      <c r="E1342" t="str">
        <f t="shared" si="104"/>
        <v>36-45</v>
      </c>
      <c r="F1342" t="s">
        <v>46</v>
      </c>
      <c r="G1342" t="s">
        <v>39</v>
      </c>
      <c r="H1342" s="8" t="s">
        <v>40</v>
      </c>
      <c r="I1342" s="10">
        <v>10</v>
      </c>
      <c r="J1342" t="str">
        <f t="shared" si="100"/>
        <v>Moderate</v>
      </c>
      <c r="K1342">
        <v>4</v>
      </c>
      <c r="L1342" t="s">
        <v>63</v>
      </c>
      <c r="M1342">
        <v>2</v>
      </c>
      <c r="N1342">
        <v>2</v>
      </c>
      <c r="O1342">
        <v>2</v>
      </c>
      <c r="P1342" t="s">
        <v>42</v>
      </c>
      <c r="Q1342">
        <v>3</v>
      </c>
      <c r="R1342" s="11">
        <v>1266</v>
      </c>
      <c r="S1342" s="14">
        <v>63</v>
      </c>
      <c r="T1342" s="13">
        <v>5673</v>
      </c>
      <c r="U1342" s="13">
        <f t="shared" si="101"/>
        <v>68076</v>
      </c>
      <c r="V1342" s="14">
        <v>6060</v>
      </c>
      <c r="W1342">
        <v>1</v>
      </c>
      <c r="X1342" s="8" t="s">
        <v>38</v>
      </c>
      <c r="Y1342" s="15">
        <v>0.13</v>
      </c>
      <c r="Z1342">
        <v>3</v>
      </c>
      <c r="AA1342">
        <v>1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 t="str">
        <f t="shared" si="102"/>
        <v>8-11</v>
      </c>
      <c r="AI1342">
        <v>1</v>
      </c>
      <c r="AJ1342" t="str">
        <f t="shared" si="103"/>
        <v>0-2</v>
      </c>
      <c r="AK1342">
        <v>7</v>
      </c>
    </row>
    <row r="1343" spans="1:37" x14ac:dyDescent="0.25">
      <c r="A1343" s="8">
        <v>1342</v>
      </c>
      <c r="B1343" t="s">
        <v>44</v>
      </c>
      <c r="C1343" t="s">
        <v>54</v>
      </c>
      <c r="D1343" s="8">
        <v>31</v>
      </c>
      <c r="E1343" t="str">
        <f t="shared" si="104"/>
        <v>26-35</v>
      </c>
      <c r="F1343" t="s">
        <v>46</v>
      </c>
      <c r="G1343" t="s">
        <v>39</v>
      </c>
      <c r="H1343" s="8" t="s">
        <v>48</v>
      </c>
      <c r="I1343" s="10">
        <v>20</v>
      </c>
      <c r="J1343" t="str">
        <f t="shared" si="100"/>
        <v>Far</v>
      </c>
      <c r="K1343">
        <v>3</v>
      </c>
      <c r="L1343" t="s">
        <v>41</v>
      </c>
      <c r="M1343">
        <v>2</v>
      </c>
      <c r="N1343">
        <v>3</v>
      </c>
      <c r="O1343">
        <v>2</v>
      </c>
      <c r="P1343" t="s">
        <v>51</v>
      </c>
      <c r="Q1343">
        <v>3</v>
      </c>
      <c r="R1343" s="11">
        <v>311</v>
      </c>
      <c r="S1343" s="14">
        <v>89</v>
      </c>
      <c r="T1343" s="13">
        <v>4197</v>
      </c>
      <c r="U1343" s="13">
        <f t="shared" si="101"/>
        <v>50364</v>
      </c>
      <c r="V1343" s="14">
        <v>18624</v>
      </c>
      <c r="W1343">
        <v>1</v>
      </c>
      <c r="X1343" s="8" t="s">
        <v>46</v>
      </c>
      <c r="Y1343" s="15">
        <v>0.11</v>
      </c>
      <c r="Z1343">
        <v>3</v>
      </c>
      <c r="AA1343">
        <v>1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 t="str">
        <f t="shared" si="102"/>
        <v>8-11</v>
      </c>
      <c r="AI1343">
        <v>0</v>
      </c>
      <c r="AJ1343" t="str">
        <f t="shared" si="103"/>
        <v>0-2</v>
      </c>
      <c r="AK1343">
        <v>2</v>
      </c>
    </row>
    <row r="1344" spans="1:37" x14ac:dyDescent="0.25">
      <c r="A1344" s="8">
        <v>1343</v>
      </c>
      <c r="B1344" t="s">
        <v>44</v>
      </c>
      <c r="C1344" t="s">
        <v>45</v>
      </c>
      <c r="D1344" s="8">
        <v>34</v>
      </c>
      <c r="E1344" t="str">
        <f t="shared" si="104"/>
        <v>26-35</v>
      </c>
      <c r="F1344" t="s">
        <v>46</v>
      </c>
      <c r="G1344" t="s">
        <v>39</v>
      </c>
      <c r="H1344" s="8" t="s">
        <v>40</v>
      </c>
      <c r="I1344" s="10">
        <v>4</v>
      </c>
      <c r="J1344" t="str">
        <f t="shared" si="100"/>
        <v>Near</v>
      </c>
      <c r="K1344">
        <v>3</v>
      </c>
      <c r="L1344" t="s">
        <v>41</v>
      </c>
      <c r="M1344">
        <v>3</v>
      </c>
      <c r="N1344">
        <v>3</v>
      </c>
      <c r="O1344">
        <v>3</v>
      </c>
      <c r="P1344" t="s">
        <v>42</v>
      </c>
      <c r="Q1344">
        <v>4</v>
      </c>
      <c r="R1344" s="11">
        <v>1480</v>
      </c>
      <c r="S1344" s="14">
        <v>64</v>
      </c>
      <c r="T1344" s="13">
        <v>9713</v>
      </c>
      <c r="U1344" s="13">
        <f t="shared" si="101"/>
        <v>116556</v>
      </c>
      <c r="V1344" s="14">
        <v>24444</v>
      </c>
      <c r="W1344">
        <v>2</v>
      </c>
      <c r="X1344" s="8" t="s">
        <v>38</v>
      </c>
      <c r="Y1344" s="15">
        <v>0.13</v>
      </c>
      <c r="Z1344">
        <v>3</v>
      </c>
      <c r="AA1344">
        <v>4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 t="str">
        <f t="shared" si="102"/>
        <v>0-3</v>
      </c>
      <c r="AI1344">
        <v>1</v>
      </c>
      <c r="AJ1344" t="str">
        <f t="shared" si="103"/>
        <v>0-2</v>
      </c>
      <c r="AK1344">
        <v>0</v>
      </c>
    </row>
    <row r="1345" spans="1:37" x14ac:dyDescent="0.25">
      <c r="A1345" s="8">
        <v>1344</v>
      </c>
      <c r="B1345" t="s">
        <v>44</v>
      </c>
      <c r="C1345" t="s">
        <v>37</v>
      </c>
      <c r="D1345" s="8">
        <v>29</v>
      </c>
      <c r="E1345" t="str">
        <f t="shared" si="104"/>
        <v>26-35</v>
      </c>
      <c r="F1345" t="s">
        <v>46</v>
      </c>
      <c r="G1345" t="s">
        <v>39</v>
      </c>
      <c r="H1345" s="8" t="s">
        <v>48</v>
      </c>
      <c r="I1345" s="10">
        <v>7</v>
      </c>
      <c r="J1345" t="str">
        <f t="shared" si="100"/>
        <v>Moderate</v>
      </c>
      <c r="K1345">
        <v>3</v>
      </c>
      <c r="L1345" t="s">
        <v>41</v>
      </c>
      <c r="M1345">
        <v>4</v>
      </c>
      <c r="N1345">
        <v>3</v>
      </c>
      <c r="O1345">
        <v>1</v>
      </c>
      <c r="P1345" t="s">
        <v>51</v>
      </c>
      <c r="Q1345">
        <v>1</v>
      </c>
      <c r="R1345" s="11">
        <v>592</v>
      </c>
      <c r="S1345" s="14">
        <v>59</v>
      </c>
      <c r="T1345" s="13">
        <v>2062</v>
      </c>
      <c r="U1345" s="13">
        <f t="shared" si="101"/>
        <v>24744</v>
      </c>
      <c r="V1345" s="14">
        <v>19384</v>
      </c>
      <c r="W1345">
        <v>3</v>
      </c>
      <c r="X1345" s="8" t="s">
        <v>46</v>
      </c>
      <c r="Y1345" s="15">
        <v>0.14000000000000001</v>
      </c>
      <c r="Z1345">
        <v>3</v>
      </c>
      <c r="AA1345">
        <v>2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 t="str">
        <f t="shared" si="102"/>
        <v>0-3</v>
      </c>
      <c r="AI1345">
        <v>1</v>
      </c>
      <c r="AJ1345" t="str">
        <f t="shared" si="103"/>
        <v>0-2</v>
      </c>
      <c r="AK1345">
        <v>2</v>
      </c>
    </row>
    <row r="1346" spans="1:37" x14ac:dyDescent="0.25">
      <c r="A1346" s="8">
        <v>1345</v>
      </c>
      <c r="B1346" t="s">
        <v>44</v>
      </c>
      <c r="C1346" t="s">
        <v>45</v>
      </c>
      <c r="D1346" s="8">
        <v>37</v>
      </c>
      <c r="E1346" t="str">
        <f t="shared" si="104"/>
        <v>36-45</v>
      </c>
      <c r="F1346" t="s">
        <v>46</v>
      </c>
      <c r="G1346" t="s">
        <v>39</v>
      </c>
      <c r="H1346" s="8" t="s">
        <v>48</v>
      </c>
      <c r="I1346" s="10">
        <v>7</v>
      </c>
      <c r="J1346" t="str">
        <f t="shared" si="100"/>
        <v>Moderate</v>
      </c>
      <c r="K1346">
        <v>4</v>
      </c>
      <c r="L1346" t="s">
        <v>53</v>
      </c>
      <c r="M1346">
        <v>4</v>
      </c>
      <c r="N1346">
        <v>3</v>
      </c>
      <c r="O1346">
        <v>2</v>
      </c>
      <c r="P1346" t="s">
        <v>49</v>
      </c>
      <c r="Q1346">
        <v>1</v>
      </c>
      <c r="R1346" s="11">
        <v>783</v>
      </c>
      <c r="S1346" s="14">
        <v>78</v>
      </c>
      <c r="T1346" s="13">
        <v>4284</v>
      </c>
      <c r="U1346" s="13">
        <f t="shared" si="101"/>
        <v>51408</v>
      </c>
      <c r="V1346" s="14">
        <v>13588</v>
      </c>
      <c r="W1346">
        <v>5</v>
      </c>
      <c r="X1346" s="8" t="s">
        <v>38</v>
      </c>
      <c r="Y1346" s="15">
        <v>0.22</v>
      </c>
      <c r="Z1346">
        <v>4</v>
      </c>
      <c r="AA1346">
        <v>3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 t="str">
        <f t="shared" si="102"/>
        <v>0-3</v>
      </c>
      <c r="AI1346">
        <v>0</v>
      </c>
      <c r="AJ1346" t="str">
        <f t="shared" si="103"/>
        <v>0-2</v>
      </c>
      <c r="AK1346">
        <v>4</v>
      </c>
    </row>
    <row r="1347" spans="1:37" x14ac:dyDescent="0.25">
      <c r="A1347" s="8">
        <v>1346</v>
      </c>
      <c r="B1347" t="s">
        <v>52</v>
      </c>
      <c r="C1347" t="s">
        <v>45</v>
      </c>
      <c r="D1347" s="8">
        <v>35</v>
      </c>
      <c r="E1347" t="str">
        <f t="shared" si="104"/>
        <v>26-35</v>
      </c>
      <c r="F1347" t="s">
        <v>46</v>
      </c>
      <c r="G1347" t="s">
        <v>39</v>
      </c>
      <c r="H1347" s="8" t="s">
        <v>48</v>
      </c>
      <c r="I1347" s="10">
        <v>16</v>
      </c>
      <c r="J1347" t="str">
        <f t="shared" ref="J1347:J1410" si="105">IF(I1347&lt;=5,"Near",IF(I1347&lt;=15,"Moderate",IF(I1347&gt;15,"Far")))</f>
        <v>Far</v>
      </c>
      <c r="K1347">
        <v>2</v>
      </c>
      <c r="L1347" t="s">
        <v>50</v>
      </c>
      <c r="M1347">
        <v>4</v>
      </c>
      <c r="N1347">
        <v>2</v>
      </c>
      <c r="O1347">
        <v>2</v>
      </c>
      <c r="P1347" t="s">
        <v>55</v>
      </c>
      <c r="Q1347">
        <v>2</v>
      </c>
      <c r="R1347" s="11">
        <v>219</v>
      </c>
      <c r="S1347" s="14">
        <v>44</v>
      </c>
      <c r="T1347" s="13">
        <v>4788</v>
      </c>
      <c r="U1347" s="13">
        <f t="shared" ref="U1347:U1410" si="106">T1347*12</f>
        <v>57456</v>
      </c>
      <c r="V1347" s="14">
        <v>25388</v>
      </c>
      <c r="W1347">
        <v>0</v>
      </c>
      <c r="X1347" s="8" t="s">
        <v>38</v>
      </c>
      <c r="Y1347" s="15">
        <v>0.11</v>
      </c>
      <c r="Z1347">
        <v>3</v>
      </c>
      <c r="AA1347">
        <v>4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 t="str">
        <f t="shared" ref="AH1347:AH1410" si="107">IF(AG:AG&lt;=3,"0-3", IF(AG:AG&lt;=7,"4-7", IF(AG:AG&lt;=11,"8-11", IF(AG:AG&lt;=15,"12-15","16-19"))))</f>
        <v>0-3</v>
      </c>
      <c r="AI1347">
        <v>0</v>
      </c>
      <c r="AJ1347" t="str">
        <f t="shared" ref="AJ1347:AJ1410" si="108">IF(AI:AI&lt;=2,"0-2",IF(AI:AI&lt;=5,"3-5", IF(AI:AI&lt;=8,"6-8", IF(AI:AI&lt;=11,"9-11","12-15"))))</f>
        <v>0-2</v>
      </c>
      <c r="AK1347">
        <v>2</v>
      </c>
    </row>
    <row r="1348" spans="1:37" x14ac:dyDescent="0.25">
      <c r="A1348" s="8">
        <v>1347</v>
      </c>
      <c r="B1348" t="s">
        <v>52</v>
      </c>
      <c r="C1348" t="s">
        <v>45</v>
      </c>
      <c r="D1348" s="8">
        <v>45</v>
      </c>
      <c r="E1348" t="str">
        <f t="shared" ref="E1348:E1411" si="109">IF(D1348&lt;25,"18-25",IF(D1348&lt;=35,"26-35",IF(D1348&lt;=45,"36-45",IF(D1348&lt;=55,"46-55",IF(D1348&gt;55,"55+")))))</f>
        <v>36-45</v>
      </c>
      <c r="F1348" t="s">
        <v>46</v>
      </c>
      <c r="G1348" t="s">
        <v>39</v>
      </c>
      <c r="H1348" s="8" t="s">
        <v>48</v>
      </c>
      <c r="I1348" s="10">
        <v>25</v>
      </c>
      <c r="J1348" t="str">
        <f t="shared" si="105"/>
        <v>Far</v>
      </c>
      <c r="K1348">
        <v>2</v>
      </c>
      <c r="L1348" t="s">
        <v>41</v>
      </c>
      <c r="M1348">
        <v>2</v>
      </c>
      <c r="N1348">
        <v>2</v>
      </c>
      <c r="O1348">
        <v>2</v>
      </c>
      <c r="P1348" t="s">
        <v>55</v>
      </c>
      <c r="Q1348">
        <v>4</v>
      </c>
      <c r="R1348" s="11">
        <v>556</v>
      </c>
      <c r="S1348" s="14">
        <v>93</v>
      </c>
      <c r="T1348" s="13">
        <v>5906</v>
      </c>
      <c r="U1348" s="13">
        <f t="shared" si="106"/>
        <v>70872</v>
      </c>
      <c r="V1348" s="14">
        <v>23888</v>
      </c>
      <c r="W1348">
        <v>0</v>
      </c>
      <c r="X1348" s="8" t="s">
        <v>46</v>
      </c>
      <c r="Y1348" s="15">
        <v>0.13</v>
      </c>
      <c r="Z1348">
        <v>3</v>
      </c>
      <c r="AA1348">
        <v>4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 t="str">
        <f t="shared" si="107"/>
        <v>8-11</v>
      </c>
      <c r="AI1348">
        <v>3</v>
      </c>
      <c r="AJ1348" t="str">
        <f t="shared" si="108"/>
        <v>3-5</v>
      </c>
      <c r="AK1348">
        <v>8</v>
      </c>
    </row>
    <row r="1349" spans="1:37" x14ac:dyDescent="0.25">
      <c r="A1349" s="8">
        <v>1348</v>
      </c>
      <c r="B1349" t="s">
        <v>44</v>
      </c>
      <c r="C1349" t="s">
        <v>37</v>
      </c>
      <c r="D1349" s="8">
        <v>36</v>
      </c>
      <c r="E1349" t="str">
        <f t="shared" si="109"/>
        <v>36-45</v>
      </c>
      <c r="F1349" t="s">
        <v>46</v>
      </c>
      <c r="G1349" t="s">
        <v>47</v>
      </c>
      <c r="H1349" s="8" t="s">
        <v>64</v>
      </c>
      <c r="I1349" s="10">
        <v>2</v>
      </c>
      <c r="J1349" t="str">
        <f t="shared" si="105"/>
        <v>Near</v>
      </c>
      <c r="K1349">
        <v>1</v>
      </c>
      <c r="L1349" t="s">
        <v>64</v>
      </c>
      <c r="M1349">
        <v>2</v>
      </c>
      <c r="N1349">
        <v>2</v>
      </c>
      <c r="O1349">
        <v>2</v>
      </c>
      <c r="P1349" t="s">
        <v>64</v>
      </c>
      <c r="Q1349">
        <v>4</v>
      </c>
      <c r="R1349" s="11">
        <v>1213</v>
      </c>
      <c r="S1349" s="14">
        <v>94</v>
      </c>
      <c r="T1349" s="13">
        <v>3886</v>
      </c>
      <c r="U1349" s="13">
        <f t="shared" si="106"/>
        <v>46632</v>
      </c>
      <c r="V1349" s="14">
        <v>4223</v>
      </c>
      <c r="W1349">
        <v>1</v>
      </c>
      <c r="X1349" s="8" t="s">
        <v>46</v>
      </c>
      <c r="Y1349" s="15">
        <v>0.21</v>
      </c>
      <c r="Z1349">
        <v>4</v>
      </c>
      <c r="AA1349">
        <v>4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 t="str">
        <f t="shared" si="107"/>
        <v>0-3</v>
      </c>
      <c r="AI1349">
        <v>0</v>
      </c>
      <c r="AJ1349" t="str">
        <f t="shared" si="108"/>
        <v>0-2</v>
      </c>
      <c r="AK1349">
        <v>8</v>
      </c>
    </row>
    <row r="1350" spans="1:37" x14ac:dyDescent="0.25">
      <c r="A1350" s="8">
        <v>1349</v>
      </c>
      <c r="B1350" t="s">
        <v>44</v>
      </c>
      <c r="C1350" t="s">
        <v>54</v>
      </c>
      <c r="D1350" s="8">
        <v>40</v>
      </c>
      <c r="E1350" t="str">
        <f t="shared" si="109"/>
        <v>36-45</v>
      </c>
      <c r="F1350" t="s">
        <v>46</v>
      </c>
      <c r="G1350" t="s">
        <v>39</v>
      </c>
      <c r="H1350" s="8" t="s">
        <v>48</v>
      </c>
      <c r="I1350" s="10">
        <v>1</v>
      </c>
      <c r="J1350" t="str">
        <f t="shared" si="105"/>
        <v>Near</v>
      </c>
      <c r="K1350">
        <v>4</v>
      </c>
      <c r="L1350" t="s">
        <v>41</v>
      </c>
      <c r="M1350">
        <v>1</v>
      </c>
      <c r="N1350">
        <v>3</v>
      </c>
      <c r="O1350">
        <v>4</v>
      </c>
      <c r="P1350" t="s">
        <v>59</v>
      </c>
      <c r="Q1350">
        <v>1</v>
      </c>
      <c r="R1350" s="11">
        <v>1137</v>
      </c>
      <c r="S1350" s="14">
        <v>98</v>
      </c>
      <c r="T1350" s="13">
        <v>16823</v>
      </c>
      <c r="U1350" s="13">
        <f t="shared" si="106"/>
        <v>201876</v>
      </c>
      <c r="V1350" s="14">
        <v>18991</v>
      </c>
      <c r="W1350">
        <v>2</v>
      </c>
      <c r="X1350" s="8" t="s">
        <v>46</v>
      </c>
      <c r="Y1350" s="15">
        <v>0.11</v>
      </c>
      <c r="Z1350">
        <v>3</v>
      </c>
      <c r="AA1350">
        <v>1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 t="str">
        <f t="shared" si="107"/>
        <v>4-7</v>
      </c>
      <c r="AI1350">
        <v>11</v>
      </c>
      <c r="AJ1350" t="str">
        <f t="shared" si="108"/>
        <v>9-11</v>
      </c>
      <c r="AK1350">
        <v>16</v>
      </c>
    </row>
    <row r="1351" spans="1:37" x14ac:dyDescent="0.25">
      <c r="A1351" s="8">
        <v>1350</v>
      </c>
      <c r="B1351" t="s">
        <v>52</v>
      </c>
      <c r="C1351" t="s">
        <v>45</v>
      </c>
      <c r="D1351" s="8">
        <v>26</v>
      </c>
      <c r="E1351" t="str">
        <f t="shared" si="109"/>
        <v>26-35</v>
      </c>
      <c r="F1351" t="s">
        <v>46</v>
      </c>
      <c r="G1351" t="s">
        <v>39</v>
      </c>
      <c r="H1351" s="8" t="s">
        <v>48</v>
      </c>
      <c r="I1351" s="10">
        <v>1</v>
      </c>
      <c r="J1351" t="str">
        <f t="shared" si="105"/>
        <v>Near</v>
      </c>
      <c r="K1351">
        <v>2</v>
      </c>
      <c r="L1351" t="s">
        <v>41</v>
      </c>
      <c r="M1351">
        <v>2</v>
      </c>
      <c r="N1351">
        <v>2</v>
      </c>
      <c r="O1351">
        <v>1</v>
      </c>
      <c r="P1351" t="s">
        <v>49</v>
      </c>
      <c r="Q1351">
        <v>3</v>
      </c>
      <c r="R1351" s="11">
        <v>482</v>
      </c>
      <c r="S1351" s="14">
        <v>90</v>
      </c>
      <c r="T1351" s="13">
        <v>2933</v>
      </c>
      <c r="U1351" s="13">
        <f t="shared" si="106"/>
        <v>35196</v>
      </c>
      <c r="V1351" s="14">
        <v>14908</v>
      </c>
      <c r="W1351">
        <v>1</v>
      </c>
      <c r="X1351" s="8" t="s">
        <v>38</v>
      </c>
      <c r="Y1351" s="15">
        <v>0.13</v>
      </c>
      <c r="Z1351">
        <v>3</v>
      </c>
      <c r="AA1351">
        <v>3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 t="str">
        <f t="shared" si="107"/>
        <v>0-3</v>
      </c>
      <c r="AI1351">
        <v>1</v>
      </c>
      <c r="AJ1351" t="str">
        <f t="shared" si="108"/>
        <v>0-2</v>
      </c>
      <c r="AK1351">
        <v>0</v>
      </c>
    </row>
    <row r="1352" spans="1:37" x14ac:dyDescent="0.25">
      <c r="A1352" s="8">
        <v>1351</v>
      </c>
      <c r="B1352" t="s">
        <v>52</v>
      </c>
      <c r="C1352" t="s">
        <v>37</v>
      </c>
      <c r="D1352" s="8">
        <v>27</v>
      </c>
      <c r="E1352" t="str">
        <f t="shared" si="109"/>
        <v>26-35</v>
      </c>
      <c r="F1352" t="s">
        <v>46</v>
      </c>
      <c r="G1352" t="s">
        <v>39</v>
      </c>
      <c r="H1352" s="8" t="s">
        <v>40</v>
      </c>
      <c r="I1352" s="10">
        <v>2</v>
      </c>
      <c r="J1352" t="str">
        <f t="shared" si="105"/>
        <v>Near</v>
      </c>
      <c r="K1352">
        <v>2</v>
      </c>
      <c r="L1352" t="s">
        <v>53</v>
      </c>
      <c r="M1352">
        <v>1</v>
      </c>
      <c r="N1352">
        <v>4</v>
      </c>
      <c r="O1352">
        <v>2</v>
      </c>
      <c r="P1352" t="s">
        <v>42</v>
      </c>
      <c r="Q1352">
        <v>3</v>
      </c>
      <c r="R1352" s="11">
        <v>511</v>
      </c>
      <c r="S1352" s="14">
        <v>89</v>
      </c>
      <c r="T1352" s="13">
        <v>6500</v>
      </c>
      <c r="U1352" s="13">
        <f t="shared" si="106"/>
        <v>78000</v>
      </c>
      <c r="V1352" s="14">
        <v>26997</v>
      </c>
      <c r="W1352">
        <v>0</v>
      </c>
      <c r="X1352" s="8" t="s">
        <v>46</v>
      </c>
      <c r="Y1352" s="15">
        <v>0.14000000000000001</v>
      </c>
      <c r="Z1352">
        <v>3</v>
      </c>
      <c r="AA1352">
        <v>2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 t="str">
        <f t="shared" si="107"/>
        <v>4-7</v>
      </c>
      <c r="AI1352">
        <v>0</v>
      </c>
      <c r="AJ1352" t="str">
        <f t="shared" si="108"/>
        <v>0-2</v>
      </c>
      <c r="AK1352">
        <v>7</v>
      </c>
    </row>
    <row r="1353" spans="1:37" x14ac:dyDescent="0.25">
      <c r="A1353" s="8">
        <v>1352</v>
      </c>
      <c r="B1353" t="s">
        <v>52</v>
      </c>
      <c r="C1353" t="s">
        <v>54</v>
      </c>
      <c r="D1353" s="8">
        <v>48</v>
      </c>
      <c r="E1353" t="str">
        <f t="shared" si="109"/>
        <v>46-55</v>
      </c>
      <c r="F1353" t="s">
        <v>46</v>
      </c>
      <c r="G1353" t="s">
        <v>47</v>
      </c>
      <c r="H1353" s="8" t="s">
        <v>48</v>
      </c>
      <c r="I1353" s="10">
        <v>22</v>
      </c>
      <c r="J1353" t="str">
        <f t="shared" si="105"/>
        <v>Far</v>
      </c>
      <c r="K1353">
        <v>3</v>
      </c>
      <c r="L1353" t="s">
        <v>53</v>
      </c>
      <c r="M1353">
        <v>4</v>
      </c>
      <c r="N1353">
        <v>3</v>
      </c>
      <c r="O1353">
        <v>4</v>
      </c>
      <c r="P1353" t="s">
        <v>59</v>
      </c>
      <c r="Q1353">
        <v>4</v>
      </c>
      <c r="R1353" s="11">
        <v>117</v>
      </c>
      <c r="S1353" s="14">
        <v>58</v>
      </c>
      <c r="T1353" s="13">
        <v>17174</v>
      </c>
      <c r="U1353" s="13">
        <f t="shared" si="106"/>
        <v>206088</v>
      </c>
      <c r="V1353" s="14">
        <v>2437</v>
      </c>
      <c r="W1353">
        <v>3</v>
      </c>
      <c r="X1353" s="8" t="s">
        <v>46</v>
      </c>
      <c r="Y1353" s="15">
        <v>0.11</v>
      </c>
      <c r="Z1353">
        <v>3</v>
      </c>
      <c r="AA1353">
        <v>2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 t="str">
        <f t="shared" si="107"/>
        <v>16-19</v>
      </c>
      <c r="AI1353">
        <v>4</v>
      </c>
      <c r="AJ1353" t="str">
        <f t="shared" si="108"/>
        <v>3-5</v>
      </c>
      <c r="AK1353">
        <v>7</v>
      </c>
    </row>
    <row r="1354" spans="1:37" x14ac:dyDescent="0.25">
      <c r="A1354" s="8">
        <v>1353</v>
      </c>
      <c r="B1354" t="s">
        <v>44</v>
      </c>
      <c r="C1354" t="s">
        <v>45</v>
      </c>
      <c r="D1354" s="8">
        <v>44</v>
      </c>
      <c r="E1354" t="str">
        <f t="shared" si="109"/>
        <v>36-45</v>
      </c>
      <c r="F1354" t="s">
        <v>46</v>
      </c>
      <c r="G1354" t="s">
        <v>39</v>
      </c>
      <c r="H1354" s="8" t="s">
        <v>48</v>
      </c>
      <c r="I1354" s="10">
        <v>1</v>
      </c>
      <c r="J1354" t="str">
        <f t="shared" si="105"/>
        <v>Near</v>
      </c>
      <c r="K1354">
        <v>4</v>
      </c>
      <c r="L1354" t="s">
        <v>41</v>
      </c>
      <c r="M1354">
        <v>2</v>
      </c>
      <c r="N1354">
        <v>4</v>
      </c>
      <c r="O1354">
        <v>2</v>
      </c>
      <c r="P1354" t="s">
        <v>56</v>
      </c>
      <c r="Q1354">
        <v>1</v>
      </c>
      <c r="R1354" s="11">
        <v>170</v>
      </c>
      <c r="S1354" s="14">
        <v>78</v>
      </c>
      <c r="T1354" s="13">
        <v>5033</v>
      </c>
      <c r="U1354" s="13">
        <f t="shared" si="106"/>
        <v>60396</v>
      </c>
      <c r="V1354" s="14">
        <v>9364</v>
      </c>
      <c r="W1354">
        <v>2</v>
      </c>
      <c r="X1354" s="8" t="s">
        <v>46</v>
      </c>
      <c r="Y1354" s="15">
        <v>0.15</v>
      </c>
      <c r="Z1354">
        <v>3</v>
      </c>
      <c r="AA1354">
        <v>4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 t="str">
        <f t="shared" si="107"/>
        <v>0-3</v>
      </c>
      <c r="AI1354">
        <v>2</v>
      </c>
      <c r="AJ1354" t="str">
        <f t="shared" si="108"/>
        <v>0-2</v>
      </c>
      <c r="AK1354">
        <v>2</v>
      </c>
    </row>
    <row r="1355" spans="1:37" x14ac:dyDescent="0.25">
      <c r="A1355" s="8">
        <v>1354</v>
      </c>
      <c r="B1355" t="s">
        <v>44</v>
      </c>
      <c r="C1355" t="s">
        <v>45</v>
      </c>
      <c r="D1355" s="8">
        <v>34</v>
      </c>
      <c r="E1355" t="str">
        <f t="shared" si="109"/>
        <v>26-35</v>
      </c>
      <c r="F1355" t="s">
        <v>38</v>
      </c>
      <c r="G1355" t="s">
        <v>58</v>
      </c>
      <c r="H1355" s="8" t="s">
        <v>48</v>
      </c>
      <c r="I1355" s="10">
        <v>16</v>
      </c>
      <c r="J1355" t="str">
        <f t="shared" si="105"/>
        <v>Far</v>
      </c>
      <c r="K1355">
        <v>4</v>
      </c>
      <c r="L1355" t="s">
        <v>63</v>
      </c>
      <c r="M1355">
        <v>4</v>
      </c>
      <c r="N1355">
        <v>1</v>
      </c>
      <c r="O1355">
        <v>1</v>
      </c>
      <c r="P1355" t="s">
        <v>49</v>
      </c>
      <c r="Q1355">
        <v>1</v>
      </c>
      <c r="R1355" s="11">
        <v>967</v>
      </c>
      <c r="S1355" s="14">
        <v>85</v>
      </c>
      <c r="T1355" s="13">
        <v>2307</v>
      </c>
      <c r="U1355" s="13">
        <f t="shared" si="106"/>
        <v>27684</v>
      </c>
      <c r="V1355" s="14">
        <v>14460</v>
      </c>
      <c r="W1355">
        <v>1</v>
      </c>
      <c r="X1355" s="8" t="s">
        <v>38</v>
      </c>
      <c r="Y1355" s="15">
        <v>0.23</v>
      </c>
      <c r="Z1355">
        <v>4</v>
      </c>
      <c r="AA1355">
        <v>2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 t="str">
        <f t="shared" si="107"/>
        <v>0-3</v>
      </c>
      <c r="AI1355">
        <v>3</v>
      </c>
      <c r="AJ1355" t="str">
        <f t="shared" si="108"/>
        <v>3-5</v>
      </c>
      <c r="AK1355">
        <v>0</v>
      </c>
    </row>
    <row r="1356" spans="1:37" x14ac:dyDescent="0.25">
      <c r="A1356" s="8">
        <v>1355</v>
      </c>
      <c r="B1356" t="s">
        <v>44</v>
      </c>
      <c r="C1356" t="s">
        <v>37</v>
      </c>
      <c r="D1356" s="8">
        <v>56</v>
      </c>
      <c r="E1356" t="str">
        <f t="shared" si="109"/>
        <v>55+</v>
      </c>
      <c r="F1356" t="s">
        <v>38</v>
      </c>
      <c r="G1356" t="s">
        <v>39</v>
      </c>
      <c r="H1356" s="8" t="s">
        <v>48</v>
      </c>
      <c r="I1356" s="10">
        <v>24</v>
      </c>
      <c r="J1356" t="str">
        <f t="shared" si="105"/>
        <v>Far</v>
      </c>
      <c r="K1356">
        <v>2</v>
      </c>
      <c r="L1356" t="s">
        <v>41</v>
      </c>
      <c r="M1356">
        <v>1</v>
      </c>
      <c r="N1356">
        <v>3</v>
      </c>
      <c r="O1356">
        <v>1</v>
      </c>
      <c r="P1356" t="s">
        <v>51</v>
      </c>
      <c r="Q1356">
        <v>4</v>
      </c>
      <c r="R1356" s="11">
        <v>1162</v>
      </c>
      <c r="S1356" s="14">
        <v>97</v>
      </c>
      <c r="T1356" s="13">
        <v>2587</v>
      </c>
      <c r="U1356" s="13">
        <f t="shared" si="106"/>
        <v>31044</v>
      </c>
      <c r="V1356" s="14">
        <v>10261</v>
      </c>
      <c r="W1356">
        <v>1</v>
      </c>
      <c r="X1356" s="8" t="s">
        <v>46</v>
      </c>
      <c r="Y1356" s="15">
        <v>0.16</v>
      </c>
      <c r="Z1356">
        <v>3</v>
      </c>
      <c r="AA1356">
        <v>4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 t="str">
        <f t="shared" si="107"/>
        <v>0-3</v>
      </c>
      <c r="AI1356">
        <v>1</v>
      </c>
      <c r="AJ1356" t="str">
        <f t="shared" si="108"/>
        <v>0-2</v>
      </c>
      <c r="AK1356">
        <v>0</v>
      </c>
    </row>
    <row r="1357" spans="1:37" x14ac:dyDescent="0.25">
      <c r="A1357" s="8">
        <v>1356</v>
      </c>
      <c r="B1357" t="s">
        <v>44</v>
      </c>
      <c r="C1357" t="s">
        <v>45</v>
      </c>
      <c r="D1357" s="8">
        <v>36</v>
      </c>
      <c r="E1357" t="str">
        <f t="shared" si="109"/>
        <v>36-45</v>
      </c>
      <c r="F1357" t="s">
        <v>46</v>
      </c>
      <c r="G1357" t="s">
        <v>39</v>
      </c>
      <c r="H1357" s="8" t="s">
        <v>40</v>
      </c>
      <c r="I1357" s="10">
        <v>17</v>
      </c>
      <c r="J1357" t="str">
        <f t="shared" si="105"/>
        <v>Far</v>
      </c>
      <c r="K1357">
        <v>2</v>
      </c>
      <c r="L1357" t="s">
        <v>62</v>
      </c>
      <c r="M1357">
        <v>3</v>
      </c>
      <c r="N1357">
        <v>2</v>
      </c>
      <c r="O1357">
        <v>2</v>
      </c>
      <c r="P1357" t="s">
        <v>42</v>
      </c>
      <c r="Q1357">
        <v>2</v>
      </c>
      <c r="R1357" s="11">
        <v>335</v>
      </c>
      <c r="S1357" s="14">
        <v>33</v>
      </c>
      <c r="T1357" s="13">
        <v>5507</v>
      </c>
      <c r="U1357" s="13">
        <f t="shared" si="106"/>
        <v>66084</v>
      </c>
      <c r="V1357" s="14">
        <v>16822</v>
      </c>
      <c r="W1357">
        <v>2</v>
      </c>
      <c r="X1357" s="8" t="s">
        <v>46</v>
      </c>
      <c r="Y1357" s="15">
        <v>0.16</v>
      </c>
      <c r="Z1357">
        <v>3</v>
      </c>
      <c r="AA1357">
        <v>3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 t="str">
        <f t="shared" si="107"/>
        <v>0-3</v>
      </c>
      <c r="AI1357">
        <v>1</v>
      </c>
      <c r="AJ1357" t="str">
        <f t="shared" si="108"/>
        <v>0-2</v>
      </c>
      <c r="AK1357">
        <v>3</v>
      </c>
    </row>
    <row r="1358" spans="1:37" x14ac:dyDescent="0.25">
      <c r="A1358" s="8">
        <v>1357</v>
      </c>
      <c r="B1358" t="s">
        <v>52</v>
      </c>
      <c r="C1358" t="s">
        <v>45</v>
      </c>
      <c r="D1358" s="8">
        <v>41</v>
      </c>
      <c r="E1358" t="str">
        <f t="shared" si="109"/>
        <v>36-45</v>
      </c>
      <c r="F1358" t="s">
        <v>46</v>
      </c>
      <c r="G1358" t="s">
        <v>39</v>
      </c>
      <c r="H1358" s="8" t="s">
        <v>40</v>
      </c>
      <c r="I1358" s="10">
        <v>8</v>
      </c>
      <c r="J1358" t="str">
        <f t="shared" si="105"/>
        <v>Moderate</v>
      </c>
      <c r="K1358">
        <v>3</v>
      </c>
      <c r="L1358" t="s">
        <v>62</v>
      </c>
      <c r="M1358">
        <v>3</v>
      </c>
      <c r="N1358">
        <v>3</v>
      </c>
      <c r="O1358">
        <v>2</v>
      </c>
      <c r="P1358" t="s">
        <v>42</v>
      </c>
      <c r="Q1358">
        <v>2</v>
      </c>
      <c r="R1358" s="11">
        <v>337</v>
      </c>
      <c r="S1358" s="14">
        <v>54</v>
      </c>
      <c r="T1358" s="13">
        <v>4393</v>
      </c>
      <c r="U1358" s="13">
        <f t="shared" si="106"/>
        <v>52716</v>
      </c>
      <c r="V1358" s="14">
        <v>26841</v>
      </c>
      <c r="W1358">
        <v>5</v>
      </c>
      <c r="X1358" s="8" t="s">
        <v>46</v>
      </c>
      <c r="Y1358" s="15">
        <v>0.21</v>
      </c>
      <c r="Z1358">
        <v>4</v>
      </c>
      <c r="AA1358">
        <v>3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 t="str">
        <f t="shared" si="107"/>
        <v>4-7</v>
      </c>
      <c r="AI1358">
        <v>1</v>
      </c>
      <c r="AJ1358" t="str">
        <f t="shared" si="108"/>
        <v>0-2</v>
      </c>
      <c r="AK1358">
        <v>4</v>
      </c>
    </row>
    <row r="1359" spans="1:37" x14ac:dyDescent="0.25">
      <c r="A1359" s="8">
        <v>1358</v>
      </c>
      <c r="B1359" t="s">
        <v>44</v>
      </c>
      <c r="C1359" t="s">
        <v>45</v>
      </c>
      <c r="D1359" s="8">
        <v>42</v>
      </c>
      <c r="E1359" t="str">
        <f t="shared" si="109"/>
        <v>36-45</v>
      </c>
      <c r="F1359" t="s">
        <v>46</v>
      </c>
      <c r="G1359" t="s">
        <v>39</v>
      </c>
      <c r="H1359" s="8" t="s">
        <v>48</v>
      </c>
      <c r="I1359" s="10">
        <v>6</v>
      </c>
      <c r="J1359" t="str">
        <f t="shared" si="105"/>
        <v>Moderate</v>
      </c>
      <c r="K1359">
        <v>3</v>
      </c>
      <c r="L1359" t="s">
        <v>53</v>
      </c>
      <c r="M1359">
        <v>3</v>
      </c>
      <c r="N1359">
        <v>3</v>
      </c>
      <c r="O1359">
        <v>3</v>
      </c>
      <c r="P1359" t="s">
        <v>61</v>
      </c>
      <c r="Q1359">
        <v>1</v>
      </c>
      <c r="R1359" s="11">
        <v>1396</v>
      </c>
      <c r="S1359" s="14">
        <v>83</v>
      </c>
      <c r="T1359" s="13">
        <v>13348</v>
      </c>
      <c r="U1359" s="13">
        <f t="shared" si="106"/>
        <v>160176</v>
      </c>
      <c r="V1359" s="14">
        <v>14842</v>
      </c>
      <c r="W1359">
        <v>9</v>
      </c>
      <c r="X1359" s="8" t="s">
        <v>46</v>
      </c>
      <c r="Y1359" s="15">
        <v>0.13</v>
      </c>
      <c r="Z1359">
        <v>3</v>
      </c>
      <c r="AA1359">
        <v>2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 t="str">
        <f t="shared" si="107"/>
        <v>4-7</v>
      </c>
      <c r="AI1359">
        <v>5</v>
      </c>
      <c r="AJ1359" t="str">
        <f t="shared" si="108"/>
        <v>3-5</v>
      </c>
      <c r="AK1359">
        <v>7</v>
      </c>
    </row>
    <row r="1360" spans="1:37" x14ac:dyDescent="0.25">
      <c r="A1360" s="8">
        <v>1359</v>
      </c>
      <c r="B1360" t="s">
        <v>52</v>
      </c>
      <c r="C1360" t="s">
        <v>54</v>
      </c>
      <c r="D1360" s="8">
        <v>31</v>
      </c>
      <c r="E1360" t="str">
        <f t="shared" si="109"/>
        <v>26-35</v>
      </c>
      <c r="F1360" t="s">
        <v>46</v>
      </c>
      <c r="G1360" t="s">
        <v>39</v>
      </c>
      <c r="H1360" s="8" t="s">
        <v>40</v>
      </c>
      <c r="I1360" s="10">
        <v>10</v>
      </c>
      <c r="J1360" t="str">
        <f t="shared" si="105"/>
        <v>Moderate</v>
      </c>
      <c r="K1360">
        <v>2</v>
      </c>
      <c r="L1360" t="s">
        <v>53</v>
      </c>
      <c r="M1360">
        <v>3</v>
      </c>
      <c r="N1360">
        <v>3</v>
      </c>
      <c r="O1360">
        <v>2</v>
      </c>
      <c r="P1360" t="s">
        <v>42</v>
      </c>
      <c r="Q1360">
        <v>4</v>
      </c>
      <c r="R1360" s="11">
        <v>1079</v>
      </c>
      <c r="S1360" s="14">
        <v>86</v>
      </c>
      <c r="T1360" s="13">
        <v>6583</v>
      </c>
      <c r="U1360" s="13">
        <f t="shared" si="106"/>
        <v>78996</v>
      </c>
      <c r="V1360" s="14">
        <v>20115</v>
      </c>
      <c r="W1360">
        <v>2</v>
      </c>
      <c r="X1360" s="8" t="s">
        <v>38</v>
      </c>
      <c r="Y1360" s="15">
        <v>0.11</v>
      </c>
      <c r="Z1360">
        <v>3</v>
      </c>
      <c r="AA1360">
        <v>4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 t="str">
        <f t="shared" si="107"/>
        <v>0-3</v>
      </c>
      <c r="AI1360">
        <v>1</v>
      </c>
      <c r="AJ1360" t="str">
        <f t="shared" si="108"/>
        <v>0-2</v>
      </c>
      <c r="AK1360">
        <v>4</v>
      </c>
    </row>
    <row r="1361" spans="1:37" x14ac:dyDescent="0.25">
      <c r="A1361" s="8">
        <v>1360</v>
      </c>
      <c r="B1361" t="s">
        <v>52</v>
      </c>
      <c r="C1361" t="s">
        <v>45</v>
      </c>
      <c r="D1361" s="8">
        <v>34</v>
      </c>
      <c r="E1361" t="str">
        <f t="shared" si="109"/>
        <v>26-35</v>
      </c>
      <c r="F1361" t="s">
        <v>46</v>
      </c>
      <c r="G1361" t="s">
        <v>39</v>
      </c>
      <c r="H1361" s="8" t="s">
        <v>40</v>
      </c>
      <c r="I1361" s="10">
        <v>3</v>
      </c>
      <c r="J1361" t="str">
        <f t="shared" si="105"/>
        <v>Near</v>
      </c>
      <c r="K1361">
        <v>1</v>
      </c>
      <c r="L1361" t="s">
        <v>53</v>
      </c>
      <c r="M1361">
        <v>4</v>
      </c>
      <c r="N1361">
        <v>2</v>
      </c>
      <c r="O1361">
        <v>2</v>
      </c>
      <c r="P1361" t="s">
        <v>42</v>
      </c>
      <c r="Q1361">
        <v>4</v>
      </c>
      <c r="R1361" s="11">
        <v>735</v>
      </c>
      <c r="S1361" s="14">
        <v>75</v>
      </c>
      <c r="T1361" s="13">
        <v>8103</v>
      </c>
      <c r="U1361" s="13">
        <f t="shared" si="106"/>
        <v>97236</v>
      </c>
      <c r="V1361" s="14">
        <v>16495</v>
      </c>
      <c r="W1361">
        <v>3</v>
      </c>
      <c r="X1361" s="8" t="s">
        <v>38</v>
      </c>
      <c r="Y1361" s="15">
        <v>0.12</v>
      </c>
      <c r="Z1361">
        <v>3</v>
      </c>
      <c r="AA1361">
        <v>3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 t="str">
        <f t="shared" si="107"/>
        <v>0-3</v>
      </c>
      <c r="AI1361">
        <v>0</v>
      </c>
      <c r="AJ1361" t="str">
        <f t="shared" si="108"/>
        <v>0-2</v>
      </c>
      <c r="AK1361">
        <v>1</v>
      </c>
    </row>
    <row r="1362" spans="1:37" x14ac:dyDescent="0.25">
      <c r="A1362" s="8">
        <v>1361</v>
      </c>
      <c r="B1362" t="s">
        <v>52</v>
      </c>
      <c r="C1362" t="s">
        <v>54</v>
      </c>
      <c r="D1362" s="8">
        <v>31</v>
      </c>
      <c r="E1362" t="str">
        <f t="shared" si="109"/>
        <v>26-35</v>
      </c>
      <c r="F1362" t="s">
        <v>46</v>
      </c>
      <c r="G1362" t="s">
        <v>39</v>
      </c>
      <c r="H1362" s="8" t="s">
        <v>48</v>
      </c>
      <c r="I1362" s="10">
        <v>4</v>
      </c>
      <c r="J1362" t="str">
        <f t="shared" si="105"/>
        <v>Near</v>
      </c>
      <c r="K1362">
        <v>3</v>
      </c>
      <c r="L1362" t="s">
        <v>53</v>
      </c>
      <c r="M1362">
        <v>1</v>
      </c>
      <c r="N1362">
        <v>4</v>
      </c>
      <c r="O1362">
        <v>1</v>
      </c>
      <c r="P1362" t="s">
        <v>51</v>
      </c>
      <c r="Q1362">
        <v>3</v>
      </c>
      <c r="R1362" s="11">
        <v>471</v>
      </c>
      <c r="S1362" s="14">
        <v>62</v>
      </c>
      <c r="T1362" s="13">
        <v>3978</v>
      </c>
      <c r="U1362" s="13">
        <f t="shared" si="106"/>
        <v>47736</v>
      </c>
      <c r="V1362" s="14">
        <v>16031</v>
      </c>
      <c r="W1362">
        <v>8</v>
      </c>
      <c r="X1362" s="8" t="s">
        <v>46</v>
      </c>
      <c r="Y1362" s="15">
        <v>0.12</v>
      </c>
      <c r="Z1362">
        <v>3</v>
      </c>
      <c r="AA1362">
        <v>2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 t="str">
        <f t="shared" si="107"/>
        <v>0-3</v>
      </c>
      <c r="AI1362">
        <v>2</v>
      </c>
      <c r="AJ1362" t="str">
        <f t="shared" si="108"/>
        <v>0-2</v>
      </c>
      <c r="AK1362">
        <v>2</v>
      </c>
    </row>
    <row r="1363" spans="1:37" x14ac:dyDescent="0.25">
      <c r="A1363" s="8">
        <v>1362</v>
      </c>
      <c r="B1363" t="s">
        <v>44</v>
      </c>
      <c r="C1363" t="s">
        <v>45</v>
      </c>
      <c r="D1363" s="8">
        <v>26</v>
      </c>
      <c r="E1363" t="str">
        <f t="shared" si="109"/>
        <v>26-35</v>
      </c>
      <c r="F1363" t="s">
        <v>46</v>
      </c>
      <c r="G1363" t="s">
        <v>47</v>
      </c>
      <c r="H1363" s="8" t="s">
        <v>48</v>
      </c>
      <c r="I1363" s="10">
        <v>6</v>
      </c>
      <c r="J1363" t="str">
        <f t="shared" si="105"/>
        <v>Moderate</v>
      </c>
      <c r="K1363">
        <v>3</v>
      </c>
      <c r="L1363" t="s">
        <v>50</v>
      </c>
      <c r="M1363">
        <v>3</v>
      </c>
      <c r="N1363">
        <v>4</v>
      </c>
      <c r="O1363">
        <v>1</v>
      </c>
      <c r="P1363" t="s">
        <v>51</v>
      </c>
      <c r="Q1363">
        <v>4</v>
      </c>
      <c r="R1363" s="11">
        <v>1096</v>
      </c>
      <c r="S1363" s="14">
        <v>61</v>
      </c>
      <c r="T1363" s="13">
        <v>2544</v>
      </c>
      <c r="U1363" s="13">
        <f t="shared" si="106"/>
        <v>30528</v>
      </c>
      <c r="V1363" s="14">
        <v>7102</v>
      </c>
      <c r="W1363">
        <v>0</v>
      </c>
      <c r="X1363" s="8" t="s">
        <v>46</v>
      </c>
      <c r="Y1363" s="15">
        <v>0.18</v>
      </c>
      <c r="Z1363">
        <v>3</v>
      </c>
      <c r="AA1363">
        <v>1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 t="str">
        <f t="shared" si="107"/>
        <v>4-7</v>
      </c>
      <c r="AI1363">
        <v>7</v>
      </c>
      <c r="AJ1363" t="str">
        <f t="shared" si="108"/>
        <v>6-8</v>
      </c>
      <c r="AK1363">
        <v>7</v>
      </c>
    </row>
    <row r="1364" spans="1:37" x14ac:dyDescent="0.25">
      <c r="A1364" s="8">
        <v>1363</v>
      </c>
      <c r="B1364" t="s">
        <v>44</v>
      </c>
      <c r="C1364" t="s">
        <v>37</v>
      </c>
      <c r="D1364" s="8">
        <v>45</v>
      </c>
      <c r="E1364" t="str">
        <f t="shared" si="109"/>
        <v>36-45</v>
      </c>
      <c r="F1364" t="s">
        <v>46</v>
      </c>
      <c r="G1364" t="s">
        <v>47</v>
      </c>
      <c r="H1364" s="8" t="s">
        <v>48</v>
      </c>
      <c r="I1364" s="10">
        <v>1</v>
      </c>
      <c r="J1364" t="str">
        <f t="shared" si="105"/>
        <v>Near</v>
      </c>
      <c r="K1364">
        <v>4</v>
      </c>
      <c r="L1364" t="s">
        <v>53</v>
      </c>
      <c r="M1364">
        <v>2</v>
      </c>
      <c r="N1364">
        <v>3</v>
      </c>
      <c r="O1364">
        <v>2</v>
      </c>
      <c r="P1364" t="s">
        <v>56</v>
      </c>
      <c r="Q1364">
        <v>3</v>
      </c>
      <c r="R1364" s="11">
        <v>1297</v>
      </c>
      <c r="S1364" s="14">
        <v>44</v>
      </c>
      <c r="T1364" s="13">
        <v>5399</v>
      </c>
      <c r="U1364" s="13">
        <f t="shared" si="106"/>
        <v>64788</v>
      </c>
      <c r="V1364" s="14">
        <v>14511</v>
      </c>
      <c r="W1364">
        <v>4</v>
      </c>
      <c r="X1364" s="8" t="s">
        <v>46</v>
      </c>
      <c r="Y1364" s="15">
        <v>0.12</v>
      </c>
      <c r="Z1364">
        <v>3</v>
      </c>
      <c r="AA1364">
        <v>3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 t="str">
        <f t="shared" si="107"/>
        <v>0-3</v>
      </c>
      <c r="AI1364">
        <v>0</v>
      </c>
      <c r="AJ1364" t="str">
        <f t="shared" si="108"/>
        <v>0-2</v>
      </c>
      <c r="AK1364">
        <v>3</v>
      </c>
    </row>
    <row r="1365" spans="1:37" x14ac:dyDescent="0.25">
      <c r="A1365" s="8">
        <v>1364</v>
      </c>
      <c r="B1365" t="s">
        <v>44</v>
      </c>
      <c r="C1365" t="s">
        <v>37</v>
      </c>
      <c r="D1365" s="8">
        <v>33</v>
      </c>
      <c r="E1365" t="str">
        <f t="shared" si="109"/>
        <v>26-35</v>
      </c>
      <c r="F1365" t="s">
        <v>46</v>
      </c>
      <c r="G1365" t="s">
        <v>39</v>
      </c>
      <c r="H1365" s="8" t="s">
        <v>40</v>
      </c>
      <c r="I1365" s="10">
        <v>10</v>
      </c>
      <c r="J1365" t="str">
        <f t="shared" si="105"/>
        <v>Moderate</v>
      </c>
      <c r="K1365">
        <v>4</v>
      </c>
      <c r="L1365" t="s">
        <v>62</v>
      </c>
      <c r="M1365">
        <v>2</v>
      </c>
      <c r="N1365">
        <v>3</v>
      </c>
      <c r="O1365">
        <v>2</v>
      </c>
      <c r="P1365" t="s">
        <v>42</v>
      </c>
      <c r="Q1365">
        <v>3</v>
      </c>
      <c r="R1365" s="11">
        <v>217</v>
      </c>
      <c r="S1365" s="14">
        <v>43</v>
      </c>
      <c r="T1365" s="13">
        <v>5487</v>
      </c>
      <c r="U1365" s="13">
        <f t="shared" si="106"/>
        <v>65844</v>
      </c>
      <c r="V1365" s="14">
        <v>10410</v>
      </c>
      <c r="W1365">
        <v>1</v>
      </c>
      <c r="X1365" s="8" t="s">
        <v>46</v>
      </c>
      <c r="Y1365" s="15">
        <v>0.14000000000000001</v>
      </c>
      <c r="Z1365">
        <v>3</v>
      </c>
      <c r="AA1365">
        <v>2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 t="str">
        <f t="shared" si="107"/>
        <v>4-7</v>
      </c>
      <c r="AI1365">
        <v>0</v>
      </c>
      <c r="AJ1365" t="str">
        <f t="shared" si="108"/>
        <v>0-2</v>
      </c>
      <c r="AK1365">
        <v>9</v>
      </c>
    </row>
    <row r="1366" spans="1:37" x14ac:dyDescent="0.25">
      <c r="A1366" s="8">
        <v>1365</v>
      </c>
      <c r="B1366" t="s">
        <v>44</v>
      </c>
      <c r="C1366" t="s">
        <v>45</v>
      </c>
      <c r="D1366" s="8">
        <v>28</v>
      </c>
      <c r="E1366" t="str">
        <f t="shared" si="109"/>
        <v>26-35</v>
      </c>
      <c r="F1366" t="s">
        <v>46</v>
      </c>
      <c r="G1366" t="s">
        <v>47</v>
      </c>
      <c r="H1366" s="8" t="s">
        <v>40</v>
      </c>
      <c r="I1366" s="10">
        <v>1</v>
      </c>
      <c r="J1366" t="str">
        <f t="shared" si="105"/>
        <v>Near</v>
      </c>
      <c r="K1366">
        <v>2</v>
      </c>
      <c r="L1366" t="s">
        <v>41</v>
      </c>
      <c r="M1366">
        <v>3</v>
      </c>
      <c r="N1366">
        <v>2</v>
      </c>
      <c r="O1366">
        <v>2</v>
      </c>
      <c r="P1366" t="s">
        <v>42</v>
      </c>
      <c r="Q1366">
        <v>4</v>
      </c>
      <c r="R1366" s="11">
        <v>783</v>
      </c>
      <c r="S1366" s="14">
        <v>42</v>
      </c>
      <c r="T1366" s="13">
        <v>6834</v>
      </c>
      <c r="U1366" s="13">
        <f t="shared" si="106"/>
        <v>82008</v>
      </c>
      <c r="V1366" s="14">
        <v>19255</v>
      </c>
      <c r="W1366">
        <v>1</v>
      </c>
      <c r="X1366" s="8" t="s">
        <v>38</v>
      </c>
      <c r="Y1366" s="15">
        <v>0.12</v>
      </c>
      <c r="Z1366">
        <v>3</v>
      </c>
      <c r="AA1366">
        <v>3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 t="str">
        <f t="shared" si="107"/>
        <v>4-7</v>
      </c>
      <c r="AI1366">
        <v>0</v>
      </c>
      <c r="AJ1366" t="str">
        <f t="shared" si="108"/>
        <v>0-2</v>
      </c>
      <c r="AK1366">
        <v>7</v>
      </c>
    </row>
    <row r="1367" spans="1:37" x14ac:dyDescent="0.25">
      <c r="A1367" s="8">
        <v>1366</v>
      </c>
      <c r="B1367" t="s">
        <v>44</v>
      </c>
      <c r="C1367" t="s">
        <v>37</v>
      </c>
      <c r="D1367" s="8">
        <v>29</v>
      </c>
      <c r="E1367" t="str">
        <f t="shared" si="109"/>
        <v>26-35</v>
      </c>
      <c r="F1367" t="s">
        <v>38</v>
      </c>
      <c r="G1367" t="s">
        <v>47</v>
      </c>
      <c r="H1367" s="8" t="s">
        <v>40</v>
      </c>
      <c r="I1367" s="10">
        <v>24</v>
      </c>
      <c r="J1367" t="str">
        <f t="shared" si="105"/>
        <v>Far</v>
      </c>
      <c r="K1367">
        <v>3</v>
      </c>
      <c r="L1367" t="s">
        <v>63</v>
      </c>
      <c r="M1367">
        <v>3</v>
      </c>
      <c r="N1367">
        <v>4</v>
      </c>
      <c r="O1367">
        <v>1</v>
      </c>
      <c r="P1367" t="s">
        <v>60</v>
      </c>
      <c r="Q1367">
        <v>1</v>
      </c>
      <c r="R1367" s="11">
        <v>746</v>
      </c>
      <c r="S1367" s="14">
        <v>45</v>
      </c>
      <c r="T1367" s="13">
        <v>1091</v>
      </c>
      <c r="U1367" s="13">
        <f t="shared" si="106"/>
        <v>13092</v>
      </c>
      <c r="V1367" s="14">
        <v>10642</v>
      </c>
      <c r="W1367">
        <v>1</v>
      </c>
      <c r="X1367" s="8" t="s">
        <v>46</v>
      </c>
      <c r="Y1367" s="15">
        <v>0.17</v>
      </c>
      <c r="Z1367">
        <v>3</v>
      </c>
      <c r="AA1367">
        <v>4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 t="str">
        <f t="shared" si="107"/>
        <v>0-3</v>
      </c>
      <c r="AI1367">
        <v>0</v>
      </c>
      <c r="AJ1367" t="str">
        <f t="shared" si="108"/>
        <v>0-2</v>
      </c>
      <c r="AK1367">
        <v>0</v>
      </c>
    </row>
    <row r="1368" spans="1:37" x14ac:dyDescent="0.25">
      <c r="A1368" s="8">
        <v>1367</v>
      </c>
      <c r="B1368" t="s">
        <v>52</v>
      </c>
      <c r="C1368" t="s">
        <v>45</v>
      </c>
      <c r="D1368" s="8">
        <v>39</v>
      </c>
      <c r="E1368" t="str">
        <f t="shared" si="109"/>
        <v>36-45</v>
      </c>
      <c r="F1368" t="s">
        <v>46</v>
      </c>
      <c r="G1368" t="s">
        <v>58</v>
      </c>
      <c r="H1368" s="8" t="s">
        <v>40</v>
      </c>
      <c r="I1368" s="10">
        <v>21</v>
      </c>
      <c r="J1368" t="str">
        <f t="shared" si="105"/>
        <v>Far</v>
      </c>
      <c r="K1368">
        <v>4</v>
      </c>
      <c r="L1368" t="s">
        <v>41</v>
      </c>
      <c r="M1368">
        <v>1</v>
      </c>
      <c r="N1368">
        <v>1</v>
      </c>
      <c r="O1368">
        <v>2</v>
      </c>
      <c r="P1368" t="s">
        <v>42</v>
      </c>
      <c r="Q1368">
        <v>3</v>
      </c>
      <c r="R1368" s="11">
        <v>1251</v>
      </c>
      <c r="S1368" s="14">
        <v>32</v>
      </c>
      <c r="T1368" s="13">
        <v>5736</v>
      </c>
      <c r="U1368" s="13">
        <f t="shared" si="106"/>
        <v>68832</v>
      </c>
      <c r="V1368" s="14">
        <v>3987</v>
      </c>
      <c r="W1368">
        <v>6</v>
      </c>
      <c r="X1368" s="8" t="s">
        <v>46</v>
      </c>
      <c r="Y1368" s="15">
        <v>0.19</v>
      </c>
      <c r="Z1368">
        <v>3</v>
      </c>
      <c r="AA1368">
        <v>3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 t="str">
        <f t="shared" si="107"/>
        <v>0-3</v>
      </c>
      <c r="AI1368">
        <v>1</v>
      </c>
      <c r="AJ1368" t="str">
        <f t="shared" si="108"/>
        <v>0-2</v>
      </c>
      <c r="AK1368">
        <v>2</v>
      </c>
    </row>
    <row r="1369" spans="1:37" x14ac:dyDescent="0.25">
      <c r="A1369" s="8">
        <v>1368</v>
      </c>
      <c r="B1369" t="s">
        <v>44</v>
      </c>
      <c r="C1369" t="s">
        <v>45</v>
      </c>
      <c r="D1369" s="8">
        <v>27</v>
      </c>
      <c r="E1369" t="str">
        <f t="shared" si="109"/>
        <v>26-35</v>
      </c>
      <c r="F1369" t="s">
        <v>46</v>
      </c>
      <c r="G1369" t="s">
        <v>39</v>
      </c>
      <c r="H1369" s="8" t="s">
        <v>48</v>
      </c>
      <c r="I1369" s="10">
        <v>2</v>
      </c>
      <c r="J1369" t="str">
        <f t="shared" si="105"/>
        <v>Near</v>
      </c>
      <c r="K1369">
        <v>4</v>
      </c>
      <c r="L1369" t="s">
        <v>63</v>
      </c>
      <c r="M1369">
        <v>2</v>
      </c>
      <c r="N1369">
        <v>3</v>
      </c>
      <c r="O1369">
        <v>1</v>
      </c>
      <c r="P1369" t="s">
        <v>49</v>
      </c>
      <c r="Q1369">
        <v>2</v>
      </c>
      <c r="R1369" s="11">
        <v>1354</v>
      </c>
      <c r="S1369" s="14">
        <v>41</v>
      </c>
      <c r="T1369" s="13">
        <v>2226</v>
      </c>
      <c r="U1369" s="13">
        <f t="shared" si="106"/>
        <v>26712</v>
      </c>
      <c r="V1369" s="14">
        <v>6073</v>
      </c>
      <c r="W1369">
        <v>1</v>
      </c>
      <c r="X1369" s="8" t="s">
        <v>46</v>
      </c>
      <c r="Y1369" s="15">
        <v>0.11</v>
      </c>
      <c r="Z1369">
        <v>3</v>
      </c>
      <c r="AA1369">
        <v>3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 t="str">
        <f t="shared" si="107"/>
        <v>0-3</v>
      </c>
      <c r="AI1369">
        <v>1</v>
      </c>
      <c r="AJ1369" t="str">
        <f t="shared" si="108"/>
        <v>0-2</v>
      </c>
      <c r="AK1369">
        <v>2</v>
      </c>
    </row>
    <row r="1370" spans="1:37" x14ac:dyDescent="0.25">
      <c r="A1370" s="8">
        <v>1369</v>
      </c>
      <c r="B1370" t="s">
        <v>44</v>
      </c>
      <c r="C1370" t="s">
        <v>45</v>
      </c>
      <c r="D1370" s="8">
        <v>34</v>
      </c>
      <c r="E1370" t="str">
        <f t="shared" si="109"/>
        <v>26-35</v>
      </c>
      <c r="F1370" t="s">
        <v>46</v>
      </c>
      <c r="G1370" t="s">
        <v>47</v>
      </c>
      <c r="H1370" s="8" t="s">
        <v>48</v>
      </c>
      <c r="I1370" s="10">
        <v>22</v>
      </c>
      <c r="J1370" t="str">
        <f t="shared" si="105"/>
        <v>Far</v>
      </c>
      <c r="K1370">
        <v>4</v>
      </c>
      <c r="L1370" t="s">
        <v>50</v>
      </c>
      <c r="M1370">
        <v>3</v>
      </c>
      <c r="N1370">
        <v>2</v>
      </c>
      <c r="O1370">
        <v>2</v>
      </c>
      <c r="P1370" t="s">
        <v>49</v>
      </c>
      <c r="Q1370">
        <v>4</v>
      </c>
      <c r="R1370" s="11">
        <v>735</v>
      </c>
      <c r="S1370" s="14">
        <v>86</v>
      </c>
      <c r="T1370" s="13">
        <v>5747</v>
      </c>
      <c r="U1370" s="13">
        <f t="shared" si="106"/>
        <v>68964</v>
      </c>
      <c r="V1370" s="14">
        <v>26496</v>
      </c>
      <c r="W1370">
        <v>1</v>
      </c>
      <c r="X1370" s="8" t="s">
        <v>38</v>
      </c>
      <c r="Y1370" s="15">
        <v>0.15</v>
      </c>
      <c r="Z1370">
        <v>3</v>
      </c>
      <c r="AA1370">
        <v>2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 t="str">
        <f t="shared" si="107"/>
        <v>8-11</v>
      </c>
      <c r="AI1370">
        <v>6</v>
      </c>
      <c r="AJ1370" t="str">
        <f t="shared" si="108"/>
        <v>6-8</v>
      </c>
      <c r="AK1370">
        <v>11</v>
      </c>
    </row>
    <row r="1371" spans="1:37" x14ac:dyDescent="0.25">
      <c r="A1371" s="8">
        <v>1370</v>
      </c>
      <c r="B1371" t="s">
        <v>52</v>
      </c>
      <c r="C1371" t="s">
        <v>37</v>
      </c>
      <c r="D1371" s="8">
        <v>28</v>
      </c>
      <c r="E1371" t="str">
        <f t="shared" si="109"/>
        <v>26-35</v>
      </c>
      <c r="F1371" t="s">
        <v>38</v>
      </c>
      <c r="G1371" t="s">
        <v>39</v>
      </c>
      <c r="H1371" s="8" t="s">
        <v>40</v>
      </c>
      <c r="I1371" s="10">
        <v>13</v>
      </c>
      <c r="J1371" t="str">
        <f t="shared" si="105"/>
        <v>Moderate</v>
      </c>
      <c r="K1371">
        <v>2</v>
      </c>
      <c r="L1371" t="s">
        <v>62</v>
      </c>
      <c r="M1371">
        <v>4</v>
      </c>
      <c r="N1371">
        <v>3</v>
      </c>
      <c r="O1371">
        <v>2</v>
      </c>
      <c r="P1371" t="s">
        <v>42</v>
      </c>
      <c r="Q1371">
        <v>3</v>
      </c>
      <c r="R1371" s="11">
        <v>1475</v>
      </c>
      <c r="S1371" s="14">
        <v>84</v>
      </c>
      <c r="T1371" s="13">
        <v>9854</v>
      </c>
      <c r="U1371" s="13">
        <f t="shared" si="106"/>
        <v>118248</v>
      </c>
      <c r="V1371" s="14">
        <v>23352</v>
      </c>
      <c r="W1371">
        <v>3</v>
      </c>
      <c r="X1371" s="8" t="s">
        <v>38</v>
      </c>
      <c r="Y1371" s="15">
        <v>0.11</v>
      </c>
      <c r="Z1371">
        <v>3</v>
      </c>
      <c r="AA1371">
        <v>4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 t="str">
        <f t="shared" si="107"/>
        <v>0-3</v>
      </c>
      <c r="AI1371">
        <v>2</v>
      </c>
      <c r="AJ1371" t="str">
        <f t="shared" si="108"/>
        <v>0-2</v>
      </c>
      <c r="AK1371">
        <v>2</v>
      </c>
    </row>
    <row r="1372" spans="1:37" x14ac:dyDescent="0.25">
      <c r="A1372" s="8">
        <v>1371</v>
      </c>
      <c r="B1372" t="s">
        <v>44</v>
      </c>
      <c r="C1372" t="s">
        <v>45</v>
      </c>
      <c r="D1372" s="8">
        <v>47</v>
      </c>
      <c r="E1372" t="str">
        <f t="shared" si="109"/>
        <v>46-55</v>
      </c>
      <c r="F1372" t="s">
        <v>46</v>
      </c>
      <c r="G1372" t="s">
        <v>58</v>
      </c>
      <c r="H1372" s="8" t="s">
        <v>48</v>
      </c>
      <c r="I1372" s="10">
        <v>14</v>
      </c>
      <c r="J1372" t="str">
        <f t="shared" si="105"/>
        <v>Moderate</v>
      </c>
      <c r="K1372">
        <v>4</v>
      </c>
      <c r="L1372" t="s">
        <v>63</v>
      </c>
      <c r="M1372">
        <v>3</v>
      </c>
      <c r="N1372">
        <v>3</v>
      </c>
      <c r="O1372">
        <v>2</v>
      </c>
      <c r="P1372" t="s">
        <v>49</v>
      </c>
      <c r="Q1372">
        <v>2</v>
      </c>
      <c r="R1372" s="11">
        <v>1169</v>
      </c>
      <c r="S1372" s="14">
        <v>64</v>
      </c>
      <c r="T1372" s="13">
        <v>5467</v>
      </c>
      <c r="U1372" s="13">
        <f t="shared" si="106"/>
        <v>65604</v>
      </c>
      <c r="V1372" s="14">
        <v>2125</v>
      </c>
      <c r="W1372">
        <v>8</v>
      </c>
      <c r="X1372" s="8" t="s">
        <v>46</v>
      </c>
      <c r="Y1372" s="15">
        <v>0.18</v>
      </c>
      <c r="Z1372">
        <v>3</v>
      </c>
      <c r="AA1372">
        <v>3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 t="str">
        <f t="shared" si="107"/>
        <v>4-7</v>
      </c>
      <c r="AI1372">
        <v>1</v>
      </c>
      <c r="AJ1372" t="str">
        <f t="shared" si="108"/>
        <v>0-2</v>
      </c>
      <c r="AK1372">
        <v>7</v>
      </c>
    </row>
    <row r="1373" spans="1:37" x14ac:dyDescent="0.25">
      <c r="A1373" s="8">
        <v>1372</v>
      </c>
      <c r="B1373" t="s">
        <v>52</v>
      </c>
      <c r="C1373" t="s">
        <v>45</v>
      </c>
      <c r="D1373" s="8">
        <v>56</v>
      </c>
      <c r="E1373" t="str">
        <f t="shared" si="109"/>
        <v>55+</v>
      </c>
      <c r="F1373" t="s">
        <v>46</v>
      </c>
      <c r="G1373" t="s">
        <v>39</v>
      </c>
      <c r="H1373" s="8" t="s">
        <v>40</v>
      </c>
      <c r="I1373" s="10">
        <v>11</v>
      </c>
      <c r="J1373" t="str">
        <f t="shared" si="105"/>
        <v>Moderate</v>
      </c>
      <c r="K1373">
        <v>5</v>
      </c>
      <c r="L1373" t="s">
        <v>62</v>
      </c>
      <c r="M1373">
        <v>4</v>
      </c>
      <c r="N1373">
        <v>2</v>
      </c>
      <c r="O1373">
        <v>2</v>
      </c>
      <c r="P1373" t="s">
        <v>42</v>
      </c>
      <c r="Q1373">
        <v>1</v>
      </c>
      <c r="R1373" s="11">
        <v>1443</v>
      </c>
      <c r="S1373" s="14">
        <v>89</v>
      </c>
      <c r="T1373" s="13">
        <v>5380</v>
      </c>
      <c r="U1373" s="13">
        <f t="shared" si="106"/>
        <v>64560</v>
      </c>
      <c r="V1373" s="14">
        <v>20328</v>
      </c>
      <c r="W1373">
        <v>4</v>
      </c>
      <c r="X1373" s="8" t="s">
        <v>46</v>
      </c>
      <c r="Y1373" s="15">
        <v>0.16</v>
      </c>
      <c r="Z1373">
        <v>3</v>
      </c>
      <c r="AA1373">
        <v>3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 t="str">
        <f t="shared" si="107"/>
        <v>0-3</v>
      </c>
      <c r="AI1373">
        <v>0</v>
      </c>
      <c r="AJ1373" t="str">
        <f t="shared" si="108"/>
        <v>0-2</v>
      </c>
      <c r="AK1373">
        <v>0</v>
      </c>
    </row>
    <row r="1374" spans="1:37" x14ac:dyDescent="0.25">
      <c r="A1374" s="8">
        <v>1373</v>
      </c>
      <c r="B1374" t="s">
        <v>44</v>
      </c>
      <c r="C1374" t="s">
        <v>45</v>
      </c>
      <c r="D1374" s="8">
        <v>39</v>
      </c>
      <c r="E1374" t="str">
        <f t="shared" si="109"/>
        <v>36-45</v>
      </c>
      <c r="F1374" t="s">
        <v>46</v>
      </c>
      <c r="G1374" t="s">
        <v>39</v>
      </c>
      <c r="H1374" s="8" t="s">
        <v>48</v>
      </c>
      <c r="I1374" s="10">
        <v>9</v>
      </c>
      <c r="J1374" t="str">
        <f t="shared" si="105"/>
        <v>Moderate</v>
      </c>
      <c r="K1374">
        <v>2</v>
      </c>
      <c r="L1374" t="s">
        <v>53</v>
      </c>
      <c r="M1374">
        <v>1</v>
      </c>
      <c r="N1374">
        <v>3</v>
      </c>
      <c r="O1374">
        <v>2</v>
      </c>
      <c r="P1374" t="s">
        <v>55</v>
      </c>
      <c r="Q1374">
        <v>1</v>
      </c>
      <c r="R1374" s="11">
        <v>867</v>
      </c>
      <c r="S1374" s="14">
        <v>87</v>
      </c>
      <c r="T1374" s="13">
        <v>5151</v>
      </c>
      <c r="U1374" s="13">
        <f t="shared" si="106"/>
        <v>61812</v>
      </c>
      <c r="V1374" s="14">
        <v>12315</v>
      </c>
      <c r="W1374">
        <v>1</v>
      </c>
      <c r="X1374" s="8" t="s">
        <v>46</v>
      </c>
      <c r="Y1374" s="15">
        <v>0.25</v>
      </c>
      <c r="Z1374">
        <v>4</v>
      </c>
      <c r="AA1374">
        <v>4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 t="str">
        <f t="shared" si="107"/>
        <v>0-3</v>
      </c>
      <c r="AI1374">
        <v>7</v>
      </c>
      <c r="AJ1374" t="str">
        <f t="shared" si="108"/>
        <v>6-8</v>
      </c>
      <c r="AK1374">
        <v>9</v>
      </c>
    </row>
    <row r="1375" spans="1:37" x14ac:dyDescent="0.25">
      <c r="A1375" s="8">
        <v>1374</v>
      </c>
      <c r="B1375" t="s">
        <v>52</v>
      </c>
      <c r="C1375" t="s">
        <v>54</v>
      </c>
      <c r="D1375" s="8">
        <v>38</v>
      </c>
      <c r="E1375" t="str">
        <f t="shared" si="109"/>
        <v>36-45</v>
      </c>
      <c r="F1375" t="s">
        <v>46</v>
      </c>
      <c r="G1375" t="s">
        <v>47</v>
      </c>
      <c r="H1375" s="8" t="s">
        <v>48</v>
      </c>
      <c r="I1375" s="10">
        <v>8</v>
      </c>
      <c r="J1375" t="str">
        <f t="shared" si="105"/>
        <v>Moderate</v>
      </c>
      <c r="K1375">
        <v>3</v>
      </c>
      <c r="L1375" t="s">
        <v>53</v>
      </c>
      <c r="M1375">
        <v>4</v>
      </c>
      <c r="N1375">
        <v>2</v>
      </c>
      <c r="O1375">
        <v>2</v>
      </c>
      <c r="P1375" t="s">
        <v>49</v>
      </c>
      <c r="Q1375">
        <v>2</v>
      </c>
      <c r="R1375" s="11">
        <v>1394</v>
      </c>
      <c r="S1375" s="14">
        <v>58</v>
      </c>
      <c r="T1375" s="13">
        <v>2133</v>
      </c>
      <c r="U1375" s="13">
        <f t="shared" si="106"/>
        <v>25596</v>
      </c>
      <c r="V1375" s="14">
        <v>18115</v>
      </c>
      <c r="W1375">
        <v>1</v>
      </c>
      <c r="X1375" s="8" t="s">
        <v>38</v>
      </c>
      <c r="Y1375" s="15">
        <v>0.16</v>
      </c>
      <c r="Z1375">
        <v>3</v>
      </c>
      <c r="AA1375">
        <v>3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 t="str">
        <f t="shared" si="107"/>
        <v>8-11</v>
      </c>
      <c r="AI1375">
        <v>0</v>
      </c>
      <c r="AJ1375" t="str">
        <f t="shared" si="108"/>
        <v>0-2</v>
      </c>
      <c r="AK1375">
        <v>7</v>
      </c>
    </row>
    <row r="1376" spans="1:37" x14ac:dyDescent="0.25">
      <c r="A1376" s="8">
        <v>1375</v>
      </c>
      <c r="B1376" t="s">
        <v>52</v>
      </c>
      <c r="C1376" t="s">
        <v>45</v>
      </c>
      <c r="D1376" s="8">
        <v>58</v>
      </c>
      <c r="E1376" t="str">
        <f t="shared" si="109"/>
        <v>55+</v>
      </c>
      <c r="F1376" t="s">
        <v>46</v>
      </c>
      <c r="G1376" t="s">
        <v>39</v>
      </c>
      <c r="H1376" s="8" t="s">
        <v>40</v>
      </c>
      <c r="I1376" s="10">
        <v>21</v>
      </c>
      <c r="J1376" t="str">
        <f t="shared" si="105"/>
        <v>Far</v>
      </c>
      <c r="K1376">
        <v>3</v>
      </c>
      <c r="L1376" t="s">
        <v>41</v>
      </c>
      <c r="M1376">
        <v>4</v>
      </c>
      <c r="N1376">
        <v>3</v>
      </c>
      <c r="O1376">
        <v>4</v>
      </c>
      <c r="P1376" t="s">
        <v>59</v>
      </c>
      <c r="Q1376">
        <v>4</v>
      </c>
      <c r="R1376" s="11">
        <v>605</v>
      </c>
      <c r="S1376" s="14">
        <v>72</v>
      </c>
      <c r="T1376" s="13">
        <v>17875</v>
      </c>
      <c r="U1376" s="13">
        <f t="shared" si="106"/>
        <v>214500</v>
      </c>
      <c r="V1376" s="14">
        <v>11761</v>
      </c>
      <c r="W1376">
        <v>4</v>
      </c>
      <c r="X1376" s="8" t="s">
        <v>38</v>
      </c>
      <c r="Y1376" s="15">
        <v>0.13</v>
      </c>
      <c r="Z1376">
        <v>3</v>
      </c>
      <c r="AA1376">
        <v>3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 t="str">
        <f t="shared" si="107"/>
        <v>0-3</v>
      </c>
      <c r="AI1376">
        <v>0</v>
      </c>
      <c r="AJ1376" t="str">
        <f t="shared" si="108"/>
        <v>0-2</v>
      </c>
      <c r="AK1376">
        <v>0</v>
      </c>
    </row>
    <row r="1377" spans="1:37" x14ac:dyDescent="0.25">
      <c r="A1377" s="8">
        <v>1376</v>
      </c>
      <c r="B1377" t="s">
        <v>52</v>
      </c>
      <c r="C1377" t="s">
        <v>37</v>
      </c>
      <c r="D1377" s="8">
        <v>32</v>
      </c>
      <c r="E1377" t="str">
        <f t="shared" si="109"/>
        <v>26-35</v>
      </c>
      <c r="F1377" t="s">
        <v>38</v>
      </c>
      <c r="G1377" t="s">
        <v>47</v>
      </c>
      <c r="H1377" s="8" t="s">
        <v>48</v>
      </c>
      <c r="I1377" s="10">
        <v>5</v>
      </c>
      <c r="J1377" t="str">
        <f t="shared" si="105"/>
        <v>Near</v>
      </c>
      <c r="K1377">
        <v>2</v>
      </c>
      <c r="L1377" t="s">
        <v>41</v>
      </c>
      <c r="M1377">
        <v>1</v>
      </c>
      <c r="N1377">
        <v>4</v>
      </c>
      <c r="O1377">
        <v>1</v>
      </c>
      <c r="P1377" t="s">
        <v>49</v>
      </c>
      <c r="Q1377">
        <v>3</v>
      </c>
      <c r="R1377" s="11">
        <v>238</v>
      </c>
      <c r="S1377" s="14">
        <v>47</v>
      </c>
      <c r="T1377" s="13">
        <v>2432</v>
      </c>
      <c r="U1377" s="13">
        <f t="shared" si="106"/>
        <v>29184</v>
      </c>
      <c r="V1377" s="14">
        <v>15318</v>
      </c>
      <c r="W1377">
        <v>3</v>
      </c>
      <c r="X1377" s="8" t="s">
        <v>38</v>
      </c>
      <c r="Y1377" s="15">
        <v>0.14000000000000001</v>
      </c>
      <c r="Z1377">
        <v>3</v>
      </c>
      <c r="AA1377">
        <v>1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 t="str">
        <f t="shared" si="107"/>
        <v>0-3</v>
      </c>
      <c r="AI1377">
        <v>0</v>
      </c>
      <c r="AJ1377" t="str">
        <f t="shared" si="108"/>
        <v>0-2</v>
      </c>
      <c r="AK1377">
        <v>3</v>
      </c>
    </row>
    <row r="1378" spans="1:37" x14ac:dyDescent="0.25">
      <c r="A1378" s="8">
        <v>1377</v>
      </c>
      <c r="B1378" t="s">
        <v>44</v>
      </c>
      <c r="C1378" t="s">
        <v>54</v>
      </c>
      <c r="D1378" s="8">
        <v>38</v>
      </c>
      <c r="E1378" t="str">
        <f t="shared" si="109"/>
        <v>36-45</v>
      </c>
      <c r="F1378" t="s">
        <v>46</v>
      </c>
      <c r="G1378" t="s">
        <v>39</v>
      </c>
      <c r="H1378" s="8" t="s">
        <v>48</v>
      </c>
      <c r="I1378" s="10">
        <v>9</v>
      </c>
      <c r="J1378" t="str">
        <f t="shared" si="105"/>
        <v>Moderate</v>
      </c>
      <c r="K1378">
        <v>2</v>
      </c>
      <c r="L1378" t="s">
        <v>41</v>
      </c>
      <c r="M1378">
        <v>2</v>
      </c>
      <c r="N1378">
        <v>3</v>
      </c>
      <c r="O1378">
        <v>1</v>
      </c>
      <c r="P1378" t="s">
        <v>49</v>
      </c>
      <c r="Q1378">
        <v>4</v>
      </c>
      <c r="R1378" s="11">
        <v>1206</v>
      </c>
      <c r="S1378" s="14">
        <v>71</v>
      </c>
      <c r="T1378" s="13">
        <v>4771</v>
      </c>
      <c r="U1378" s="13">
        <f t="shared" si="106"/>
        <v>57252</v>
      </c>
      <c r="V1378" s="14">
        <v>14293</v>
      </c>
      <c r="W1378">
        <v>2</v>
      </c>
      <c r="X1378" s="8" t="s">
        <v>46</v>
      </c>
      <c r="Y1378" s="15">
        <v>0.19</v>
      </c>
      <c r="Z1378">
        <v>3</v>
      </c>
      <c r="AA1378">
        <v>4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 t="str">
        <f t="shared" si="107"/>
        <v>0-3</v>
      </c>
      <c r="AI1378">
        <v>0</v>
      </c>
      <c r="AJ1378" t="str">
        <f t="shared" si="108"/>
        <v>0-2</v>
      </c>
      <c r="AK1378">
        <v>3</v>
      </c>
    </row>
    <row r="1379" spans="1:37" x14ac:dyDescent="0.25">
      <c r="A1379" s="8">
        <v>1378</v>
      </c>
      <c r="B1379" t="s">
        <v>44</v>
      </c>
      <c r="C1379" t="s">
        <v>45</v>
      </c>
      <c r="D1379" s="8">
        <v>49</v>
      </c>
      <c r="E1379" t="str">
        <f t="shared" si="109"/>
        <v>46-55</v>
      </c>
      <c r="F1379" t="s">
        <v>46</v>
      </c>
      <c r="G1379" t="s">
        <v>47</v>
      </c>
      <c r="H1379" s="8" t="s">
        <v>48</v>
      </c>
      <c r="I1379" s="10">
        <v>2</v>
      </c>
      <c r="J1379" t="str">
        <f t="shared" si="105"/>
        <v>Near</v>
      </c>
      <c r="K1379">
        <v>1</v>
      </c>
      <c r="L1379" t="s">
        <v>41</v>
      </c>
      <c r="M1379">
        <v>2</v>
      </c>
      <c r="N1379">
        <v>3</v>
      </c>
      <c r="O1379">
        <v>5</v>
      </c>
      <c r="P1379" t="s">
        <v>61</v>
      </c>
      <c r="Q1379">
        <v>4</v>
      </c>
      <c r="R1379" s="11">
        <v>1064</v>
      </c>
      <c r="S1379" s="14">
        <v>42</v>
      </c>
      <c r="T1379" s="13">
        <v>19161</v>
      </c>
      <c r="U1379" s="13">
        <f t="shared" si="106"/>
        <v>229932</v>
      </c>
      <c r="V1379" s="14">
        <v>13738</v>
      </c>
      <c r="W1379">
        <v>3</v>
      </c>
      <c r="X1379" s="8" t="s">
        <v>46</v>
      </c>
      <c r="Y1379" s="15">
        <v>0.15</v>
      </c>
      <c r="Z1379">
        <v>3</v>
      </c>
      <c r="AA1379">
        <v>4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 t="str">
        <f t="shared" si="107"/>
        <v>4-7</v>
      </c>
      <c r="AI1379">
        <v>4</v>
      </c>
      <c r="AJ1379" t="str">
        <f t="shared" si="108"/>
        <v>3-5</v>
      </c>
      <c r="AK1379">
        <v>3</v>
      </c>
    </row>
    <row r="1380" spans="1:37" x14ac:dyDescent="0.25">
      <c r="A1380" s="8">
        <v>1379</v>
      </c>
      <c r="B1380" t="s">
        <v>44</v>
      </c>
      <c r="C1380" t="s">
        <v>54</v>
      </c>
      <c r="D1380" s="8">
        <v>42</v>
      </c>
      <c r="E1380" t="str">
        <f t="shared" si="109"/>
        <v>36-45</v>
      </c>
      <c r="F1380" t="s">
        <v>46</v>
      </c>
      <c r="G1380" t="s">
        <v>39</v>
      </c>
      <c r="H1380" s="8" t="s">
        <v>40</v>
      </c>
      <c r="I1380" s="10">
        <v>12</v>
      </c>
      <c r="J1380" t="str">
        <f t="shared" si="105"/>
        <v>Moderate</v>
      </c>
      <c r="K1380">
        <v>4</v>
      </c>
      <c r="L1380" t="s">
        <v>62</v>
      </c>
      <c r="M1380">
        <v>2</v>
      </c>
      <c r="N1380">
        <v>3</v>
      </c>
      <c r="O1380">
        <v>2</v>
      </c>
      <c r="P1380" t="s">
        <v>42</v>
      </c>
      <c r="Q1380">
        <v>4</v>
      </c>
      <c r="R1380" s="11">
        <v>419</v>
      </c>
      <c r="S1380" s="14">
        <v>77</v>
      </c>
      <c r="T1380" s="13">
        <v>5087</v>
      </c>
      <c r="U1380" s="13">
        <f t="shared" si="106"/>
        <v>61044</v>
      </c>
      <c r="V1380" s="14">
        <v>2900</v>
      </c>
      <c r="W1380">
        <v>3</v>
      </c>
      <c r="X1380" s="8" t="s">
        <v>38</v>
      </c>
      <c r="Y1380" s="15">
        <v>0.12</v>
      </c>
      <c r="Z1380">
        <v>3</v>
      </c>
      <c r="AA1380">
        <v>3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 t="str">
        <f t="shared" si="107"/>
        <v>0-3</v>
      </c>
      <c r="AI1380">
        <v>0</v>
      </c>
      <c r="AJ1380" t="str">
        <f t="shared" si="108"/>
        <v>0-2</v>
      </c>
      <c r="AK1380">
        <v>0</v>
      </c>
    </row>
    <row r="1381" spans="1:37" x14ac:dyDescent="0.25">
      <c r="A1381" s="8">
        <v>1380</v>
      </c>
      <c r="B1381" t="s">
        <v>52</v>
      </c>
      <c r="C1381" t="s">
        <v>45</v>
      </c>
      <c r="D1381" s="8">
        <v>27</v>
      </c>
      <c r="E1381" t="str">
        <f t="shared" si="109"/>
        <v>26-35</v>
      </c>
      <c r="F1381" t="s">
        <v>38</v>
      </c>
      <c r="G1381" t="s">
        <v>47</v>
      </c>
      <c r="H1381" s="8" t="s">
        <v>64</v>
      </c>
      <c r="I1381" s="10">
        <v>22</v>
      </c>
      <c r="J1381" t="str">
        <f t="shared" si="105"/>
        <v>Far</v>
      </c>
      <c r="K1381">
        <v>3</v>
      </c>
      <c r="L1381" t="s">
        <v>64</v>
      </c>
      <c r="M1381">
        <v>1</v>
      </c>
      <c r="N1381">
        <v>2</v>
      </c>
      <c r="O1381">
        <v>1</v>
      </c>
      <c r="P1381" t="s">
        <v>64</v>
      </c>
      <c r="Q1381">
        <v>2</v>
      </c>
      <c r="R1381" s="11">
        <v>1337</v>
      </c>
      <c r="S1381" s="14">
        <v>58</v>
      </c>
      <c r="T1381" s="13">
        <v>2863</v>
      </c>
      <c r="U1381" s="13">
        <f t="shared" si="106"/>
        <v>34356</v>
      </c>
      <c r="V1381" s="14">
        <v>19555</v>
      </c>
      <c r="W1381">
        <v>1</v>
      </c>
      <c r="X1381" s="8" t="s">
        <v>46</v>
      </c>
      <c r="Y1381" s="15">
        <v>0.12</v>
      </c>
      <c r="Z1381">
        <v>3</v>
      </c>
      <c r="AA1381">
        <v>1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 t="str">
        <f t="shared" si="107"/>
        <v>0-3</v>
      </c>
      <c r="AI1381">
        <v>0</v>
      </c>
      <c r="AJ1381" t="str">
        <f t="shared" si="108"/>
        <v>0-2</v>
      </c>
      <c r="AK1381">
        <v>0</v>
      </c>
    </row>
    <row r="1382" spans="1:37" x14ac:dyDescent="0.25">
      <c r="A1382" s="8">
        <v>1381</v>
      </c>
      <c r="B1382" t="s">
        <v>44</v>
      </c>
      <c r="C1382" t="s">
        <v>45</v>
      </c>
      <c r="D1382" s="8">
        <v>35</v>
      </c>
      <c r="E1382" t="str">
        <f t="shared" si="109"/>
        <v>26-35</v>
      </c>
      <c r="F1382" t="s">
        <v>46</v>
      </c>
      <c r="G1382" t="s">
        <v>39</v>
      </c>
      <c r="H1382" s="8" t="s">
        <v>40</v>
      </c>
      <c r="I1382" s="10">
        <v>18</v>
      </c>
      <c r="J1382" t="str">
        <f t="shared" si="105"/>
        <v>Far</v>
      </c>
      <c r="K1382">
        <v>4</v>
      </c>
      <c r="L1382" t="s">
        <v>53</v>
      </c>
      <c r="M1382">
        <v>2</v>
      </c>
      <c r="N1382">
        <v>3</v>
      </c>
      <c r="O1382">
        <v>2</v>
      </c>
      <c r="P1382" t="s">
        <v>42</v>
      </c>
      <c r="Q1382">
        <v>1</v>
      </c>
      <c r="R1382" s="11">
        <v>682</v>
      </c>
      <c r="S1382" s="14">
        <v>71</v>
      </c>
      <c r="T1382" s="13">
        <v>5561</v>
      </c>
      <c r="U1382" s="13">
        <f t="shared" si="106"/>
        <v>66732</v>
      </c>
      <c r="V1382" s="14">
        <v>15975</v>
      </c>
      <c r="W1382">
        <v>0</v>
      </c>
      <c r="X1382" s="8" t="s">
        <v>46</v>
      </c>
      <c r="Y1382" s="15">
        <v>0.16</v>
      </c>
      <c r="Z1382">
        <v>3</v>
      </c>
      <c r="AA1382">
        <v>4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 t="str">
        <f t="shared" si="107"/>
        <v>0-3</v>
      </c>
      <c r="AI1382">
        <v>0</v>
      </c>
      <c r="AJ1382" t="str">
        <f t="shared" si="108"/>
        <v>0-2</v>
      </c>
      <c r="AK1382">
        <v>4</v>
      </c>
    </row>
    <row r="1383" spans="1:37" x14ac:dyDescent="0.25">
      <c r="A1383" s="8">
        <v>1382</v>
      </c>
      <c r="B1383" t="s">
        <v>44</v>
      </c>
      <c r="C1383" t="s">
        <v>37</v>
      </c>
      <c r="D1383" s="8">
        <v>28</v>
      </c>
      <c r="E1383" t="str">
        <f t="shared" si="109"/>
        <v>26-35</v>
      </c>
      <c r="F1383" t="s">
        <v>46</v>
      </c>
      <c r="G1383" t="s">
        <v>58</v>
      </c>
      <c r="H1383" s="8" t="s">
        <v>48</v>
      </c>
      <c r="I1383" s="10">
        <v>16</v>
      </c>
      <c r="J1383" t="str">
        <f t="shared" si="105"/>
        <v>Far</v>
      </c>
      <c r="K1383">
        <v>3</v>
      </c>
      <c r="L1383" t="s">
        <v>53</v>
      </c>
      <c r="M1383">
        <v>3</v>
      </c>
      <c r="N1383">
        <v>3</v>
      </c>
      <c r="O1383">
        <v>1</v>
      </c>
      <c r="P1383" t="s">
        <v>49</v>
      </c>
      <c r="Q1383">
        <v>3</v>
      </c>
      <c r="R1383" s="11">
        <v>1103</v>
      </c>
      <c r="S1383" s="14">
        <v>49</v>
      </c>
      <c r="T1383" s="13">
        <v>2144</v>
      </c>
      <c r="U1383" s="13">
        <f t="shared" si="106"/>
        <v>25728</v>
      </c>
      <c r="V1383" s="14">
        <v>2122</v>
      </c>
      <c r="W1383">
        <v>1</v>
      </c>
      <c r="X1383" s="8" t="s">
        <v>46</v>
      </c>
      <c r="Y1383" s="15">
        <v>0.14000000000000001</v>
      </c>
      <c r="Z1383">
        <v>3</v>
      </c>
      <c r="AA1383">
        <v>3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 t="str">
        <f t="shared" si="107"/>
        <v>0-3</v>
      </c>
      <c r="AI1383">
        <v>1</v>
      </c>
      <c r="AJ1383" t="str">
        <f t="shared" si="108"/>
        <v>0-2</v>
      </c>
      <c r="AK1383">
        <v>4</v>
      </c>
    </row>
    <row r="1384" spans="1:37" x14ac:dyDescent="0.25">
      <c r="A1384" s="8">
        <v>1383</v>
      </c>
      <c r="B1384" t="s">
        <v>44</v>
      </c>
      <c r="C1384" t="s">
        <v>54</v>
      </c>
      <c r="D1384" s="8">
        <v>31</v>
      </c>
      <c r="E1384" t="str">
        <f t="shared" si="109"/>
        <v>26-35</v>
      </c>
      <c r="F1384" t="s">
        <v>46</v>
      </c>
      <c r="G1384" t="s">
        <v>58</v>
      </c>
      <c r="H1384" s="8" t="s">
        <v>48</v>
      </c>
      <c r="I1384" s="10">
        <v>3</v>
      </c>
      <c r="J1384" t="str">
        <f t="shared" si="105"/>
        <v>Near</v>
      </c>
      <c r="K1384">
        <v>2</v>
      </c>
      <c r="L1384" t="s">
        <v>53</v>
      </c>
      <c r="M1384">
        <v>3</v>
      </c>
      <c r="N1384">
        <v>3</v>
      </c>
      <c r="O1384">
        <v>1</v>
      </c>
      <c r="P1384" t="s">
        <v>49</v>
      </c>
      <c r="Q1384">
        <v>1</v>
      </c>
      <c r="R1384" s="11">
        <v>976</v>
      </c>
      <c r="S1384" s="14">
        <v>48</v>
      </c>
      <c r="T1384" s="13">
        <v>3065</v>
      </c>
      <c r="U1384" s="13">
        <f t="shared" si="106"/>
        <v>36780</v>
      </c>
      <c r="V1384" s="14">
        <v>3995</v>
      </c>
      <c r="W1384">
        <v>1</v>
      </c>
      <c r="X1384" s="8" t="s">
        <v>38</v>
      </c>
      <c r="Y1384" s="15">
        <v>0.13</v>
      </c>
      <c r="Z1384">
        <v>3</v>
      </c>
      <c r="AA1384">
        <v>4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 t="str">
        <f t="shared" si="107"/>
        <v>0-3</v>
      </c>
      <c r="AI1384">
        <v>2</v>
      </c>
      <c r="AJ1384" t="str">
        <f t="shared" si="108"/>
        <v>0-2</v>
      </c>
      <c r="AK1384">
        <v>3</v>
      </c>
    </row>
    <row r="1385" spans="1:37" x14ac:dyDescent="0.25">
      <c r="A1385" s="8">
        <v>1384</v>
      </c>
      <c r="B1385" t="s">
        <v>44</v>
      </c>
      <c r="C1385" t="s">
        <v>45</v>
      </c>
      <c r="D1385" s="8">
        <v>36</v>
      </c>
      <c r="E1385" t="str">
        <f t="shared" si="109"/>
        <v>36-45</v>
      </c>
      <c r="F1385" t="s">
        <v>46</v>
      </c>
      <c r="G1385" t="s">
        <v>58</v>
      </c>
      <c r="H1385" s="8" t="s">
        <v>48</v>
      </c>
      <c r="I1385" s="10">
        <v>9</v>
      </c>
      <c r="J1385" t="str">
        <f t="shared" si="105"/>
        <v>Moderate</v>
      </c>
      <c r="K1385">
        <v>4</v>
      </c>
      <c r="L1385" t="s">
        <v>41</v>
      </c>
      <c r="M1385">
        <v>1</v>
      </c>
      <c r="N1385">
        <v>4</v>
      </c>
      <c r="O1385">
        <v>1</v>
      </c>
      <c r="P1385" t="s">
        <v>51</v>
      </c>
      <c r="Q1385">
        <v>2</v>
      </c>
      <c r="R1385" s="11">
        <v>1351</v>
      </c>
      <c r="S1385" s="14">
        <v>66</v>
      </c>
      <c r="T1385" s="13">
        <v>2810</v>
      </c>
      <c r="U1385" s="13">
        <f t="shared" si="106"/>
        <v>33720</v>
      </c>
      <c r="V1385" s="14">
        <v>9238</v>
      </c>
      <c r="W1385">
        <v>1</v>
      </c>
      <c r="X1385" s="8" t="s">
        <v>46</v>
      </c>
      <c r="Y1385" s="15">
        <v>0.22</v>
      </c>
      <c r="Z1385">
        <v>4</v>
      </c>
      <c r="AA1385">
        <v>2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 t="str">
        <f t="shared" si="107"/>
        <v>4-7</v>
      </c>
      <c r="AI1385">
        <v>0</v>
      </c>
      <c r="AJ1385" t="str">
        <f t="shared" si="108"/>
        <v>0-2</v>
      </c>
      <c r="AK1385">
        <v>2</v>
      </c>
    </row>
    <row r="1386" spans="1:37" x14ac:dyDescent="0.25">
      <c r="A1386" s="8">
        <v>1385</v>
      </c>
      <c r="B1386" t="s">
        <v>44</v>
      </c>
      <c r="C1386" t="s">
        <v>37</v>
      </c>
      <c r="D1386" s="8">
        <v>34</v>
      </c>
      <c r="E1386" t="str">
        <f t="shared" si="109"/>
        <v>26-35</v>
      </c>
      <c r="F1386" t="s">
        <v>46</v>
      </c>
      <c r="G1386" t="s">
        <v>39</v>
      </c>
      <c r="H1386" s="8" t="s">
        <v>40</v>
      </c>
      <c r="I1386" s="10">
        <v>1</v>
      </c>
      <c r="J1386" t="str">
        <f t="shared" si="105"/>
        <v>Near</v>
      </c>
      <c r="K1386">
        <v>3</v>
      </c>
      <c r="L1386" t="s">
        <v>62</v>
      </c>
      <c r="M1386">
        <v>1</v>
      </c>
      <c r="N1386">
        <v>3</v>
      </c>
      <c r="O1386">
        <v>3</v>
      </c>
      <c r="P1386" t="s">
        <v>42</v>
      </c>
      <c r="Q1386">
        <v>4</v>
      </c>
      <c r="R1386" s="11">
        <v>937</v>
      </c>
      <c r="S1386" s="14">
        <v>32</v>
      </c>
      <c r="T1386" s="13">
        <v>9888</v>
      </c>
      <c r="U1386" s="13">
        <f t="shared" si="106"/>
        <v>118656</v>
      </c>
      <c r="V1386" s="14">
        <v>6770</v>
      </c>
      <c r="W1386">
        <v>1</v>
      </c>
      <c r="X1386" s="8" t="s">
        <v>46</v>
      </c>
      <c r="Y1386" s="15">
        <v>0.21</v>
      </c>
      <c r="Z1386">
        <v>4</v>
      </c>
      <c r="AA1386">
        <v>1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 t="str">
        <f t="shared" si="107"/>
        <v>8-11</v>
      </c>
      <c r="AI1386">
        <v>2</v>
      </c>
      <c r="AJ1386" t="str">
        <f t="shared" si="108"/>
        <v>0-2</v>
      </c>
      <c r="AK1386">
        <v>1</v>
      </c>
    </row>
    <row r="1387" spans="1:37" x14ac:dyDescent="0.25">
      <c r="A1387" s="8">
        <v>1386</v>
      </c>
      <c r="B1387" t="s">
        <v>44</v>
      </c>
      <c r="C1387" t="s">
        <v>54</v>
      </c>
      <c r="D1387" s="8">
        <v>34</v>
      </c>
      <c r="E1387" t="str">
        <f t="shared" si="109"/>
        <v>26-35</v>
      </c>
      <c r="F1387" t="s">
        <v>46</v>
      </c>
      <c r="G1387" t="s">
        <v>39</v>
      </c>
      <c r="H1387" s="8" t="s">
        <v>40</v>
      </c>
      <c r="I1387" s="10">
        <v>13</v>
      </c>
      <c r="J1387" t="str">
        <f t="shared" si="105"/>
        <v>Moderate</v>
      </c>
      <c r="K1387">
        <v>4</v>
      </c>
      <c r="L1387" t="s">
        <v>53</v>
      </c>
      <c r="M1387">
        <v>4</v>
      </c>
      <c r="N1387">
        <v>3</v>
      </c>
      <c r="O1387">
        <v>3</v>
      </c>
      <c r="P1387" t="s">
        <v>42</v>
      </c>
      <c r="Q1387">
        <v>3</v>
      </c>
      <c r="R1387" s="11">
        <v>1239</v>
      </c>
      <c r="S1387" s="14">
        <v>39</v>
      </c>
      <c r="T1387" s="13">
        <v>8628</v>
      </c>
      <c r="U1387" s="13">
        <f t="shared" si="106"/>
        <v>103536</v>
      </c>
      <c r="V1387" s="14">
        <v>22914</v>
      </c>
      <c r="W1387">
        <v>1</v>
      </c>
      <c r="X1387" s="8" t="s">
        <v>46</v>
      </c>
      <c r="Y1387" s="15">
        <v>0.18</v>
      </c>
      <c r="Z1387">
        <v>3</v>
      </c>
      <c r="AA1387">
        <v>3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 t="str">
        <f t="shared" si="107"/>
        <v>4-7</v>
      </c>
      <c r="AI1387">
        <v>1</v>
      </c>
      <c r="AJ1387" t="str">
        <f t="shared" si="108"/>
        <v>0-2</v>
      </c>
      <c r="AK1387">
        <v>1</v>
      </c>
    </row>
    <row r="1388" spans="1:37" x14ac:dyDescent="0.25">
      <c r="A1388" s="8">
        <v>1387</v>
      </c>
      <c r="B1388" t="s">
        <v>44</v>
      </c>
      <c r="C1388" t="s">
        <v>37</v>
      </c>
      <c r="D1388" s="8">
        <v>26</v>
      </c>
      <c r="E1388" t="str">
        <f t="shared" si="109"/>
        <v>26-35</v>
      </c>
      <c r="F1388" t="s">
        <v>46</v>
      </c>
      <c r="G1388" t="s">
        <v>39</v>
      </c>
      <c r="H1388" s="8" t="s">
        <v>48</v>
      </c>
      <c r="I1388" s="10">
        <v>1</v>
      </c>
      <c r="J1388" t="str">
        <f t="shared" si="105"/>
        <v>Near</v>
      </c>
      <c r="K1388">
        <v>3</v>
      </c>
      <c r="L1388" t="s">
        <v>53</v>
      </c>
      <c r="M1388">
        <v>3</v>
      </c>
      <c r="N1388">
        <v>3</v>
      </c>
      <c r="O1388">
        <v>1</v>
      </c>
      <c r="P1388" t="s">
        <v>51</v>
      </c>
      <c r="Q1388">
        <v>1</v>
      </c>
      <c r="R1388" s="11">
        <v>157</v>
      </c>
      <c r="S1388" s="14">
        <v>95</v>
      </c>
      <c r="T1388" s="13">
        <v>2867</v>
      </c>
      <c r="U1388" s="13">
        <f t="shared" si="106"/>
        <v>34404</v>
      </c>
      <c r="V1388" s="14">
        <v>20006</v>
      </c>
      <c r="W1388">
        <v>0</v>
      </c>
      <c r="X1388" s="8" t="s">
        <v>46</v>
      </c>
      <c r="Y1388" s="15">
        <v>0.13</v>
      </c>
      <c r="Z1388">
        <v>3</v>
      </c>
      <c r="AA1388">
        <v>4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 t="str">
        <f t="shared" si="107"/>
        <v>4-7</v>
      </c>
      <c r="AI1388">
        <v>7</v>
      </c>
      <c r="AJ1388" t="str">
        <f t="shared" si="108"/>
        <v>6-8</v>
      </c>
      <c r="AK1388">
        <v>6</v>
      </c>
    </row>
    <row r="1389" spans="1:37" x14ac:dyDescent="0.25">
      <c r="A1389" s="8">
        <v>1388</v>
      </c>
      <c r="B1389" t="s">
        <v>44</v>
      </c>
      <c r="C1389" t="s">
        <v>45</v>
      </c>
      <c r="D1389" s="8">
        <v>29</v>
      </c>
      <c r="E1389" t="str">
        <f t="shared" si="109"/>
        <v>26-35</v>
      </c>
      <c r="F1389" t="s">
        <v>46</v>
      </c>
      <c r="G1389" t="s">
        <v>39</v>
      </c>
      <c r="H1389" s="8" t="s">
        <v>48</v>
      </c>
      <c r="I1389" s="10">
        <v>1</v>
      </c>
      <c r="J1389" t="str">
        <f t="shared" si="105"/>
        <v>Near</v>
      </c>
      <c r="K1389">
        <v>3</v>
      </c>
      <c r="L1389" t="s">
        <v>41</v>
      </c>
      <c r="M1389">
        <v>1</v>
      </c>
      <c r="N1389">
        <v>3</v>
      </c>
      <c r="O1389">
        <v>2</v>
      </c>
      <c r="P1389" t="s">
        <v>56</v>
      </c>
      <c r="Q1389">
        <v>1</v>
      </c>
      <c r="R1389" s="11">
        <v>136</v>
      </c>
      <c r="S1389" s="14">
        <v>89</v>
      </c>
      <c r="T1389" s="13">
        <v>5373</v>
      </c>
      <c r="U1389" s="13">
        <f t="shared" si="106"/>
        <v>64476</v>
      </c>
      <c r="V1389" s="14">
        <v>6225</v>
      </c>
      <c r="W1389">
        <v>0</v>
      </c>
      <c r="X1389" s="8" t="s">
        <v>46</v>
      </c>
      <c r="Y1389" s="15">
        <v>0.12</v>
      </c>
      <c r="Z1389">
        <v>3</v>
      </c>
      <c r="AA1389">
        <v>1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 t="str">
        <f t="shared" si="107"/>
        <v>0-3</v>
      </c>
      <c r="AI1389">
        <v>0</v>
      </c>
      <c r="AJ1389" t="str">
        <f t="shared" si="108"/>
        <v>0-2</v>
      </c>
      <c r="AK1389">
        <v>2</v>
      </c>
    </row>
    <row r="1390" spans="1:37" x14ac:dyDescent="0.25">
      <c r="A1390" s="8">
        <v>1389</v>
      </c>
      <c r="B1390" t="s">
        <v>52</v>
      </c>
      <c r="C1390" t="s">
        <v>54</v>
      </c>
      <c r="D1390" s="8">
        <v>32</v>
      </c>
      <c r="E1390" t="str">
        <f t="shared" si="109"/>
        <v>26-35</v>
      </c>
      <c r="F1390" t="s">
        <v>46</v>
      </c>
      <c r="G1390" t="s">
        <v>58</v>
      </c>
      <c r="H1390" s="8" t="s">
        <v>48</v>
      </c>
      <c r="I1390" s="10">
        <v>15</v>
      </c>
      <c r="J1390" t="str">
        <f t="shared" si="105"/>
        <v>Moderate</v>
      </c>
      <c r="K1390">
        <v>4</v>
      </c>
      <c r="L1390" t="s">
        <v>53</v>
      </c>
      <c r="M1390">
        <v>3</v>
      </c>
      <c r="N1390">
        <v>3</v>
      </c>
      <c r="O1390">
        <v>2</v>
      </c>
      <c r="P1390" t="s">
        <v>56</v>
      </c>
      <c r="Q1390">
        <v>4</v>
      </c>
      <c r="R1390" s="11">
        <v>1146</v>
      </c>
      <c r="S1390" s="14">
        <v>34</v>
      </c>
      <c r="T1390" s="13">
        <v>6667</v>
      </c>
      <c r="U1390" s="13">
        <f t="shared" si="106"/>
        <v>80004</v>
      </c>
      <c r="V1390" s="14">
        <v>16542</v>
      </c>
      <c r="W1390">
        <v>5</v>
      </c>
      <c r="X1390" s="8" t="s">
        <v>46</v>
      </c>
      <c r="Y1390" s="15">
        <v>0.18</v>
      </c>
      <c r="Z1390">
        <v>3</v>
      </c>
      <c r="AA1390">
        <v>2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 t="str">
        <f t="shared" si="107"/>
        <v>0-3</v>
      </c>
      <c r="AI1390">
        <v>1</v>
      </c>
      <c r="AJ1390" t="str">
        <f t="shared" si="108"/>
        <v>0-2</v>
      </c>
      <c r="AK1390">
        <v>2</v>
      </c>
    </row>
    <row r="1391" spans="1:37" x14ac:dyDescent="0.25">
      <c r="A1391" s="8">
        <v>1390</v>
      </c>
      <c r="B1391" t="s">
        <v>44</v>
      </c>
      <c r="C1391" t="s">
        <v>45</v>
      </c>
      <c r="D1391" s="8">
        <v>31</v>
      </c>
      <c r="E1391" t="str">
        <f t="shared" si="109"/>
        <v>26-35</v>
      </c>
      <c r="F1391" t="s">
        <v>46</v>
      </c>
      <c r="G1391" t="s">
        <v>47</v>
      </c>
      <c r="H1391" s="8" t="s">
        <v>48</v>
      </c>
      <c r="I1391" s="10">
        <v>1</v>
      </c>
      <c r="J1391" t="str">
        <f t="shared" si="105"/>
        <v>Near</v>
      </c>
      <c r="K1391">
        <v>3</v>
      </c>
      <c r="L1391" t="s">
        <v>41</v>
      </c>
      <c r="M1391">
        <v>4</v>
      </c>
      <c r="N1391">
        <v>1</v>
      </c>
      <c r="O1391">
        <v>2</v>
      </c>
      <c r="P1391" t="s">
        <v>49</v>
      </c>
      <c r="Q1391">
        <v>1</v>
      </c>
      <c r="R1391" s="11">
        <v>1125</v>
      </c>
      <c r="S1391" s="14">
        <v>48</v>
      </c>
      <c r="T1391" s="13">
        <v>5003</v>
      </c>
      <c r="U1391" s="13">
        <f t="shared" si="106"/>
        <v>60036</v>
      </c>
      <c r="V1391" s="14">
        <v>5771</v>
      </c>
      <c r="W1391">
        <v>1</v>
      </c>
      <c r="X1391" s="8" t="s">
        <v>46</v>
      </c>
      <c r="Y1391" s="15">
        <v>0.21</v>
      </c>
      <c r="Z1391">
        <v>4</v>
      </c>
      <c r="AA1391">
        <v>2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 t="str">
        <f t="shared" si="107"/>
        <v>8-11</v>
      </c>
      <c r="AI1391">
        <v>8</v>
      </c>
      <c r="AJ1391" t="str">
        <f t="shared" si="108"/>
        <v>6-8</v>
      </c>
      <c r="AK1391">
        <v>7</v>
      </c>
    </row>
    <row r="1392" spans="1:37" x14ac:dyDescent="0.25">
      <c r="A1392" s="8">
        <v>1391</v>
      </c>
      <c r="B1392" t="s">
        <v>44</v>
      </c>
      <c r="C1392" t="s">
        <v>54</v>
      </c>
      <c r="D1392" s="8">
        <v>28</v>
      </c>
      <c r="E1392" t="str">
        <f t="shared" si="109"/>
        <v>26-35</v>
      </c>
      <c r="F1392" t="s">
        <v>38</v>
      </c>
      <c r="G1392" t="s">
        <v>39</v>
      </c>
      <c r="H1392" s="8" t="s">
        <v>48</v>
      </c>
      <c r="I1392" s="10">
        <v>17</v>
      </c>
      <c r="J1392" t="str">
        <f t="shared" si="105"/>
        <v>Far</v>
      </c>
      <c r="K1392">
        <v>3</v>
      </c>
      <c r="L1392" t="s">
        <v>63</v>
      </c>
      <c r="M1392">
        <v>3</v>
      </c>
      <c r="N1392">
        <v>2</v>
      </c>
      <c r="O1392">
        <v>1</v>
      </c>
      <c r="P1392" t="s">
        <v>51</v>
      </c>
      <c r="Q1392">
        <v>4</v>
      </c>
      <c r="R1392" s="11">
        <v>1404</v>
      </c>
      <c r="S1392" s="14">
        <v>32</v>
      </c>
      <c r="T1392" s="13">
        <v>2367</v>
      </c>
      <c r="U1392" s="13">
        <f t="shared" si="106"/>
        <v>28404</v>
      </c>
      <c r="V1392" s="14">
        <v>18779</v>
      </c>
      <c r="W1392">
        <v>5</v>
      </c>
      <c r="X1392" s="8" t="s">
        <v>46</v>
      </c>
      <c r="Y1392" s="15">
        <v>0.12</v>
      </c>
      <c r="Z1392">
        <v>3</v>
      </c>
      <c r="AA1392">
        <v>1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 t="str">
        <f t="shared" si="107"/>
        <v>0-3</v>
      </c>
      <c r="AI1392">
        <v>0</v>
      </c>
      <c r="AJ1392" t="str">
        <f t="shared" si="108"/>
        <v>0-2</v>
      </c>
      <c r="AK1392">
        <v>3</v>
      </c>
    </row>
    <row r="1393" spans="1:37" x14ac:dyDescent="0.25">
      <c r="A1393" s="8">
        <v>1392</v>
      </c>
      <c r="B1393" t="s">
        <v>44</v>
      </c>
      <c r="C1393" t="s">
        <v>37</v>
      </c>
      <c r="D1393" s="8">
        <v>38</v>
      </c>
      <c r="E1393" t="str">
        <f t="shared" si="109"/>
        <v>36-45</v>
      </c>
      <c r="F1393" t="s">
        <v>46</v>
      </c>
      <c r="G1393" t="s">
        <v>39</v>
      </c>
      <c r="H1393" s="8" t="s">
        <v>40</v>
      </c>
      <c r="I1393" s="10">
        <v>1</v>
      </c>
      <c r="J1393" t="str">
        <f t="shared" si="105"/>
        <v>Near</v>
      </c>
      <c r="K1393">
        <v>3</v>
      </c>
      <c r="L1393" t="s">
        <v>41</v>
      </c>
      <c r="M1393">
        <v>1</v>
      </c>
      <c r="N1393">
        <v>2</v>
      </c>
      <c r="O1393">
        <v>1</v>
      </c>
      <c r="P1393" t="s">
        <v>60</v>
      </c>
      <c r="Q1393">
        <v>1</v>
      </c>
      <c r="R1393" s="11">
        <v>1404</v>
      </c>
      <c r="S1393" s="14">
        <v>59</v>
      </c>
      <c r="T1393" s="13">
        <v>2858</v>
      </c>
      <c r="U1393" s="13">
        <f t="shared" si="106"/>
        <v>34296</v>
      </c>
      <c r="V1393" s="14">
        <v>11473</v>
      </c>
      <c r="W1393">
        <v>4</v>
      </c>
      <c r="X1393" s="8" t="s">
        <v>46</v>
      </c>
      <c r="Y1393" s="15">
        <v>0.14000000000000001</v>
      </c>
      <c r="Z1393">
        <v>3</v>
      </c>
      <c r="AA1393">
        <v>1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 t="str">
        <f t="shared" si="107"/>
        <v>0-3</v>
      </c>
      <c r="AI1393">
        <v>0</v>
      </c>
      <c r="AJ1393" t="str">
        <f t="shared" si="108"/>
        <v>0-2</v>
      </c>
      <c r="AK1393">
        <v>0</v>
      </c>
    </row>
    <row r="1394" spans="1:37" x14ac:dyDescent="0.25">
      <c r="A1394" s="8">
        <v>1393</v>
      </c>
      <c r="B1394" t="s">
        <v>52</v>
      </c>
      <c r="C1394" t="s">
        <v>45</v>
      </c>
      <c r="D1394" s="8">
        <v>35</v>
      </c>
      <c r="E1394" t="str">
        <f t="shared" si="109"/>
        <v>26-35</v>
      </c>
      <c r="F1394" t="s">
        <v>46</v>
      </c>
      <c r="G1394" t="s">
        <v>39</v>
      </c>
      <c r="H1394" s="8" t="s">
        <v>40</v>
      </c>
      <c r="I1394" s="10">
        <v>7</v>
      </c>
      <c r="J1394" t="str">
        <f t="shared" si="105"/>
        <v>Moderate</v>
      </c>
      <c r="K1394">
        <v>4</v>
      </c>
      <c r="L1394" t="s">
        <v>41</v>
      </c>
      <c r="M1394">
        <v>3</v>
      </c>
      <c r="N1394">
        <v>3</v>
      </c>
      <c r="O1394">
        <v>2</v>
      </c>
      <c r="P1394" t="s">
        <v>42</v>
      </c>
      <c r="Q1394">
        <v>4</v>
      </c>
      <c r="R1394" s="11">
        <v>1224</v>
      </c>
      <c r="S1394" s="14">
        <v>55</v>
      </c>
      <c r="T1394" s="13">
        <v>5204</v>
      </c>
      <c r="U1394" s="13">
        <f t="shared" si="106"/>
        <v>62448</v>
      </c>
      <c r="V1394" s="14">
        <v>13586</v>
      </c>
      <c r="W1394">
        <v>1</v>
      </c>
      <c r="X1394" s="8" t="s">
        <v>38</v>
      </c>
      <c r="Y1394" s="15">
        <v>0.11</v>
      </c>
      <c r="Z1394">
        <v>3</v>
      </c>
      <c r="AA1394">
        <v>4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 t="str">
        <f t="shared" si="107"/>
        <v>8-11</v>
      </c>
      <c r="AI1394">
        <v>0</v>
      </c>
      <c r="AJ1394" t="str">
        <f t="shared" si="108"/>
        <v>0-2</v>
      </c>
      <c r="AK1394">
        <v>9</v>
      </c>
    </row>
    <row r="1395" spans="1:37" x14ac:dyDescent="0.25">
      <c r="A1395" s="8">
        <v>1394</v>
      </c>
      <c r="B1395" t="s">
        <v>44</v>
      </c>
      <c r="C1395" t="s">
        <v>37</v>
      </c>
      <c r="D1395" s="8">
        <v>27</v>
      </c>
      <c r="E1395" t="str">
        <f t="shared" si="109"/>
        <v>26-35</v>
      </c>
      <c r="F1395" t="s">
        <v>46</v>
      </c>
      <c r="G1395" t="s">
        <v>39</v>
      </c>
      <c r="H1395" s="8" t="s">
        <v>40</v>
      </c>
      <c r="I1395" s="10">
        <v>9</v>
      </c>
      <c r="J1395" t="str">
        <f t="shared" si="105"/>
        <v>Moderate</v>
      </c>
      <c r="K1395">
        <v>3</v>
      </c>
      <c r="L1395" t="s">
        <v>62</v>
      </c>
      <c r="M1395">
        <v>4</v>
      </c>
      <c r="N1395">
        <v>3</v>
      </c>
      <c r="O1395">
        <v>2</v>
      </c>
      <c r="P1395" t="s">
        <v>42</v>
      </c>
      <c r="Q1395">
        <v>4</v>
      </c>
      <c r="R1395" s="11">
        <v>954</v>
      </c>
      <c r="S1395" s="14">
        <v>44</v>
      </c>
      <c r="T1395" s="13">
        <v>4105</v>
      </c>
      <c r="U1395" s="13">
        <f t="shared" si="106"/>
        <v>49260</v>
      </c>
      <c r="V1395" s="14">
        <v>5099</v>
      </c>
      <c r="W1395">
        <v>1</v>
      </c>
      <c r="X1395" s="8" t="s">
        <v>46</v>
      </c>
      <c r="Y1395" s="15">
        <v>0.14000000000000001</v>
      </c>
      <c r="Z1395">
        <v>3</v>
      </c>
      <c r="AA1395">
        <v>1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 t="str">
        <f t="shared" si="107"/>
        <v>4-7</v>
      </c>
      <c r="AI1395">
        <v>0</v>
      </c>
      <c r="AJ1395" t="str">
        <f t="shared" si="108"/>
        <v>0-2</v>
      </c>
      <c r="AK1395">
        <v>7</v>
      </c>
    </row>
    <row r="1396" spans="1:37" x14ac:dyDescent="0.25">
      <c r="A1396" s="8">
        <v>1395</v>
      </c>
      <c r="B1396" t="s">
        <v>44</v>
      </c>
      <c r="C1396" t="s">
        <v>37</v>
      </c>
      <c r="D1396" s="8">
        <v>32</v>
      </c>
      <c r="E1396" t="str">
        <f t="shared" si="109"/>
        <v>26-35</v>
      </c>
      <c r="F1396" t="s">
        <v>46</v>
      </c>
      <c r="G1396" t="s">
        <v>39</v>
      </c>
      <c r="H1396" s="8" t="s">
        <v>48</v>
      </c>
      <c r="I1396" s="10">
        <v>5</v>
      </c>
      <c r="J1396" t="str">
        <f t="shared" si="105"/>
        <v>Near</v>
      </c>
      <c r="K1396">
        <v>4</v>
      </c>
      <c r="L1396" t="s">
        <v>41</v>
      </c>
      <c r="M1396">
        <v>4</v>
      </c>
      <c r="N1396">
        <v>2</v>
      </c>
      <c r="O1396">
        <v>2</v>
      </c>
      <c r="P1396" t="s">
        <v>55</v>
      </c>
      <c r="Q1396">
        <v>4</v>
      </c>
      <c r="R1396" s="11">
        <v>1373</v>
      </c>
      <c r="S1396" s="14">
        <v>56</v>
      </c>
      <c r="T1396" s="13">
        <v>9679</v>
      </c>
      <c r="U1396" s="13">
        <f t="shared" si="106"/>
        <v>116148</v>
      </c>
      <c r="V1396" s="14">
        <v>10138</v>
      </c>
      <c r="W1396">
        <v>8</v>
      </c>
      <c r="X1396" s="8" t="s">
        <v>46</v>
      </c>
      <c r="Y1396" s="15">
        <v>0.24</v>
      </c>
      <c r="Z1396">
        <v>4</v>
      </c>
      <c r="AA1396">
        <v>2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 t="str">
        <f t="shared" si="107"/>
        <v>0-3</v>
      </c>
      <c r="AI1396">
        <v>0</v>
      </c>
      <c r="AJ1396" t="str">
        <f t="shared" si="108"/>
        <v>0-2</v>
      </c>
      <c r="AK1396">
        <v>0</v>
      </c>
    </row>
    <row r="1397" spans="1:37" x14ac:dyDescent="0.25">
      <c r="A1397" s="8">
        <v>1396</v>
      </c>
      <c r="B1397" t="s">
        <v>44</v>
      </c>
      <c r="C1397" t="s">
        <v>45</v>
      </c>
      <c r="D1397" s="8">
        <v>31</v>
      </c>
      <c r="E1397" t="str">
        <f t="shared" si="109"/>
        <v>26-35</v>
      </c>
      <c r="F1397" t="s">
        <v>38</v>
      </c>
      <c r="G1397" t="s">
        <v>47</v>
      </c>
      <c r="H1397" s="8" t="s">
        <v>40</v>
      </c>
      <c r="I1397" s="10">
        <v>26</v>
      </c>
      <c r="J1397" t="str">
        <f t="shared" si="105"/>
        <v>Far</v>
      </c>
      <c r="K1397">
        <v>4</v>
      </c>
      <c r="L1397" t="s">
        <v>62</v>
      </c>
      <c r="M1397">
        <v>1</v>
      </c>
      <c r="N1397">
        <v>3</v>
      </c>
      <c r="O1397">
        <v>2</v>
      </c>
      <c r="P1397" t="s">
        <v>42</v>
      </c>
      <c r="Q1397">
        <v>4</v>
      </c>
      <c r="R1397" s="11">
        <v>754</v>
      </c>
      <c r="S1397" s="14">
        <v>63</v>
      </c>
      <c r="T1397" s="13">
        <v>5617</v>
      </c>
      <c r="U1397" s="13">
        <f t="shared" si="106"/>
        <v>67404</v>
      </c>
      <c r="V1397" s="14">
        <v>21075</v>
      </c>
      <c r="W1397">
        <v>1</v>
      </c>
      <c r="X1397" s="8" t="s">
        <v>38</v>
      </c>
      <c r="Y1397" s="15">
        <v>0.11</v>
      </c>
      <c r="Z1397">
        <v>3</v>
      </c>
      <c r="AA1397">
        <v>3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 t="str">
        <f t="shared" si="107"/>
        <v>4-7</v>
      </c>
      <c r="AI1397">
        <v>0</v>
      </c>
      <c r="AJ1397" t="str">
        <f t="shared" si="108"/>
        <v>0-2</v>
      </c>
      <c r="AK1397">
        <v>8</v>
      </c>
    </row>
    <row r="1398" spans="1:37" x14ac:dyDescent="0.25">
      <c r="A1398" s="8">
        <v>1397</v>
      </c>
      <c r="B1398" t="s">
        <v>44</v>
      </c>
      <c r="C1398" t="s">
        <v>37</v>
      </c>
      <c r="D1398" s="8">
        <v>53</v>
      </c>
      <c r="E1398" t="str">
        <f t="shared" si="109"/>
        <v>46-55</v>
      </c>
      <c r="F1398" t="s">
        <v>38</v>
      </c>
      <c r="G1398" t="s">
        <v>39</v>
      </c>
      <c r="H1398" s="8" t="s">
        <v>40</v>
      </c>
      <c r="I1398" s="10">
        <v>24</v>
      </c>
      <c r="J1398" t="str">
        <f t="shared" si="105"/>
        <v>Far</v>
      </c>
      <c r="K1398">
        <v>4</v>
      </c>
      <c r="L1398" t="s">
        <v>41</v>
      </c>
      <c r="M1398">
        <v>1</v>
      </c>
      <c r="N1398">
        <v>3</v>
      </c>
      <c r="O1398">
        <v>3</v>
      </c>
      <c r="P1398" t="s">
        <v>42</v>
      </c>
      <c r="Q1398">
        <v>1</v>
      </c>
      <c r="R1398" s="11">
        <v>1168</v>
      </c>
      <c r="S1398" s="14">
        <v>66</v>
      </c>
      <c r="T1398" s="13">
        <v>10448</v>
      </c>
      <c r="U1398" s="13">
        <f t="shared" si="106"/>
        <v>125376</v>
      </c>
      <c r="V1398" s="14">
        <v>5843</v>
      </c>
      <c r="W1398">
        <v>6</v>
      </c>
      <c r="X1398" s="8" t="s">
        <v>38</v>
      </c>
      <c r="Y1398" s="15">
        <v>0.13</v>
      </c>
      <c r="Z1398">
        <v>3</v>
      </c>
      <c r="AA1398">
        <v>2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 t="str">
        <f t="shared" si="107"/>
        <v>0-3</v>
      </c>
      <c r="AI1398">
        <v>2</v>
      </c>
      <c r="AJ1398" t="str">
        <f t="shared" si="108"/>
        <v>0-2</v>
      </c>
      <c r="AK1398">
        <v>2</v>
      </c>
    </row>
    <row r="1399" spans="1:37" x14ac:dyDescent="0.25">
      <c r="A1399" s="8">
        <v>1398</v>
      </c>
      <c r="B1399" t="s">
        <v>52</v>
      </c>
      <c r="C1399" t="s">
        <v>45</v>
      </c>
      <c r="D1399" s="8">
        <v>54</v>
      </c>
      <c r="E1399" t="str">
        <f t="shared" si="109"/>
        <v>46-55</v>
      </c>
      <c r="F1399" t="s">
        <v>46</v>
      </c>
      <c r="G1399" t="s">
        <v>39</v>
      </c>
      <c r="H1399" s="8" t="s">
        <v>48</v>
      </c>
      <c r="I1399" s="10">
        <v>9</v>
      </c>
      <c r="J1399" t="str">
        <f t="shared" si="105"/>
        <v>Moderate</v>
      </c>
      <c r="K1399">
        <v>2</v>
      </c>
      <c r="L1399" t="s">
        <v>41</v>
      </c>
      <c r="M1399">
        <v>1</v>
      </c>
      <c r="N1399">
        <v>3</v>
      </c>
      <c r="O1399">
        <v>2</v>
      </c>
      <c r="P1399" t="s">
        <v>49</v>
      </c>
      <c r="Q1399">
        <v>3</v>
      </c>
      <c r="R1399" s="11">
        <v>155</v>
      </c>
      <c r="S1399" s="14">
        <v>67</v>
      </c>
      <c r="T1399" s="13">
        <v>2897</v>
      </c>
      <c r="U1399" s="13">
        <f t="shared" si="106"/>
        <v>34764</v>
      </c>
      <c r="V1399" s="14">
        <v>22474</v>
      </c>
      <c r="W1399">
        <v>3</v>
      </c>
      <c r="X1399" s="8" t="s">
        <v>46</v>
      </c>
      <c r="Y1399" s="15">
        <v>0.11</v>
      </c>
      <c r="Z1399">
        <v>3</v>
      </c>
      <c r="AA1399">
        <v>3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 t="str">
        <f t="shared" si="107"/>
        <v>0-3</v>
      </c>
      <c r="AI1399">
        <v>2</v>
      </c>
      <c r="AJ1399" t="str">
        <f t="shared" si="108"/>
        <v>0-2</v>
      </c>
      <c r="AK1399">
        <v>3</v>
      </c>
    </row>
    <row r="1400" spans="1:37" x14ac:dyDescent="0.25">
      <c r="A1400" s="8">
        <v>1399</v>
      </c>
      <c r="B1400" t="s">
        <v>44</v>
      </c>
      <c r="C1400" t="s">
        <v>54</v>
      </c>
      <c r="D1400" s="8">
        <v>33</v>
      </c>
      <c r="E1400" t="str">
        <f t="shared" si="109"/>
        <v>26-35</v>
      </c>
      <c r="F1400" t="s">
        <v>46</v>
      </c>
      <c r="G1400" t="s">
        <v>47</v>
      </c>
      <c r="H1400" s="8" t="s">
        <v>48</v>
      </c>
      <c r="I1400" s="10">
        <v>7</v>
      </c>
      <c r="J1400" t="str">
        <f t="shared" si="105"/>
        <v>Moderate</v>
      </c>
      <c r="K1400">
        <v>2</v>
      </c>
      <c r="L1400" t="s">
        <v>41</v>
      </c>
      <c r="M1400">
        <v>4</v>
      </c>
      <c r="N1400">
        <v>3</v>
      </c>
      <c r="O1400">
        <v>2</v>
      </c>
      <c r="P1400" t="s">
        <v>56</v>
      </c>
      <c r="Q1400">
        <v>3</v>
      </c>
      <c r="R1400" s="11">
        <v>1303</v>
      </c>
      <c r="S1400" s="14">
        <v>36</v>
      </c>
      <c r="T1400" s="13">
        <v>5968</v>
      </c>
      <c r="U1400" s="13">
        <f t="shared" si="106"/>
        <v>71616</v>
      </c>
      <c r="V1400" s="14">
        <v>18079</v>
      </c>
      <c r="W1400">
        <v>1</v>
      </c>
      <c r="X1400" s="8" t="s">
        <v>46</v>
      </c>
      <c r="Y1400" s="15">
        <v>0.2</v>
      </c>
      <c r="Z1400">
        <v>4</v>
      </c>
      <c r="AA1400">
        <v>3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 t="str">
        <f t="shared" si="107"/>
        <v>4-7</v>
      </c>
      <c r="AI1400">
        <v>2</v>
      </c>
      <c r="AJ1400" t="str">
        <f t="shared" si="108"/>
        <v>0-2</v>
      </c>
      <c r="AK1400">
        <v>8</v>
      </c>
    </row>
    <row r="1401" spans="1:37" x14ac:dyDescent="0.25">
      <c r="A1401" s="8">
        <v>1400</v>
      </c>
      <c r="B1401" t="s">
        <v>44</v>
      </c>
      <c r="C1401" t="s">
        <v>45</v>
      </c>
      <c r="D1401" s="8">
        <v>43</v>
      </c>
      <c r="E1401" t="str">
        <f t="shared" si="109"/>
        <v>36-45</v>
      </c>
      <c r="F1401" t="s">
        <v>46</v>
      </c>
      <c r="G1401" t="s">
        <v>39</v>
      </c>
      <c r="H1401" s="8" t="s">
        <v>48</v>
      </c>
      <c r="I1401" s="10">
        <v>11</v>
      </c>
      <c r="J1401" t="str">
        <f t="shared" si="105"/>
        <v>Moderate</v>
      </c>
      <c r="K1401">
        <v>3</v>
      </c>
      <c r="L1401" t="s">
        <v>41</v>
      </c>
      <c r="M1401">
        <v>1</v>
      </c>
      <c r="N1401">
        <v>3</v>
      </c>
      <c r="O1401">
        <v>3</v>
      </c>
      <c r="P1401" t="s">
        <v>56</v>
      </c>
      <c r="Q1401">
        <v>3</v>
      </c>
      <c r="R1401" s="11">
        <v>574</v>
      </c>
      <c r="S1401" s="14">
        <v>30</v>
      </c>
      <c r="T1401" s="13">
        <v>7510</v>
      </c>
      <c r="U1401" s="13">
        <f t="shared" si="106"/>
        <v>90120</v>
      </c>
      <c r="V1401" s="14">
        <v>16873</v>
      </c>
      <c r="W1401">
        <v>1</v>
      </c>
      <c r="X1401" s="8" t="s">
        <v>46</v>
      </c>
      <c r="Y1401" s="15">
        <v>0.17</v>
      </c>
      <c r="Z1401">
        <v>3</v>
      </c>
      <c r="AA1401">
        <v>2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 t="str">
        <f t="shared" si="107"/>
        <v>8-11</v>
      </c>
      <c r="AI1401">
        <v>0</v>
      </c>
      <c r="AJ1401" t="str">
        <f t="shared" si="108"/>
        <v>0-2</v>
      </c>
      <c r="AK1401">
        <v>9</v>
      </c>
    </row>
    <row r="1402" spans="1:37" x14ac:dyDescent="0.25">
      <c r="A1402" s="8">
        <v>1401</v>
      </c>
      <c r="B1402" t="s">
        <v>44</v>
      </c>
      <c r="C1402" t="s">
        <v>45</v>
      </c>
      <c r="D1402" s="8">
        <v>38</v>
      </c>
      <c r="E1402" t="str">
        <f t="shared" si="109"/>
        <v>36-45</v>
      </c>
      <c r="F1402" t="s">
        <v>46</v>
      </c>
      <c r="G1402" t="s">
        <v>47</v>
      </c>
      <c r="H1402" s="8" t="s">
        <v>64</v>
      </c>
      <c r="I1402" s="10">
        <v>1</v>
      </c>
      <c r="J1402" t="str">
        <f t="shared" si="105"/>
        <v>Near</v>
      </c>
      <c r="K1402">
        <v>4</v>
      </c>
      <c r="L1402" t="s">
        <v>50</v>
      </c>
      <c r="M1402">
        <v>4</v>
      </c>
      <c r="N1402">
        <v>3</v>
      </c>
      <c r="O1402">
        <v>1</v>
      </c>
      <c r="P1402" t="s">
        <v>64</v>
      </c>
      <c r="Q1402">
        <v>2</v>
      </c>
      <c r="R1402" s="11">
        <v>1444</v>
      </c>
      <c r="S1402" s="14">
        <v>88</v>
      </c>
      <c r="T1402" s="13">
        <v>2991</v>
      </c>
      <c r="U1402" s="13">
        <f t="shared" si="106"/>
        <v>35892</v>
      </c>
      <c r="V1402" s="14">
        <v>5224</v>
      </c>
      <c r="W1402">
        <v>0</v>
      </c>
      <c r="X1402" s="8" t="s">
        <v>38</v>
      </c>
      <c r="Y1402" s="15">
        <v>0.11</v>
      </c>
      <c r="Z1402">
        <v>3</v>
      </c>
      <c r="AA1402">
        <v>2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 t="str">
        <f t="shared" si="107"/>
        <v>0-3</v>
      </c>
      <c r="AI1402">
        <v>1</v>
      </c>
      <c r="AJ1402" t="str">
        <f t="shared" si="108"/>
        <v>0-2</v>
      </c>
      <c r="AK1402">
        <v>2</v>
      </c>
    </row>
    <row r="1403" spans="1:37" x14ac:dyDescent="0.25">
      <c r="A1403" s="8">
        <v>1402</v>
      </c>
      <c r="B1403" t="s">
        <v>44</v>
      </c>
      <c r="C1403" t="s">
        <v>45</v>
      </c>
      <c r="D1403" s="8">
        <v>55</v>
      </c>
      <c r="E1403" t="str">
        <f t="shared" si="109"/>
        <v>46-55</v>
      </c>
      <c r="F1403" t="s">
        <v>46</v>
      </c>
      <c r="G1403" t="s">
        <v>39</v>
      </c>
      <c r="H1403" s="8" t="s">
        <v>64</v>
      </c>
      <c r="I1403" s="10">
        <v>26</v>
      </c>
      <c r="J1403" t="str">
        <f t="shared" si="105"/>
        <v>Far</v>
      </c>
      <c r="K1403">
        <v>4</v>
      </c>
      <c r="L1403" t="s">
        <v>64</v>
      </c>
      <c r="M1403">
        <v>3</v>
      </c>
      <c r="N1403">
        <v>4</v>
      </c>
      <c r="O1403">
        <v>5</v>
      </c>
      <c r="P1403" t="s">
        <v>59</v>
      </c>
      <c r="Q1403">
        <v>2</v>
      </c>
      <c r="R1403" s="11">
        <v>189</v>
      </c>
      <c r="S1403" s="14">
        <v>71</v>
      </c>
      <c r="T1403" s="13">
        <v>19636</v>
      </c>
      <c r="U1403" s="13">
        <f t="shared" si="106"/>
        <v>235632</v>
      </c>
      <c r="V1403" s="14">
        <v>25811</v>
      </c>
      <c r="W1403">
        <v>4</v>
      </c>
      <c r="X1403" s="8" t="s">
        <v>38</v>
      </c>
      <c r="Y1403" s="15">
        <v>0.18</v>
      </c>
      <c r="Z1403">
        <v>3</v>
      </c>
      <c r="AA1403">
        <v>1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 t="str">
        <f t="shared" si="107"/>
        <v>8-11</v>
      </c>
      <c r="AI1403">
        <v>1</v>
      </c>
      <c r="AJ1403" t="str">
        <f t="shared" si="108"/>
        <v>0-2</v>
      </c>
      <c r="AK1403">
        <v>4</v>
      </c>
    </row>
    <row r="1404" spans="1:37" x14ac:dyDescent="0.25">
      <c r="A1404" s="8">
        <v>1403</v>
      </c>
      <c r="B1404" t="s">
        <v>52</v>
      </c>
      <c r="C1404" t="s">
        <v>54</v>
      </c>
      <c r="D1404" s="8">
        <v>31</v>
      </c>
      <c r="E1404" t="str">
        <f t="shared" si="109"/>
        <v>26-35</v>
      </c>
      <c r="F1404" t="s">
        <v>46</v>
      </c>
      <c r="G1404" t="s">
        <v>39</v>
      </c>
      <c r="H1404" s="8" t="s">
        <v>48</v>
      </c>
      <c r="I1404" s="10">
        <v>2</v>
      </c>
      <c r="J1404" t="str">
        <f t="shared" si="105"/>
        <v>Near</v>
      </c>
      <c r="K1404">
        <v>1</v>
      </c>
      <c r="L1404" t="s">
        <v>53</v>
      </c>
      <c r="M1404">
        <v>4</v>
      </c>
      <c r="N1404">
        <v>1</v>
      </c>
      <c r="O1404">
        <v>1</v>
      </c>
      <c r="P1404" t="s">
        <v>51</v>
      </c>
      <c r="Q1404">
        <v>4</v>
      </c>
      <c r="R1404" s="11">
        <v>1276</v>
      </c>
      <c r="S1404" s="14">
        <v>59</v>
      </c>
      <c r="T1404" s="13">
        <v>1129</v>
      </c>
      <c r="U1404" s="13">
        <f t="shared" si="106"/>
        <v>13548</v>
      </c>
      <c r="V1404" s="14">
        <v>17536</v>
      </c>
      <c r="W1404">
        <v>1</v>
      </c>
      <c r="X1404" s="8" t="s">
        <v>38</v>
      </c>
      <c r="Y1404" s="15">
        <v>0.11</v>
      </c>
      <c r="Z1404">
        <v>3</v>
      </c>
      <c r="AA1404">
        <v>3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 t="str">
        <f t="shared" si="107"/>
        <v>0-3</v>
      </c>
      <c r="AI1404">
        <v>0</v>
      </c>
      <c r="AJ1404" t="str">
        <f t="shared" si="108"/>
        <v>0-2</v>
      </c>
      <c r="AK1404">
        <v>0</v>
      </c>
    </row>
    <row r="1405" spans="1:37" x14ac:dyDescent="0.25">
      <c r="A1405" s="8">
        <v>1404</v>
      </c>
      <c r="B1405" t="s">
        <v>44</v>
      </c>
      <c r="C1405" t="s">
        <v>37</v>
      </c>
      <c r="D1405" s="8">
        <v>39</v>
      </c>
      <c r="E1405" t="str">
        <f t="shared" si="109"/>
        <v>36-45</v>
      </c>
      <c r="F1405" t="s">
        <v>46</v>
      </c>
      <c r="G1405" t="s">
        <v>39</v>
      </c>
      <c r="H1405" s="8" t="s">
        <v>40</v>
      </c>
      <c r="I1405" s="10">
        <v>15</v>
      </c>
      <c r="J1405" t="str">
        <f t="shared" si="105"/>
        <v>Moderate</v>
      </c>
      <c r="K1405">
        <v>4</v>
      </c>
      <c r="L1405" t="s">
        <v>62</v>
      </c>
      <c r="M1405">
        <v>2</v>
      </c>
      <c r="N1405">
        <v>3</v>
      </c>
      <c r="O1405">
        <v>4</v>
      </c>
      <c r="P1405" t="s">
        <v>42</v>
      </c>
      <c r="Q1405">
        <v>1</v>
      </c>
      <c r="R1405" s="11">
        <v>119</v>
      </c>
      <c r="S1405" s="14">
        <v>77</v>
      </c>
      <c r="T1405" s="13">
        <v>13341</v>
      </c>
      <c r="U1405" s="13">
        <f t="shared" si="106"/>
        <v>160092</v>
      </c>
      <c r="V1405" s="14">
        <v>25098</v>
      </c>
      <c r="W1405">
        <v>0</v>
      </c>
      <c r="X1405" s="8" t="s">
        <v>46</v>
      </c>
      <c r="Y1405" s="15">
        <v>0.12</v>
      </c>
      <c r="Z1405">
        <v>3</v>
      </c>
      <c r="AA1405">
        <v>1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 t="str">
        <f t="shared" si="107"/>
        <v>8-11</v>
      </c>
      <c r="AI1405">
        <v>11</v>
      </c>
      <c r="AJ1405" t="str">
        <f t="shared" si="108"/>
        <v>9-11</v>
      </c>
      <c r="AK1405">
        <v>10</v>
      </c>
    </row>
    <row r="1406" spans="1:37" x14ac:dyDescent="0.25">
      <c r="A1406" s="8">
        <v>1405</v>
      </c>
      <c r="B1406" t="s">
        <v>44</v>
      </c>
      <c r="C1406" t="s">
        <v>37</v>
      </c>
      <c r="D1406" s="8">
        <v>42</v>
      </c>
      <c r="E1406" t="str">
        <f t="shared" si="109"/>
        <v>36-45</v>
      </c>
      <c r="F1406" t="s">
        <v>46</v>
      </c>
      <c r="G1406" t="s">
        <v>58</v>
      </c>
      <c r="H1406" s="8" t="s">
        <v>48</v>
      </c>
      <c r="I1406" s="10">
        <v>23</v>
      </c>
      <c r="J1406" t="str">
        <f t="shared" si="105"/>
        <v>Far</v>
      </c>
      <c r="K1406">
        <v>2</v>
      </c>
      <c r="L1406" t="s">
        <v>41</v>
      </c>
      <c r="M1406">
        <v>4</v>
      </c>
      <c r="N1406">
        <v>2</v>
      </c>
      <c r="O1406">
        <v>2</v>
      </c>
      <c r="P1406" t="s">
        <v>49</v>
      </c>
      <c r="Q1406">
        <v>3</v>
      </c>
      <c r="R1406" s="11">
        <v>335</v>
      </c>
      <c r="S1406" s="14">
        <v>37</v>
      </c>
      <c r="T1406" s="13">
        <v>4332</v>
      </c>
      <c r="U1406" s="13">
        <f t="shared" si="106"/>
        <v>51984</v>
      </c>
      <c r="V1406" s="14">
        <v>14811</v>
      </c>
      <c r="W1406">
        <v>1</v>
      </c>
      <c r="X1406" s="8" t="s">
        <v>46</v>
      </c>
      <c r="Y1406" s="15">
        <v>0.12</v>
      </c>
      <c r="Z1406">
        <v>3</v>
      </c>
      <c r="AA1406">
        <v>4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 t="str">
        <f t="shared" si="107"/>
        <v>8-11</v>
      </c>
      <c r="AI1406">
        <v>3</v>
      </c>
      <c r="AJ1406" t="str">
        <f t="shared" si="108"/>
        <v>3-5</v>
      </c>
      <c r="AK1406">
        <v>7</v>
      </c>
    </row>
    <row r="1407" spans="1:37" x14ac:dyDescent="0.25">
      <c r="A1407" s="8">
        <v>1406</v>
      </c>
      <c r="B1407" t="s">
        <v>52</v>
      </c>
      <c r="C1407" t="s">
        <v>45</v>
      </c>
      <c r="D1407" s="8">
        <v>31</v>
      </c>
      <c r="E1407" t="str">
        <f t="shared" si="109"/>
        <v>26-35</v>
      </c>
      <c r="F1407" t="s">
        <v>46</v>
      </c>
      <c r="G1407" t="s">
        <v>58</v>
      </c>
      <c r="H1407" s="8" t="s">
        <v>48</v>
      </c>
      <c r="I1407" s="10">
        <v>10</v>
      </c>
      <c r="J1407" t="str">
        <f t="shared" si="105"/>
        <v>Moderate</v>
      </c>
      <c r="K1407">
        <v>3</v>
      </c>
      <c r="L1407" t="s">
        <v>53</v>
      </c>
      <c r="M1407">
        <v>3</v>
      </c>
      <c r="N1407">
        <v>3</v>
      </c>
      <c r="O1407">
        <v>3</v>
      </c>
      <c r="P1407" t="s">
        <v>61</v>
      </c>
      <c r="Q1407">
        <v>3</v>
      </c>
      <c r="R1407" s="11">
        <v>697</v>
      </c>
      <c r="S1407" s="14">
        <v>40</v>
      </c>
      <c r="T1407" s="13">
        <v>11031</v>
      </c>
      <c r="U1407" s="13">
        <f t="shared" si="106"/>
        <v>132372</v>
      </c>
      <c r="V1407" s="14">
        <v>26862</v>
      </c>
      <c r="W1407">
        <v>4</v>
      </c>
      <c r="X1407" s="8" t="s">
        <v>46</v>
      </c>
      <c r="Y1407" s="15">
        <v>0.2</v>
      </c>
      <c r="Z1407">
        <v>4</v>
      </c>
      <c r="AA1407">
        <v>3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 t="str">
        <f t="shared" si="107"/>
        <v>4-7</v>
      </c>
      <c r="AI1407">
        <v>4</v>
      </c>
      <c r="AJ1407" t="str">
        <f t="shared" si="108"/>
        <v>3-5</v>
      </c>
      <c r="AK1407">
        <v>8</v>
      </c>
    </row>
    <row r="1408" spans="1:37" x14ac:dyDescent="0.25">
      <c r="A1408" s="8">
        <v>1407</v>
      </c>
      <c r="B1408" t="s">
        <v>52</v>
      </c>
      <c r="C1408" t="s">
        <v>37</v>
      </c>
      <c r="D1408" s="8">
        <v>54</v>
      </c>
      <c r="E1408" t="str">
        <f t="shared" si="109"/>
        <v>46-55</v>
      </c>
      <c r="F1408" t="s">
        <v>46</v>
      </c>
      <c r="G1408" t="s">
        <v>39</v>
      </c>
      <c r="H1408" s="8" t="s">
        <v>48</v>
      </c>
      <c r="I1408" s="10">
        <v>10</v>
      </c>
      <c r="J1408" t="str">
        <f t="shared" si="105"/>
        <v>Moderate</v>
      </c>
      <c r="K1408">
        <v>3</v>
      </c>
      <c r="L1408" t="s">
        <v>53</v>
      </c>
      <c r="M1408">
        <v>3</v>
      </c>
      <c r="N1408">
        <v>3</v>
      </c>
      <c r="O1408">
        <v>2</v>
      </c>
      <c r="P1408" t="s">
        <v>55</v>
      </c>
      <c r="Q1408">
        <v>1</v>
      </c>
      <c r="R1408" s="11">
        <v>157</v>
      </c>
      <c r="S1408" s="14">
        <v>77</v>
      </c>
      <c r="T1408" s="13">
        <v>4440</v>
      </c>
      <c r="U1408" s="13">
        <f t="shared" si="106"/>
        <v>53280</v>
      </c>
      <c r="V1408" s="14">
        <v>25198</v>
      </c>
      <c r="W1408">
        <v>6</v>
      </c>
      <c r="X1408" s="8" t="s">
        <v>38</v>
      </c>
      <c r="Y1408" s="15">
        <v>0.19</v>
      </c>
      <c r="Z1408">
        <v>3</v>
      </c>
      <c r="AA1408">
        <v>4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 t="str">
        <f t="shared" si="107"/>
        <v>0-3</v>
      </c>
      <c r="AI1408">
        <v>1</v>
      </c>
      <c r="AJ1408" t="str">
        <f t="shared" si="108"/>
        <v>0-2</v>
      </c>
      <c r="AK1408">
        <v>4</v>
      </c>
    </row>
    <row r="1409" spans="1:37" x14ac:dyDescent="0.25">
      <c r="A1409" s="8">
        <v>1408</v>
      </c>
      <c r="B1409" t="s">
        <v>44</v>
      </c>
      <c r="C1409" t="s">
        <v>37</v>
      </c>
      <c r="D1409" s="8">
        <v>24</v>
      </c>
      <c r="E1409" t="str">
        <f t="shared" si="109"/>
        <v>18-25</v>
      </c>
      <c r="F1409" t="s">
        <v>46</v>
      </c>
      <c r="G1409" t="s">
        <v>39</v>
      </c>
      <c r="H1409" s="8" t="s">
        <v>48</v>
      </c>
      <c r="I1409" s="10">
        <v>1</v>
      </c>
      <c r="J1409" t="str">
        <f t="shared" si="105"/>
        <v>Near</v>
      </c>
      <c r="K1409">
        <v>2</v>
      </c>
      <c r="L1409" t="s">
        <v>41</v>
      </c>
      <c r="M1409">
        <v>2</v>
      </c>
      <c r="N1409">
        <v>2</v>
      </c>
      <c r="O1409">
        <v>2</v>
      </c>
      <c r="P1409" t="s">
        <v>56</v>
      </c>
      <c r="Q1409">
        <v>3</v>
      </c>
      <c r="R1409" s="11">
        <v>771</v>
      </c>
      <c r="S1409" s="14">
        <v>45</v>
      </c>
      <c r="T1409" s="13">
        <v>4617</v>
      </c>
      <c r="U1409" s="13">
        <f t="shared" si="106"/>
        <v>55404</v>
      </c>
      <c r="V1409" s="14">
        <v>14120</v>
      </c>
      <c r="W1409">
        <v>1</v>
      </c>
      <c r="X1409" s="8" t="s">
        <v>46</v>
      </c>
      <c r="Y1409" s="15">
        <v>0.12</v>
      </c>
      <c r="Z1409">
        <v>3</v>
      </c>
      <c r="AA1409">
        <v>2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 t="str">
        <f t="shared" si="107"/>
        <v>0-3</v>
      </c>
      <c r="AI1409">
        <v>1</v>
      </c>
      <c r="AJ1409" t="str">
        <f t="shared" si="108"/>
        <v>0-2</v>
      </c>
      <c r="AK1409">
        <v>2</v>
      </c>
    </row>
    <row r="1410" spans="1:37" x14ac:dyDescent="0.25">
      <c r="A1410" s="8">
        <v>1409</v>
      </c>
      <c r="B1410" t="s">
        <v>44</v>
      </c>
      <c r="C1410" t="s">
        <v>37</v>
      </c>
      <c r="D1410" s="8">
        <v>23</v>
      </c>
      <c r="E1410" t="str">
        <f t="shared" si="109"/>
        <v>18-25</v>
      </c>
      <c r="F1410" t="s">
        <v>46</v>
      </c>
      <c r="G1410" t="s">
        <v>39</v>
      </c>
      <c r="H1410" s="8" t="s">
        <v>48</v>
      </c>
      <c r="I1410" s="10">
        <v>12</v>
      </c>
      <c r="J1410" t="str">
        <f t="shared" si="105"/>
        <v>Moderate</v>
      </c>
      <c r="K1410">
        <v>2</v>
      </c>
      <c r="L1410" t="s">
        <v>50</v>
      </c>
      <c r="M1410">
        <v>4</v>
      </c>
      <c r="N1410">
        <v>3</v>
      </c>
      <c r="O1410">
        <v>1</v>
      </c>
      <c r="P1410" t="s">
        <v>51</v>
      </c>
      <c r="Q1410">
        <v>4</v>
      </c>
      <c r="R1410" s="11">
        <v>571</v>
      </c>
      <c r="S1410" s="14">
        <v>78</v>
      </c>
      <c r="T1410" s="13">
        <v>2647</v>
      </c>
      <c r="U1410" s="13">
        <f t="shared" si="106"/>
        <v>31764</v>
      </c>
      <c r="V1410" s="14">
        <v>13672</v>
      </c>
      <c r="W1410">
        <v>1</v>
      </c>
      <c r="X1410" s="8" t="s">
        <v>46</v>
      </c>
      <c r="Y1410" s="15">
        <v>0.13</v>
      </c>
      <c r="Z1410">
        <v>3</v>
      </c>
      <c r="AA1410">
        <v>3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 t="str">
        <f t="shared" si="107"/>
        <v>0-3</v>
      </c>
      <c r="AI1410">
        <v>1</v>
      </c>
      <c r="AJ1410" t="str">
        <f t="shared" si="108"/>
        <v>0-2</v>
      </c>
      <c r="AK1410">
        <v>4</v>
      </c>
    </row>
    <row r="1411" spans="1:37" x14ac:dyDescent="0.25">
      <c r="A1411" s="8">
        <v>1410</v>
      </c>
      <c r="B1411" t="s">
        <v>52</v>
      </c>
      <c r="C1411" t="s">
        <v>45</v>
      </c>
      <c r="D1411" s="8">
        <v>40</v>
      </c>
      <c r="E1411" t="str">
        <f t="shared" si="109"/>
        <v>36-45</v>
      </c>
      <c r="F1411" t="s">
        <v>46</v>
      </c>
      <c r="G1411" t="s">
        <v>47</v>
      </c>
      <c r="H1411" s="8" t="s">
        <v>48</v>
      </c>
      <c r="I1411" s="10">
        <v>11</v>
      </c>
      <c r="J1411" t="str">
        <f t="shared" ref="J1411:J1471" si="110">IF(I1411&lt;=5,"Near",IF(I1411&lt;=15,"Moderate",IF(I1411&gt;15,"Far")))</f>
        <v>Moderate</v>
      </c>
      <c r="K1411">
        <v>3</v>
      </c>
      <c r="L1411" t="s">
        <v>63</v>
      </c>
      <c r="M1411">
        <v>4</v>
      </c>
      <c r="N1411">
        <v>3</v>
      </c>
      <c r="O1411">
        <v>2</v>
      </c>
      <c r="P1411" t="s">
        <v>51</v>
      </c>
      <c r="Q1411">
        <v>3</v>
      </c>
      <c r="R1411" s="11">
        <v>692</v>
      </c>
      <c r="S1411" s="14">
        <v>73</v>
      </c>
      <c r="T1411" s="13">
        <v>6323</v>
      </c>
      <c r="U1411" s="13">
        <f t="shared" ref="U1411:U1471" si="111">T1411*12</f>
        <v>75876</v>
      </c>
      <c r="V1411" s="14">
        <v>26849</v>
      </c>
      <c r="W1411">
        <v>1</v>
      </c>
      <c r="X1411" s="8" t="s">
        <v>46</v>
      </c>
      <c r="Y1411" s="15">
        <v>0.11</v>
      </c>
      <c r="Z1411">
        <v>3</v>
      </c>
      <c r="AA1411">
        <v>1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 t="str">
        <f t="shared" ref="AH1411:AH1471" si="112">IF(AG:AG&lt;=3,"0-3", IF(AG:AG&lt;=7,"4-7", IF(AG:AG&lt;=11,"8-11", IF(AG:AG&lt;=15,"12-15","16-19"))))</f>
        <v>8-11</v>
      </c>
      <c r="AI1411">
        <v>9</v>
      </c>
      <c r="AJ1411" t="str">
        <f t="shared" ref="AJ1411:AJ1471" si="113">IF(AI:AI&lt;=2,"0-2",IF(AI:AI&lt;=5,"3-5", IF(AI:AI&lt;=8,"6-8", IF(AI:AI&lt;=11,"9-11","12-15"))))</f>
        <v>9-11</v>
      </c>
      <c r="AK1411">
        <v>4</v>
      </c>
    </row>
    <row r="1412" spans="1:37" x14ac:dyDescent="0.25">
      <c r="A1412" s="8">
        <v>1411</v>
      </c>
      <c r="B1412" t="s">
        <v>52</v>
      </c>
      <c r="C1412" t="s">
        <v>45</v>
      </c>
      <c r="D1412" s="8">
        <v>40</v>
      </c>
      <c r="E1412" t="str">
        <f t="shared" ref="E1412:E1471" si="114">IF(D1412&lt;25,"18-25",IF(D1412&lt;=35,"26-35",IF(D1412&lt;=45,"36-45",IF(D1412&lt;=55,"46-55",IF(D1412&gt;55,"55+")))))</f>
        <v>36-45</v>
      </c>
      <c r="F1412" t="s">
        <v>46</v>
      </c>
      <c r="G1412" t="s">
        <v>39</v>
      </c>
      <c r="H1412" s="8" t="s">
        <v>40</v>
      </c>
      <c r="I1412" s="10">
        <v>2</v>
      </c>
      <c r="J1412" t="str">
        <f t="shared" si="110"/>
        <v>Near</v>
      </c>
      <c r="K1412">
        <v>2</v>
      </c>
      <c r="L1412" t="s">
        <v>62</v>
      </c>
      <c r="M1412">
        <v>2</v>
      </c>
      <c r="N1412">
        <v>3</v>
      </c>
      <c r="O1412">
        <v>2</v>
      </c>
      <c r="P1412" t="s">
        <v>42</v>
      </c>
      <c r="Q1412">
        <v>2</v>
      </c>
      <c r="R1412" s="11">
        <v>444</v>
      </c>
      <c r="S1412" s="14">
        <v>92</v>
      </c>
      <c r="T1412" s="13">
        <v>5677</v>
      </c>
      <c r="U1412" s="13">
        <f t="shared" si="111"/>
        <v>68124</v>
      </c>
      <c r="V1412" s="14">
        <v>4258</v>
      </c>
      <c r="W1412">
        <v>3</v>
      </c>
      <c r="X1412" s="8" t="s">
        <v>46</v>
      </c>
      <c r="Y1412" s="15">
        <v>0.14000000000000001</v>
      </c>
      <c r="Z1412">
        <v>3</v>
      </c>
      <c r="AA1412">
        <v>3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 t="str">
        <f t="shared" si="112"/>
        <v>8-11</v>
      </c>
      <c r="AI1412">
        <v>5</v>
      </c>
      <c r="AJ1412" t="str">
        <f t="shared" si="113"/>
        <v>3-5</v>
      </c>
      <c r="AK1412">
        <v>10</v>
      </c>
    </row>
    <row r="1413" spans="1:37" x14ac:dyDescent="0.25">
      <c r="A1413" s="8">
        <v>1412</v>
      </c>
      <c r="B1413" t="s">
        <v>52</v>
      </c>
      <c r="C1413" t="s">
        <v>45</v>
      </c>
      <c r="D1413" s="8">
        <v>25</v>
      </c>
      <c r="E1413" t="str">
        <f t="shared" si="114"/>
        <v>26-35</v>
      </c>
      <c r="F1413" t="s">
        <v>46</v>
      </c>
      <c r="G1413" t="s">
        <v>39</v>
      </c>
      <c r="H1413" s="8" t="s">
        <v>64</v>
      </c>
      <c r="I1413" s="10">
        <v>2</v>
      </c>
      <c r="J1413" t="str">
        <f t="shared" si="110"/>
        <v>Near</v>
      </c>
      <c r="K1413">
        <v>3</v>
      </c>
      <c r="L1413" t="s">
        <v>64</v>
      </c>
      <c r="M1413">
        <v>3</v>
      </c>
      <c r="N1413">
        <v>3</v>
      </c>
      <c r="O1413">
        <v>1</v>
      </c>
      <c r="P1413" t="s">
        <v>64</v>
      </c>
      <c r="Q1413">
        <v>2</v>
      </c>
      <c r="R1413" s="11">
        <v>309</v>
      </c>
      <c r="S1413" s="14">
        <v>82</v>
      </c>
      <c r="T1413" s="13">
        <v>2187</v>
      </c>
      <c r="U1413" s="13">
        <f t="shared" si="111"/>
        <v>26244</v>
      </c>
      <c r="V1413" s="14">
        <v>19655</v>
      </c>
      <c r="W1413">
        <v>4</v>
      </c>
      <c r="X1413" s="8" t="s">
        <v>46</v>
      </c>
      <c r="Y1413" s="15">
        <v>0.14000000000000001</v>
      </c>
      <c r="Z1413">
        <v>3</v>
      </c>
      <c r="AA1413">
        <v>3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 t="str">
        <f t="shared" si="112"/>
        <v>0-3</v>
      </c>
      <c r="AI1413">
        <v>1</v>
      </c>
      <c r="AJ1413" t="str">
        <f t="shared" si="113"/>
        <v>0-2</v>
      </c>
      <c r="AK1413">
        <v>2</v>
      </c>
    </row>
    <row r="1414" spans="1:37" x14ac:dyDescent="0.25">
      <c r="A1414" s="8">
        <v>1413</v>
      </c>
      <c r="B1414" t="s">
        <v>44</v>
      </c>
      <c r="C1414" t="s">
        <v>45</v>
      </c>
      <c r="D1414" s="8">
        <v>30</v>
      </c>
      <c r="E1414" t="str">
        <f t="shared" si="114"/>
        <v>26-35</v>
      </c>
      <c r="F1414" t="s">
        <v>46</v>
      </c>
      <c r="G1414" t="s">
        <v>39</v>
      </c>
      <c r="H1414" s="8" t="s">
        <v>48</v>
      </c>
      <c r="I1414" s="10">
        <v>1</v>
      </c>
      <c r="J1414" t="str">
        <f t="shared" si="110"/>
        <v>Near</v>
      </c>
      <c r="K1414">
        <v>2</v>
      </c>
      <c r="L1414" t="s">
        <v>53</v>
      </c>
      <c r="M1414">
        <v>4</v>
      </c>
      <c r="N1414">
        <v>3</v>
      </c>
      <c r="O1414">
        <v>1</v>
      </c>
      <c r="P1414" t="s">
        <v>51</v>
      </c>
      <c r="Q1414">
        <v>2</v>
      </c>
      <c r="R1414" s="11">
        <v>911</v>
      </c>
      <c r="S1414" s="14">
        <v>76</v>
      </c>
      <c r="T1414" s="13">
        <v>3748</v>
      </c>
      <c r="U1414" s="13">
        <f t="shared" si="111"/>
        <v>44976</v>
      </c>
      <c r="V1414" s="14">
        <v>4077</v>
      </c>
      <c r="W1414">
        <v>1</v>
      </c>
      <c r="X1414" s="8" t="s">
        <v>46</v>
      </c>
      <c r="Y1414" s="15">
        <v>0.13</v>
      </c>
      <c r="Z1414">
        <v>3</v>
      </c>
      <c r="AA1414">
        <v>3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 t="str">
        <f t="shared" si="112"/>
        <v>8-11</v>
      </c>
      <c r="AI1414">
        <v>1</v>
      </c>
      <c r="AJ1414" t="str">
        <f t="shared" si="113"/>
        <v>0-2</v>
      </c>
      <c r="AK1414">
        <v>7</v>
      </c>
    </row>
    <row r="1415" spans="1:37" x14ac:dyDescent="0.25">
      <c r="A1415" s="8">
        <v>1414</v>
      </c>
      <c r="B1415" t="s">
        <v>44</v>
      </c>
      <c r="C1415" t="s">
        <v>54</v>
      </c>
      <c r="D1415" s="8">
        <v>25</v>
      </c>
      <c r="E1415" t="str">
        <f t="shared" si="114"/>
        <v>26-35</v>
      </c>
      <c r="F1415" t="s">
        <v>46</v>
      </c>
      <c r="G1415" t="s">
        <v>39</v>
      </c>
      <c r="H1415" s="8" t="s">
        <v>48</v>
      </c>
      <c r="I1415" s="10">
        <v>2</v>
      </c>
      <c r="J1415" t="str">
        <f t="shared" si="110"/>
        <v>Near</v>
      </c>
      <c r="K1415">
        <v>1</v>
      </c>
      <c r="L1415" t="s">
        <v>50</v>
      </c>
      <c r="M1415">
        <v>4</v>
      </c>
      <c r="N1415">
        <v>3</v>
      </c>
      <c r="O1415">
        <v>1</v>
      </c>
      <c r="P1415" t="s">
        <v>51</v>
      </c>
      <c r="Q1415">
        <v>3</v>
      </c>
      <c r="R1415" s="11">
        <v>977</v>
      </c>
      <c r="S1415" s="14">
        <v>57</v>
      </c>
      <c r="T1415" s="13">
        <v>3977</v>
      </c>
      <c r="U1415" s="13">
        <f t="shared" si="111"/>
        <v>47724</v>
      </c>
      <c r="V1415" s="14">
        <v>7298</v>
      </c>
      <c r="W1415">
        <v>6</v>
      </c>
      <c r="X1415" s="8" t="s">
        <v>38</v>
      </c>
      <c r="Y1415" s="15">
        <v>0.19</v>
      </c>
      <c r="Z1415">
        <v>3</v>
      </c>
      <c r="AA1415">
        <v>3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 t="str">
        <f t="shared" si="112"/>
        <v>0-3</v>
      </c>
      <c r="AI1415">
        <v>0</v>
      </c>
      <c r="AJ1415" t="str">
        <f t="shared" si="113"/>
        <v>0-2</v>
      </c>
      <c r="AK1415">
        <v>2</v>
      </c>
    </row>
    <row r="1416" spans="1:37" x14ac:dyDescent="0.25">
      <c r="A1416" s="8">
        <v>1415</v>
      </c>
      <c r="B1416" t="s">
        <v>44</v>
      </c>
      <c r="C1416" t="s">
        <v>37</v>
      </c>
      <c r="D1416" s="8">
        <v>47</v>
      </c>
      <c r="E1416" t="str">
        <f t="shared" si="114"/>
        <v>46-55</v>
      </c>
      <c r="F1416" t="s">
        <v>46</v>
      </c>
      <c r="G1416" t="s">
        <v>39</v>
      </c>
      <c r="H1416" s="8" t="s">
        <v>48</v>
      </c>
      <c r="I1416" s="10">
        <v>25</v>
      </c>
      <c r="J1416" t="str">
        <f t="shared" si="110"/>
        <v>Far</v>
      </c>
      <c r="K1416">
        <v>3</v>
      </c>
      <c r="L1416" t="s">
        <v>53</v>
      </c>
      <c r="M1416">
        <v>1</v>
      </c>
      <c r="N1416">
        <v>3</v>
      </c>
      <c r="O1416">
        <v>3</v>
      </c>
      <c r="P1416" t="s">
        <v>56</v>
      </c>
      <c r="Q1416">
        <v>3</v>
      </c>
      <c r="R1416" s="11">
        <v>1180</v>
      </c>
      <c r="S1416" s="14">
        <v>84</v>
      </c>
      <c r="T1416" s="13">
        <v>8633</v>
      </c>
      <c r="U1416" s="13">
        <f t="shared" si="111"/>
        <v>103596</v>
      </c>
      <c r="V1416" s="14">
        <v>13084</v>
      </c>
      <c r="W1416">
        <v>2</v>
      </c>
      <c r="X1416" s="8" t="s">
        <v>46</v>
      </c>
      <c r="Y1416" s="15">
        <v>0.23</v>
      </c>
      <c r="Z1416">
        <v>4</v>
      </c>
      <c r="AA1416">
        <v>2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 t="str">
        <f t="shared" si="112"/>
        <v>12-15</v>
      </c>
      <c r="AI1416">
        <v>12</v>
      </c>
      <c r="AJ1416" t="str">
        <f t="shared" si="113"/>
        <v>12-15</v>
      </c>
      <c r="AK1416">
        <v>11</v>
      </c>
    </row>
    <row r="1417" spans="1:37" x14ac:dyDescent="0.25">
      <c r="A1417" s="8">
        <v>1416</v>
      </c>
      <c r="B1417" t="s">
        <v>44</v>
      </c>
      <c r="C1417" t="s">
        <v>54</v>
      </c>
      <c r="D1417" s="8">
        <v>33</v>
      </c>
      <c r="E1417" t="str">
        <f t="shared" si="114"/>
        <v>26-35</v>
      </c>
      <c r="F1417" t="s">
        <v>46</v>
      </c>
      <c r="G1417" t="s">
        <v>58</v>
      </c>
      <c r="H1417" s="8" t="s">
        <v>48</v>
      </c>
      <c r="I1417" s="10">
        <v>1</v>
      </c>
      <c r="J1417" t="str">
        <f t="shared" si="110"/>
        <v>Near</v>
      </c>
      <c r="K1417">
        <v>2</v>
      </c>
      <c r="L1417" t="s">
        <v>53</v>
      </c>
      <c r="M1417">
        <v>2</v>
      </c>
      <c r="N1417">
        <v>2</v>
      </c>
      <c r="O1417">
        <v>1</v>
      </c>
      <c r="P1417" t="s">
        <v>51</v>
      </c>
      <c r="Q1417">
        <v>3</v>
      </c>
      <c r="R1417" s="11">
        <v>1313</v>
      </c>
      <c r="S1417" s="14">
        <v>59</v>
      </c>
      <c r="T1417" s="13">
        <v>2008</v>
      </c>
      <c r="U1417" s="13">
        <f t="shared" si="111"/>
        <v>24096</v>
      </c>
      <c r="V1417" s="14">
        <v>20439</v>
      </c>
      <c r="W1417">
        <v>1</v>
      </c>
      <c r="X1417" s="8" t="s">
        <v>46</v>
      </c>
      <c r="Y1417" s="15">
        <v>0.12</v>
      </c>
      <c r="Z1417">
        <v>3</v>
      </c>
      <c r="AA1417">
        <v>3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 t="str">
        <f t="shared" si="112"/>
        <v>0-3</v>
      </c>
      <c r="AI1417">
        <v>0</v>
      </c>
      <c r="AJ1417" t="str">
        <f t="shared" si="113"/>
        <v>0-2</v>
      </c>
      <c r="AK1417">
        <v>0</v>
      </c>
    </row>
    <row r="1418" spans="1:37" x14ac:dyDescent="0.25">
      <c r="A1418" s="8">
        <v>1417</v>
      </c>
      <c r="B1418" t="s">
        <v>44</v>
      </c>
      <c r="C1418" t="s">
        <v>45</v>
      </c>
      <c r="D1418" s="8">
        <v>38</v>
      </c>
      <c r="E1418" t="str">
        <f t="shared" si="114"/>
        <v>36-45</v>
      </c>
      <c r="F1418" t="s">
        <v>46</v>
      </c>
      <c r="G1418" t="s">
        <v>39</v>
      </c>
      <c r="H1418" s="8" t="s">
        <v>40</v>
      </c>
      <c r="I1418" s="10">
        <v>1</v>
      </c>
      <c r="J1418" t="str">
        <f t="shared" si="110"/>
        <v>Near</v>
      </c>
      <c r="K1418">
        <v>4</v>
      </c>
      <c r="L1418" t="s">
        <v>41</v>
      </c>
      <c r="M1418">
        <v>4</v>
      </c>
      <c r="N1418">
        <v>3</v>
      </c>
      <c r="O1418">
        <v>2</v>
      </c>
      <c r="P1418" t="s">
        <v>42</v>
      </c>
      <c r="Q1418">
        <v>2</v>
      </c>
      <c r="R1418" s="11">
        <v>1321</v>
      </c>
      <c r="S1418" s="14">
        <v>86</v>
      </c>
      <c r="T1418" s="13">
        <v>4440</v>
      </c>
      <c r="U1418" s="13">
        <f t="shared" si="111"/>
        <v>53280</v>
      </c>
      <c r="V1418" s="14">
        <v>7636</v>
      </c>
      <c r="W1418">
        <v>0</v>
      </c>
      <c r="X1418" s="8" t="s">
        <v>46</v>
      </c>
      <c r="Y1418" s="15">
        <v>0.15</v>
      </c>
      <c r="Z1418">
        <v>3</v>
      </c>
      <c r="AA1418">
        <v>1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 t="str">
        <f t="shared" si="112"/>
        <v>12-15</v>
      </c>
      <c r="AI1418">
        <v>5</v>
      </c>
      <c r="AJ1418" t="str">
        <f t="shared" si="113"/>
        <v>3-5</v>
      </c>
      <c r="AK1418">
        <v>8</v>
      </c>
    </row>
    <row r="1419" spans="1:37" x14ac:dyDescent="0.25">
      <c r="A1419" s="8">
        <v>1418</v>
      </c>
      <c r="B1419" t="s">
        <v>44</v>
      </c>
      <c r="C1419" t="s">
        <v>45</v>
      </c>
      <c r="D1419" s="8">
        <v>31</v>
      </c>
      <c r="E1419" t="str">
        <f t="shared" si="114"/>
        <v>26-35</v>
      </c>
      <c r="F1419" t="s">
        <v>46</v>
      </c>
      <c r="G1419" t="s">
        <v>39</v>
      </c>
      <c r="H1419" s="8" t="s">
        <v>40</v>
      </c>
      <c r="I1419" s="10">
        <v>2</v>
      </c>
      <c r="J1419" t="str">
        <f t="shared" si="110"/>
        <v>Near</v>
      </c>
      <c r="K1419">
        <v>2</v>
      </c>
      <c r="L1419" t="s">
        <v>41</v>
      </c>
      <c r="M1419">
        <v>1</v>
      </c>
      <c r="N1419">
        <v>3</v>
      </c>
      <c r="O1419">
        <v>1</v>
      </c>
      <c r="P1419" t="s">
        <v>60</v>
      </c>
      <c r="Q1419">
        <v>3</v>
      </c>
      <c r="R1419" s="11">
        <v>1154</v>
      </c>
      <c r="S1419" s="14">
        <v>54</v>
      </c>
      <c r="T1419" s="13">
        <v>3067</v>
      </c>
      <c r="U1419" s="13">
        <f t="shared" si="111"/>
        <v>36804</v>
      </c>
      <c r="V1419" s="14">
        <v>6393</v>
      </c>
      <c r="W1419">
        <v>0</v>
      </c>
      <c r="X1419" s="8" t="s">
        <v>46</v>
      </c>
      <c r="Y1419" s="15">
        <v>0.19</v>
      </c>
      <c r="Z1419">
        <v>3</v>
      </c>
      <c r="AA1419">
        <v>3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 t="str">
        <f t="shared" si="112"/>
        <v>0-3</v>
      </c>
      <c r="AI1419">
        <v>1</v>
      </c>
      <c r="AJ1419" t="str">
        <f t="shared" si="113"/>
        <v>0-2</v>
      </c>
      <c r="AK1419">
        <v>2</v>
      </c>
    </row>
    <row r="1420" spans="1:37" x14ac:dyDescent="0.25">
      <c r="A1420" s="8">
        <v>1419</v>
      </c>
      <c r="B1420" t="s">
        <v>44</v>
      </c>
      <c r="C1420" t="s">
        <v>45</v>
      </c>
      <c r="D1420" s="8">
        <v>38</v>
      </c>
      <c r="E1420" t="str">
        <f t="shared" si="114"/>
        <v>36-45</v>
      </c>
      <c r="F1420" t="s">
        <v>46</v>
      </c>
      <c r="G1420" t="s">
        <v>47</v>
      </c>
      <c r="H1420" s="8" t="s">
        <v>48</v>
      </c>
      <c r="I1420" s="10">
        <v>6</v>
      </c>
      <c r="J1420" t="str">
        <f t="shared" si="110"/>
        <v>Moderate</v>
      </c>
      <c r="K1420">
        <v>4</v>
      </c>
      <c r="L1420" t="s">
        <v>41</v>
      </c>
      <c r="M1420">
        <v>1</v>
      </c>
      <c r="N1420">
        <v>2</v>
      </c>
      <c r="O1420">
        <v>2</v>
      </c>
      <c r="P1420" t="s">
        <v>55</v>
      </c>
      <c r="Q1420">
        <v>3</v>
      </c>
      <c r="R1420" s="11">
        <v>508</v>
      </c>
      <c r="S1420" s="14">
        <v>72</v>
      </c>
      <c r="T1420" s="13">
        <v>5321</v>
      </c>
      <c r="U1420" s="13">
        <f t="shared" si="111"/>
        <v>63852</v>
      </c>
      <c r="V1420" s="14">
        <v>14284</v>
      </c>
      <c r="W1420">
        <v>2</v>
      </c>
      <c r="X1420" s="8" t="s">
        <v>46</v>
      </c>
      <c r="Y1420" s="15">
        <v>0.11</v>
      </c>
      <c r="Z1420">
        <v>3</v>
      </c>
      <c r="AA1420">
        <v>4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 t="str">
        <f t="shared" si="112"/>
        <v>0-3</v>
      </c>
      <c r="AI1420">
        <v>7</v>
      </c>
      <c r="AJ1420" t="str">
        <f t="shared" si="113"/>
        <v>6-8</v>
      </c>
      <c r="AK1420">
        <v>7</v>
      </c>
    </row>
    <row r="1421" spans="1:37" x14ac:dyDescent="0.25">
      <c r="A1421" s="8">
        <v>1420</v>
      </c>
      <c r="B1421" t="s">
        <v>44</v>
      </c>
      <c r="C1421" t="s">
        <v>54</v>
      </c>
      <c r="D1421" s="8">
        <v>42</v>
      </c>
      <c r="E1421" t="str">
        <f t="shared" si="114"/>
        <v>36-45</v>
      </c>
      <c r="F1421" t="s">
        <v>46</v>
      </c>
      <c r="G1421" t="s">
        <v>39</v>
      </c>
      <c r="H1421" s="8" t="s">
        <v>48</v>
      </c>
      <c r="I1421" s="10">
        <v>18</v>
      </c>
      <c r="J1421" t="str">
        <f t="shared" si="110"/>
        <v>Far</v>
      </c>
      <c r="K1421">
        <v>4</v>
      </c>
      <c r="L1421" t="s">
        <v>41</v>
      </c>
      <c r="M1421">
        <v>4</v>
      </c>
      <c r="N1421">
        <v>3</v>
      </c>
      <c r="O1421">
        <v>2</v>
      </c>
      <c r="P1421" t="s">
        <v>49</v>
      </c>
      <c r="Q1421">
        <v>1</v>
      </c>
      <c r="R1421" s="11">
        <v>557</v>
      </c>
      <c r="S1421" s="14">
        <v>35</v>
      </c>
      <c r="T1421" s="13">
        <v>5410</v>
      </c>
      <c r="U1421" s="13">
        <f t="shared" si="111"/>
        <v>64920</v>
      </c>
      <c r="V1421" s="14">
        <v>11189</v>
      </c>
      <c r="W1421">
        <v>6</v>
      </c>
      <c r="X1421" s="8" t="s">
        <v>38</v>
      </c>
      <c r="Y1421" s="15">
        <v>0.17</v>
      </c>
      <c r="Z1421">
        <v>3</v>
      </c>
      <c r="AA1421">
        <v>3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 t="str">
        <f t="shared" si="112"/>
        <v>0-3</v>
      </c>
      <c r="AI1421">
        <v>1</v>
      </c>
      <c r="AJ1421" t="str">
        <f t="shared" si="113"/>
        <v>0-2</v>
      </c>
      <c r="AK1421">
        <v>2</v>
      </c>
    </row>
    <row r="1422" spans="1:37" x14ac:dyDescent="0.25">
      <c r="A1422" s="8">
        <v>1421</v>
      </c>
      <c r="B1422" t="s">
        <v>44</v>
      </c>
      <c r="C1422" t="s">
        <v>45</v>
      </c>
      <c r="D1422" s="8">
        <v>41</v>
      </c>
      <c r="E1422" t="str">
        <f t="shared" si="114"/>
        <v>36-45</v>
      </c>
      <c r="F1422" t="s">
        <v>46</v>
      </c>
      <c r="G1422" t="s">
        <v>39</v>
      </c>
      <c r="H1422" s="8" t="s">
        <v>48</v>
      </c>
      <c r="I1422" s="10">
        <v>1</v>
      </c>
      <c r="J1422" t="str">
        <f t="shared" si="110"/>
        <v>Near</v>
      </c>
      <c r="K1422">
        <v>3</v>
      </c>
      <c r="L1422" t="s">
        <v>41</v>
      </c>
      <c r="M1422">
        <v>4</v>
      </c>
      <c r="N1422">
        <v>3</v>
      </c>
      <c r="O1422">
        <v>1</v>
      </c>
      <c r="P1422" t="s">
        <v>49</v>
      </c>
      <c r="Q1422">
        <v>4</v>
      </c>
      <c r="R1422" s="11">
        <v>642</v>
      </c>
      <c r="S1422" s="14">
        <v>76</v>
      </c>
      <c r="T1422" s="13">
        <v>2782</v>
      </c>
      <c r="U1422" s="13">
        <f t="shared" si="111"/>
        <v>33384</v>
      </c>
      <c r="V1422" s="14">
        <v>21412</v>
      </c>
      <c r="W1422">
        <v>3</v>
      </c>
      <c r="X1422" s="8" t="s">
        <v>46</v>
      </c>
      <c r="Y1422" s="15">
        <v>0.22</v>
      </c>
      <c r="Z1422">
        <v>4</v>
      </c>
      <c r="AA1422">
        <v>1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 t="str">
        <f t="shared" si="112"/>
        <v>0-3</v>
      </c>
      <c r="AI1422">
        <v>1</v>
      </c>
      <c r="AJ1422" t="str">
        <f t="shared" si="113"/>
        <v>0-2</v>
      </c>
      <c r="AK1422">
        <v>0</v>
      </c>
    </row>
    <row r="1423" spans="1:37" x14ac:dyDescent="0.25">
      <c r="A1423" s="8">
        <v>1422</v>
      </c>
      <c r="B1423" t="s">
        <v>52</v>
      </c>
      <c r="C1423" t="s">
        <v>45</v>
      </c>
      <c r="D1423" s="8">
        <v>47</v>
      </c>
      <c r="E1423" t="str">
        <f t="shared" si="114"/>
        <v>46-55</v>
      </c>
      <c r="F1423" t="s">
        <v>46</v>
      </c>
      <c r="G1423" t="s">
        <v>58</v>
      </c>
      <c r="H1423" s="8" t="s">
        <v>48</v>
      </c>
      <c r="I1423" s="10">
        <v>1</v>
      </c>
      <c r="J1423" t="str">
        <f t="shared" si="110"/>
        <v>Near</v>
      </c>
      <c r="K1423">
        <v>1</v>
      </c>
      <c r="L1423" t="s">
        <v>53</v>
      </c>
      <c r="M1423">
        <v>3</v>
      </c>
      <c r="N1423">
        <v>3</v>
      </c>
      <c r="O1423">
        <v>3</v>
      </c>
      <c r="P1423" t="s">
        <v>61</v>
      </c>
      <c r="Q1423">
        <v>2</v>
      </c>
      <c r="R1423" s="11">
        <v>1162</v>
      </c>
      <c r="S1423" s="14">
        <v>98</v>
      </c>
      <c r="T1423" s="13">
        <v>11957</v>
      </c>
      <c r="U1423" s="13">
        <f t="shared" si="111"/>
        <v>143484</v>
      </c>
      <c r="V1423" s="14">
        <v>17231</v>
      </c>
      <c r="W1423">
        <v>0</v>
      </c>
      <c r="X1423" s="8" t="s">
        <v>46</v>
      </c>
      <c r="Y1423" s="15">
        <v>0.18</v>
      </c>
      <c r="Z1423">
        <v>3</v>
      </c>
      <c r="AA1423">
        <v>1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 t="str">
        <f t="shared" si="112"/>
        <v>8-11</v>
      </c>
      <c r="AI1423">
        <v>5</v>
      </c>
      <c r="AJ1423" t="str">
        <f t="shared" si="113"/>
        <v>3-5</v>
      </c>
      <c r="AK1423">
        <v>12</v>
      </c>
    </row>
    <row r="1424" spans="1:37" x14ac:dyDescent="0.25">
      <c r="A1424" s="8">
        <v>1423</v>
      </c>
      <c r="B1424" t="s">
        <v>44</v>
      </c>
      <c r="C1424" t="s">
        <v>45</v>
      </c>
      <c r="D1424" s="8">
        <v>35</v>
      </c>
      <c r="E1424" t="str">
        <f t="shared" si="114"/>
        <v>26-35</v>
      </c>
      <c r="F1424" t="s">
        <v>46</v>
      </c>
      <c r="G1424" t="s">
        <v>39</v>
      </c>
      <c r="H1424" s="8" t="s">
        <v>48</v>
      </c>
      <c r="I1424" s="10">
        <v>11</v>
      </c>
      <c r="J1424" t="str">
        <f t="shared" si="110"/>
        <v>Moderate</v>
      </c>
      <c r="K1424">
        <v>4</v>
      </c>
      <c r="L1424" t="s">
        <v>53</v>
      </c>
      <c r="M1424">
        <v>4</v>
      </c>
      <c r="N1424">
        <v>3</v>
      </c>
      <c r="O1424">
        <v>1</v>
      </c>
      <c r="P1424" t="s">
        <v>51</v>
      </c>
      <c r="Q1424">
        <v>3</v>
      </c>
      <c r="R1424" s="11">
        <v>1490</v>
      </c>
      <c r="S1424" s="14">
        <v>43</v>
      </c>
      <c r="T1424" s="13">
        <v>2660</v>
      </c>
      <c r="U1424" s="13">
        <f t="shared" si="111"/>
        <v>31920</v>
      </c>
      <c r="V1424" s="14">
        <v>20232</v>
      </c>
      <c r="W1424">
        <v>7</v>
      </c>
      <c r="X1424" s="8" t="s">
        <v>38</v>
      </c>
      <c r="Y1424" s="15">
        <v>0.11</v>
      </c>
      <c r="Z1424">
        <v>3</v>
      </c>
      <c r="AA1424">
        <v>3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 t="str">
        <f t="shared" si="112"/>
        <v>0-3</v>
      </c>
      <c r="AI1424">
        <v>2</v>
      </c>
      <c r="AJ1424" t="str">
        <f t="shared" si="113"/>
        <v>0-2</v>
      </c>
      <c r="AK1424">
        <v>2</v>
      </c>
    </row>
    <row r="1425" spans="1:37" x14ac:dyDescent="0.25">
      <c r="A1425" s="8">
        <v>1424</v>
      </c>
      <c r="B1425" t="s">
        <v>44</v>
      </c>
      <c r="C1425" t="s">
        <v>37</v>
      </c>
      <c r="D1425" s="8">
        <v>22</v>
      </c>
      <c r="E1425" t="str">
        <f t="shared" si="114"/>
        <v>18-25</v>
      </c>
      <c r="F1425" t="s">
        <v>46</v>
      </c>
      <c r="G1425" t="s">
        <v>39</v>
      </c>
      <c r="H1425" s="8" t="s">
        <v>48</v>
      </c>
      <c r="I1425" s="10">
        <v>1</v>
      </c>
      <c r="J1425" t="str">
        <f t="shared" si="110"/>
        <v>Near</v>
      </c>
      <c r="K1425">
        <v>2</v>
      </c>
      <c r="L1425" t="s">
        <v>41</v>
      </c>
      <c r="M1425">
        <v>4</v>
      </c>
      <c r="N1425">
        <v>3</v>
      </c>
      <c r="O1425">
        <v>1</v>
      </c>
      <c r="P1425" t="s">
        <v>49</v>
      </c>
      <c r="Q1425">
        <v>3</v>
      </c>
      <c r="R1425" s="11">
        <v>581</v>
      </c>
      <c r="S1425" s="14">
        <v>63</v>
      </c>
      <c r="T1425" s="13">
        <v>3375</v>
      </c>
      <c r="U1425" s="13">
        <f t="shared" si="111"/>
        <v>40500</v>
      </c>
      <c r="V1425" s="14">
        <v>17624</v>
      </c>
      <c r="W1425">
        <v>0</v>
      </c>
      <c r="X1425" s="8" t="s">
        <v>46</v>
      </c>
      <c r="Y1425" s="15">
        <v>0.12</v>
      </c>
      <c r="Z1425">
        <v>3</v>
      </c>
      <c r="AA1425">
        <v>4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 t="str">
        <f t="shared" si="112"/>
        <v>0-3</v>
      </c>
      <c r="AI1425">
        <v>1</v>
      </c>
      <c r="AJ1425" t="str">
        <f t="shared" si="113"/>
        <v>0-2</v>
      </c>
      <c r="AK1425">
        <v>2</v>
      </c>
    </row>
    <row r="1426" spans="1:37" x14ac:dyDescent="0.25">
      <c r="A1426" s="8">
        <v>1425</v>
      </c>
      <c r="B1426" t="s">
        <v>44</v>
      </c>
      <c r="C1426" t="s">
        <v>37</v>
      </c>
      <c r="D1426" s="8">
        <v>35</v>
      </c>
      <c r="E1426" t="str">
        <f t="shared" si="114"/>
        <v>26-35</v>
      </c>
      <c r="F1426" t="s">
        <v>46</v>
      </c>
      <c r="G1426" t="s">
        <v>39</v>
      </c>
      <c r="H1426" s="8" t="s">
        <v>48</v>
      </c>
      <c r="I1426" s="10">
        <v>9</v>
      </c>
      <c r="J1426" t="str">
        <f t="shared" si="110"/>
        <v>Moderate</v>
      </c>
      <c r="K1426">
        <v>4</v>
      </c>
      <c r="L1426" t="s">
        <v>53</v>
      </c>
      <c r="M1426">
        <v>2</v>
      </c>
      <c r="N1426">
        <v>3</v>
      </c>
      <c r="O1426">
        <v>2</v>
      </c>
      <c r="P1426" t="s">
        <v>49</v>
      </c>
      <c r="Q1426">
        <v>3</v>
      </c>
      <c r="R1426" s="11">
        <v>1395</v>
      </c>
      <c r="S1426" s="14">
        <v>48</v>
      </c>
      <c r="T1426" s="13">
        <v>5098</v>
      </c>
      <c r="U1426" s="13">
        <f t="shared" si="111"/>
        <v>61176</v>
      </c>
      <c r="V1426" s="14">
        <v>18698</v>
      </c>
      <c r="W1426">
        <v>1</v>
      </c>
      <c r="X1426" s="8" t="s">
        <v>46</v>
      </c>
      <c r="Y1426" s="15">
        <v>0.19</v>
      </c>
      <c r="Z1426">
        <v>3</v>
      </c>
      <c r="AA1426">
        <v>2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 t="str">
        <f t="shared" si="112"/>
        <v>4-7</v>
      </c>
      <c r="AI1426">
        <v>0</v>
      </c>
      <c r="AJ1426" t="str">
        <f t="shared" si="113"/>
        <v>0-2</v>
      </c>
      <c r="AK1426">
        <v>8</v>
      </c>
    </row>
    <row r="1427" spans="1:37" x14ac:dyDescent="0.25">
      <c r="A1427" s="8">
        <v>1426</v>
      </c>
      <c r="B1427" t="s">
        <v>52</v>
      </c>
      <c r="C1427" t="s">
        <v>45</v>
      </c>
      <c r="D1427" s="8">
        <v>33</v>
      </c>
      <c r="E1427" t="str">
        <f t="shared" si="114"/>
        <v>26-35</v>
      </c>
      <c r="F1427" t="s">
        <v>46</v>
      </c>
      <c r="G1427" t="s">
        <v>39</v>
      </c>
      <c r="H1427" s="8" t="s">
        <v>48</v>
      </c>
      <c r="I1427" s="10">
        <v>15</v>
      </c>
      <c r="J1427" t="str">
        <f t="shared" si="110"/>
        <v>Moderate</v>
      </c>
      <c r="K1427">
        <v>2</v>
      </c>
      <c r="L1427" t="s">
        <v>53</v>
      </c>
      <c r="M1427">
        <v>2</v>
      </c>
      <c r="N1427">
        <v>3</v>
      </c>
      <c r="O1427">
        <v>2</v>
      </c>
      <c r="P1427" t="s">
        <v>56</v>
      </c>
      <c r="Q1427">
        <v>4</v>
      </c>
      <c r="R1427" s="11">
        <v>501</v>
      </c>
      <c r="S1427" s="14">
        <v>95</v>
      </c>
      <c r="T1427" s="13">
        <v>4878</v>
      </c>
      <c r="U1427" s="13">
        <f t="shared" si="111"/>
        <v>58536</v>
      </c>
      <c r="V1427" s="14">
        <v>21653</v>
      </c>
      <c r="W1427">
        <v>0</v>
      </c>
      <c r="X1427" s="8" t="s">
        <v>38</v>
      </c>
      <c r="Y1427" s="15">
        <v>0.13</v>
      </c>
      <c r="Z1427">
        <v>3</v>
      </c>
      <c r="AA1427">
        <v>1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 t="str">
        <f t="shared" si="112"/>
        <v>4-7</v>
      </c>
      <c r="AI1427">
        <v>8</v>
      </c>
      <c r="AJ1427" t="str">
        <f t="shared" si="113"/>
        <v>6-8</v>
      </c>
      <c r="AK1427">
        <v>1</v>
      </c>
    </row>
    <row r="1428" spans="1:37" x14ac:dyDescent="0.25">
      <c r="A1428" s="8">
        <v>1427</v>
      </c>
      <c r="B1428" t="s">
        <v>52</v>
      </c>
      <c r="C1428" t="s">
        <v>37</v>
      </c>
      <c r="D1428" s="8">
        <v>32</v>
      </c>
      <c r="E1428" t="str">
        <f t="shared" si="114"/>
        <v>26-35</v>
      </c>
      <c r="F1428" t="s">
        <v>46</v>
      </c>
      <c r="G1428" t="s">
        <v>39</v>
      </c>
      <c r="H1428" s="8" t="s">
        <v>48</v>
      </c>
      <c r="I1428" s="10">
        <v>29</v>
      </c>
      <c r="J1428" t="str">
        <f t="shared" si="110"/>
        <v>Far</v>
      </c>
      <c r="K1428">
        <v>4</v>
      </c>
      <c r="L1428" t="s">
        <v>41</v>
      </c>
      <c r="M1428">
        <v>3</v>
      </c>
      <c r="N1428">
        <v>2</v>
      </c>
      <c r="O1428">
        <v>1</v>
      </c>
      <c r="P1428" t="s">
        <v>51</v>
      </c>
      <c r="Q1428">
        <v>2</v>
      </c>
      <c r="R1428" s="11">
        <v>267</v>
      </c>
      <c r="S1428" s="14">
        <v>49</v>
      </c>
      <c r="T1428" s="13">
        <v>2837</v>
      </c>
      <c r="U1428" s="13">
        <f t="shared" si="111"/>
        <v>34044</v>
      </c>
      <c r="V1428" s="14">
        <v>15919</v>
      </c>
      <c r="W1428">
        <v>1</v>
      </c>
      <c r="X1428" s="8" t="s">
        <v>46</v>
      </c>
      <c r="Y1428" s="15">
        <v>0.13</v>
      </c>
      <c r="Z1428">
        <v>3</v>
      </c>
      <c r="AA1428">
        <v>3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 t="str">
        <f t="shared" si="112"/>
        <v>0-3</v>
      </c>
      <c r="AI1428">
        <v>4</v>
      </c>
      <c r="AJ1428" t="str">
        <f t="shared" si="113"/>
        <v>3-5</v>
      </c>
      <c r="AK1428">
        <v>1</v>
      </c>
    </row>
    <row r="1429" spans="1:37" x14ac:dyDescent="0.25">
      <c r="A1429" s="8">
        <v>1428</v>
      </c>
      <c r="B1429" t="s">
        <v>44</v>
      </c>
      <c r="C1429" t="s">
        <v>45</v>
      </c>
      <c r="D1429" s="8">
        <v>40</v>
      </c>
      <c r="E1429" t="str">
        <f t="shared" si="114"/>
        <v>36-45</v>
      </c>
      <c r="F1429" t="s">
        <v>46</v>
      </c>
      <c r="G1429" t="s">
        <v>39</v>
      </c>
      <c r="H1429" s="8" t="s">
        <v>48</v>
      </c>
      <c r="I1429" s="10">
        <v>1</v>
      </c>
      <c r="J1429" t="str">
        <f t="shared" si="110"/>
        <v>Near</v>
      </c>
      <c r="K1429">
        <v>4</v>
      </c>
      <c r="L1429" t="s">
        <v>41</v>
      </c>
      <c r="M1429">
        <v>1</v>
      </c>
      <c r="N1429">
        <v>3</v>
      </c>
      <c r="O1429">
        <v>1</v>
      </c>
      <c r="P1429" t="s">
        <v>51</v>
      </c>
      <c r="Q1429">
        <v>4</v>
      </c>
      <c r="R1429" s="11">
        <v>543</v>
      </c>
      <c r="S1429" s="14">
        <v>83</v>
      </c>
      <c r="T1429" s="13">
        <v>2406</v>
      </c>
      <c r="U1429" s="13">
        <f t="shared" si="111"/>
        <v>28872</v>
      </c>
      <c r="V1429" s="14">
        <v>4060</v>
      </c>
      <c r="W1429">
        <v>8</v>
      </c>
      <c r="X1429" s="8" t="s">
        <v>46</v>
      </c>
      <c r="Y1429" s="15">
        <v>0.19</v>
      </c>
      <c r="Z1429">
        <v>3</v>
      </c>
      <c r="AA1429">
        <v>3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 t="str">
        <f t="shared" si="112"/>
        <v>0-3</v>
      </c>
      <c r="AI1429">
        <v>0</v>
      </c>
      <c r="AJ1429" t="str">
        <f t="shared" si="113"/>
        <v>0-2</v>
      </c>
      <c r="AK1429">
        <v>0</v>
      </c>
    </row>
    <row r="1430" spans="1:37" x14ac:dyDescent="0.25">
      <c r="A1430" s="8">
        <v>1429</v>
      </c>
      <c r="B1430" t="s">
        <v>44</v>
      </c>
      <c r="C1430" t="s">
        <v>45</v>
      </c>
      <c r="D1430" s="8">
        <v>32</v>
      </c>
      <c r="E1430" t="str">
        <f t="shared" si="114"/>
        <v>26-35</v>
      </c>
      <c r="F1430" t="s">
        <v>46</v>
      </c>
      <c r="G1430" t="s">
        <v>39</v>
      </c>
      <c r="H1430" s="8" t="s">
        <v>40</v>
      </c>
      <c r="I1430" s="10">
        <v>1</v>
      </c>
      <c r="J1430" t="str">
        <f t="shared" si="110"/>
        <v>Near</v>
      </c>
      <c r="K1430">
        <v>4</v>
      </c>
      <c r="L1430" t="s">
        <v>53</v>
      </c>
      <c r="M1430">
        <v>2</v>
      </c>
      <c r="N1430">
        <v>2</v>
      </c>
      <c r="O1430">
        <v>1</v>
      </c>
      <c r="P1430" t="s">
        <v>60</v>
      </c>
      <c r="Q1430">
        <v>2</v>
      </c>
      <c r="R1430" s="11">
        <v>234</v>
      </c>
      <c r="S1430" s="14">
        <v>68</v>
      </c>
      <c r="T1430" s="13">
        <v>2269</v>
      </c>
      <c r="U1430" s="13">
        <f t="shared" si="111"/>
        <v>27228</v>
      </c>
      <c r="V1430" s="14">
        <v>18024</v>
      </c>
      <c r="W1430">
        <v>0</v>
      </c>
      <c r="X1430" s="8" t="s">
        <v>46</v>
      </c>
      <c r="Y1430" s="15">
        <v>0.14000000000000001</v>
      </c>
      <c r="Z1430">
        <v>3</v>
      </c>
      <c r="AA1430">
        <v>2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 t="str">
        <f t="shared" si="112"/>
        <v>0-3</v>
      </c>
      <c r="AI1430">
        <v>2</v>
      </c>
      <c r="AJ1430" t="str">
        <f t="shared" si="113"/>
        <v>0-2</v>
      </c>
      <c r="AK1430">
        <v>2</v>
      </c>
    </row>
    <row r="1431" spans="1:37" x14ac:dyDescent="0.25">
      <c r="A1431" s="8">
        <v>1430</v>
      </c>
      <c r="B1431" t="s">
        <v>44</v>
      </c>
      <c r="C1431" t="s">
        <v>37</v>
      </c>
      <c r="D1431" s="8">
        <v>39</v>
      </c>
      <c r="E1431" t="str">
        <f t="shared" si="114"/>
        <v>36-45</v>
      </c>
      <c r="F1431" t="s">
        <v>46</v>
      </c>
      <c r="G1431" t="s">
        <v>39</v>
      </c>
      <c r="H1431" s="8" t="s">
        <v>48</v>
      </c>
      <c r="I1431" s="10">
        <v>24</v>
      </c>
      <c r="J1431" t="str">
        <f t="shared" si="110"/>
        <v>Far</v>
      </c>
      <c r="K1431">
        <v>1</v>
      </c>
      <c r="L1431" t="s">
        <v>41</v>
      </c>
      <c r="M1431">
        <v>1</v>
      </c>
      <c r="N1431">
        <v>3</v>
      </c>
      <c r="O1431">
        <v>2</v>
      </c>
      <c r="P1431" t="s">
        <v>49</v>
      </c>
      <c r="Q1431">
        <v>4</v>
      </c>
      <c r="R1431" s="11">
        <v>116</v>
      </c>
      <c r="S1431" s="14">
        <v>52</v>
      </c>
      <c r="T1431" s="13">
        <v>4108</v>
      </c>
      <c r="U1431" s="13">
        <f t="shared" si="111"/>
        <v>49296</v>
      </c>
      <c r="V1431" s="14">
        <v>5340</v>
      </c>
      <c r="W1431">
        <v>7</v>
      </c>
      <c r="X1431" s="8" t="s">
        <v>46</v>
      </c>
      <c r="Y1431" s="15">
        <v>0.13</v>
      </c>
      <c r="Z1431">
        <v>3</v>
      </c>
      <c r="AA1431">
        <v>1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 t="str">
        <f t="shared" si="112"/>
        <v>4-7</v>
      </c>
      <c r="AI1431">
        <v>1</v>
      </c>
      <c r="AJ1431" t="str">
        <f t="shared" si="113"/>
        <v>0-2</v>
      </c>
      <c r="AK1431">
        <v>7</v>
      </c>
    </row>
    <row r="1432" spans="1:37" x14ac:dyDescent="0.25">
      <c r="A1432" s="8">
        <v>1431</v>
      </c>
      <c r="B1432" t="s">
        <v>52</v>
      </c>
      <c r="C1432" t="s">
        <v>45</v>
      </c>
      <c r="D1432" s="8">
        <v>38</v>
      </c>
      <c r="E1432" t="str">
        <f t="shared" si="114"/>
        <v>36-45</v>
      </c>
      <c r="F1432" t="s">
        <v>46</v>
      </c>
      <c r="G1432" t="s">
        <v>39</v>
      </c>
      <c r="H1432" s="8" t="s">
        <v>48</v>
      </c>
      <c r="I1432" s="10">
        <v>10</v>
      </c>
      <c r="J1432" t="str">
        <f t="shared" si="110"/>
        <v>Moderate</v>
      </c>
      <c r="K1432">
        <v>3</v>
      </c>
      <c r="L1432" t="s">
        <v>53</v>
      </c>
      <c r="M1432">
        <v>2</v>
      </c>
      <c r="N1432">
        <v>1</v>
      </c>
      <c r="O1432">
        <v>3</v>
      </c>
      <c r="P1432" t="s">
        <v>61</v>
      </c>
      <c r="Q1432">
        <v>3</v>
      </c>
      <c r="R1432" s="11">
        <v>201</v>
      </c>
      <c r="S1432" s="14">
        <v>99</v>
      </c>
      <c r="T1432" s="13">
        <v>13206</v>
      </c>
      <c r="U1432" s="13">
        <f t="shared" si="111"/>
        <v>158472</v>
      </c>
      <c r="V1432" s="14">
        <v>3376</v>
      </c>
      <c r="W1432">
        <v>3</v>
      </c>
      <c r="X1432" s="8" t="s">
        <v>46</v>
      </c>
      <c r="Y1432" s="15">
        <v>0.12</v>
      </c>
      <c r="Z1432">
        <v>3</v>
      </c>
      <c r="AA1432">
        <v>1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 t="str">
        <f t="shared" si="112"/>
        <v>16-19</v>
      </c>
      <c r="AI1432">
        <v>1</v>
      </c>
      <c r="AJ1432" t="str">
        <f t="shared" si="113"/>
        <v>0-2</v>
      </c>
      <c r="AK1432">
        <v>11</v>
      </c>
    </row>
    <row r="1433" spans="1:37" x14ac:dyDescent="0.25">
      <c r="A1433" s="8">
        <v>1432</v>
      </c>
      <c r="B1433" t="s">
        <v>52</v>
      </c>
      <c r="C1433" t="s">
        <v>45</v>
      </c>
      <c r="D1433" s="8">
        <v>32</v>
      </c>
      <c r="E1433" t="str">
        <f t="shared" si="114"/>
        <v>26-35</v>
      </c>
      <c r="F1433" t="s">
        <v>46</v>
      </c>
      <c r="G1433" t="s">
        <v>39</v>
      </c>
      <c r="H1433" s="8" t="s">
        <v>40</v>
      </c>
      <c r="I1433" s="10">
        <v>1</v>
      </c>
      <c r="J1433" t="str">
        <f t="shared" si="110"/>
        <v>Near</v>
      </c>
      <c r="K1433">
        <v>4</v>
      </c>
      <c r="L1433" t="s">
        <v>62</v>
      </c>
      <c r="M1433">
        <v>3</v>
      </c>
      <c r="N1433">
        <v>3</v>
      </c>
      <c r="O1433">
        <v>3</v>
      </c>
      <c r="P1433" t="s">
        <v>42</v>
      </c>
      <c r="Q1433">
        <v>4</v>
      </c>
      <c r="R1433" s="11">
        <v>801</v>
      </c>
      <c r="S1433" s="14">
        <v>48</v>
      </c>
      <c r="T1433" s="13">
        <v>10422</v>
      </c>
      <c r="U1433" s="13">
        <f t="shared" si="111"/>
        <v>125064</v>
      </c>
      <c r="V1433" s="14">
        <v>24032</v>
      </c>
      <c r="W1433">
        <v>1</v>
      </c>
      <c r="X1433" s="8" t="s">
        <v>46</v>
      </c>
      <c r="Y1433" s="15">
        <v>0.19</v>
      </c>
      <c r="Z1433">
        <v>3</v>
      </c>
      <c r="AA1433">
        <v>3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 t="str">
        <f t="shared" si="112"/>
        <v>8-11</v>
      </c>
      <c r="AI1433">
        <v>5</v>
      </c>
      <c r="AJ1433" t="str">
        <f t="shared" si="113"/>
        <v>3-5</v>
      </c>
      <c r="AK1433">
        <v>7</v>
      </c>
    </row>
    <row r="1434" spans="1:37" x14ac:dyDescent="0.25">
      <c r="A1434" s="8">
        <v>1433</v>
      </c>
      <c r="B1434" t="s">
        <v>52</v>
      </c>
      <c r="C1434" t="s">
        <v>45</v>
      </c>
      <c r="D1434" s="8">
        <v>37</v>
      </c>
      <c r="E1434" t="str">
        <f t="shared" si="114"/>
        <v>36-45</v>
      </c>
      <c r="F1434" t="s">
        <v>46</v>
      </c>
      <c r="G1434" t="s">
        <v>39</v>
      </c>
      <c r="H1434" s="8" t="s">
        <v>48</v>
      </c>
      <c r="I1434" s="10">
        <v>10</v>
      </c>
      <c r="J1434" t="str">
        <f t="shared" si="110"/>
        <v>Moderate</v>
      </c>
      <c r="K1434">
        <v>3</v>
      </c>
      <c r="L1434" t="s">
        <v>41</v>
      </c>
      <c r="M1434">
        <v>3</v>
      </c>
      <c r="N1434">
        <v>4</v>
      </c>
      <c r="O1434">
        <v>3</v>
      </c>
      <c r="P1434" t="s">
        <v>61</v>
      </c>
      <c r="Q1434">
        <v>4</v>
      </c>
      <c r="R1434" s="11">
        <v>161</v>
      </c>
      <c r="S1434" s="14">
        <v>42</v>
      </c>
      <c r="T1434" s="13">
        <v>13744</v>
      </c>
      <c r="U1434" s="13">
        <f t="shared" si="111"/>
        <v>164928</v>
      </c>
      <c r="V1434" s="14">
        <v>15471</v>
      </c>
      <c r="W1434">
        <v>1</v>
      </c>
      <c r="X1434" s="8" t="s">
        <v>38</v>
      </c>
      <c r="Y1434" s="15">
        <v>0.25</v>
      </c>
      <c r="Z1434">
        <v>4</v>
      </c>
      <c r="AA1434">
        <v>1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 t="str">
        <f t="shared" si="112"/>
        <v>8-11</v>
      </c>
      <c r="AI1434">
        <v>6</v>
      </c>
      <c r="AJ1434" t="str">
        <f t="shared" si="113"/>
        <v>6-8</v>
      </c>
      <c r="AK1434">
        <v>8</v>
      </c>
    </row>
    <row r="1435" spans="1:37" x14ac:dyDescent="0.25">
      <c r="A1435" s="8">
        <v>1434</v>
      </c>
      <c r="B1435" t="s">
        <v>52</v>
      </c>
      <c r="C1435" t="s">
        <v>54</v>
      </c>
      <c r="D1435" s="8">
        <v>25</v>
      </c>
      <c r="E1435" t="str">
        <f t="shared" si="114"/>
        <v>26-35</v>
      </c>
      <c r="F1435" t="s">
        <v>46</v>
      </c>
      <c r="G1435" t="s">
        <v>39</v>
      </c>
      <c r="H1435" s="8" t="s">
        <v>40</v>
      </c>
      <c r="I1435" s="10">
        <v>8</v>
      </c>
      <c r="J1435" t="str">
        <f t="shared" si="110"/>
        <v>Moderate</v>
      </c>
      <c r="K1435">
        <v>2</v>
      </c>
      <c r="L1435" t="s">
        <v>50</v>
      </c>
      <c r="M1435">
        <v>1</v>
      </c>
      <c r="N1435">
        <v>3</v>
      </c>
      <c r="O1435">
        <v>2</v>
      </c>
      <c r="P1435" t="s">
        <v>42</v>
      </c>
      <c r="Q1435">
        <v>3</v>
      </c>
      <c r="R1435" s="11">
        <v>1382</v>
      </c>
      <c r="S1435" s="14">
        <v>85</v>
      </c>
      <c r="T1435" s="13">
        <v>4907</v>
      </c>
      <c r="U1435" s="13">
        <f t="shared" si="111"/>
        <v>58884</v>
      </c>
      <c r="V1435" s="14">
        <v>13684</v>
      </c>
      <c r="W1435">
        <v>0</v>
      </c>
      <c r="X1435" s="8" t="s">
        <v>38</v>
      </c>
      <c r="Y1435" s="15">
        <v>0.22</v>
      </c>
      <c r="Z1435">
        <v>4</v>
      </c>
      <c r="AA1435">
        <v>2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 t="str">
        <f t="shared" si="112"/>
        <v>0-3</v>
      </c>
      <c r="AI1435">
        <v>0</v>
      </c>
      <c r="AJ1435" t="str">
        <f t="shared" si="113"/>
        <v>0-2</v>
      </c>
      <c r="AK1435">
        <v>4</v>
      </c>
    </row>
    <row r="1436" spans="1:37" x14ac:dyDescent="0.25">
      <c r="A1436" s="8">
        <v>1435</v>
      </c>
      <c r="B1436" t="s">
        <v>44</v>
      </c>
      <c r="C1436" t="s">
        <v>54</v>
      </c>
      <c r="D1436" s="8">
        <v>52</v>
      </c>
      <c r="E1436" t="str">
        <f t="shared" si="114"/>
        <v>46-55</v>
      </c>
      <c r="F1436" t="s">
        <v>46</v>
      </c>
      <c r="G1436" t="s">
        <v>58</v>
      </c>
      <c r="H1436" s="8" t="s">
        <v>40</v>
      </c>
      <c r="I1436" s="10">
        <v>29</v>
      </c>
      <c r="J1436" t="str">
        <f t="shared" si="110"/>
        <v>Far</v>
      </c>
      <c r="K1436">
        <v>4</v>
      </c>
      <c r="L1436" t="s">
        <v>41</v>
      </c>
      <c r="M1436">
        <v>1</v>
      </c>
      <c r="N1436">
        <v>3</v>
      </c>
      <c r="O1436">
        <v>1</v>
      </c>
      <c r="P1436" t="s">
        <v>60</v>
      </c>
      <c r="Q1436">
        <v>4</v>
      </c>
      <c r="R1436" s="11">
        <v>585</v>
      </c>
      <c r="S1436" s="14">
        <v>40</v>
      </c>
      <c r="T1436" s="13">
        <v>3482</v>
      </c>
      <c r="U1436" s="13">
        <f t="shared" si="111"/>
        <v>41784</v>
      </c>
      <c r="V1436" s="14">
        <v>19788</v>
      </c>
      <c r="W1436">
        <v>2</v>
      </c>
      <c r="X1436" s="8" t="s">
        <v>46</v>
      </c>
      <c r="Y1436" s="15">
        <v>0.15</v>
      </c>
      <c r="Z1436">
        <v>3</v>
      </c>
      <c r="AA1436">
        <v>2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 t="str">
        <f t="shared" si="112"/>
        <v>8-11</v>
      </c>
      <c r="AI1436">
        <v>0</v>
      </c>
      <c r="AJ1436" t="str">
        <f t="shared" si="113"/>
        <v>0-2</v>
      </c>
      <c r="AK1436">
        <v>0</v>
      </c>
    </row>
    <row r="1437" spans="1:37" x14ac:dyDescent="0.25">
      <c r="A1437" s="8">
        <v>1436</v>
      </c>
      <c r="B1437" t="s">
        <v>44</v>
      </c>
      <c r="C1437" t="s">
        <v>37</v>
      </c>
      <c r="D1437" s="8">
        <v>44</v>
      </c>
      <c r="E1437" t="str">
        <f t="shared" si="114"/>
        <v>36-45</v>
      </c>
      <c r="F1437" t="s">
        <v>46</v>
      </c>
      <c r="G1437" t="s">
        <v>39</v>
      </c>
      <c r="H1437" s="8" t="s">
        <v>48</v>
      </c>
      <c r="I1437" s="10">
        <v>1</v>
      </c>
      <c r="J1437" t="str">
        <f t="shared" si="110"/>
        <v>Near</v>
      </c>
      <c r="K1437">
        <v>3</v>
      </c>
      <c r="L1437" t="s">
        <v>53</v>
      </c>
      <c r="M1437">
        <v>2</v>
      </c>
      <c r="N1437">
        <v>3</v>
      </c>
      <c r="O1437">
        <v>1</v>
      </c>
      <c r="P1437" t="s">
        <v>49</v>
      </c>
      <c r="Q1437">
        <v>4</v>
      </c>
      <c r="R1437" s="11">
        <v>1037</v>
      </c>
      <c r="S1437" s="14">
        <v>42</v>
      </c>
      <c r="T1437" s="13">
        <v>2436</v>
      </c>
      <c r="U1437" s="13">
        <f t="shared" si="111"/>
        <v>29232</v>
      </c>
      <c r="V1437" s="14">
        <v>13422</v>
      </c>
      <c r="W1437">
        <v>6</v>
      </c>
      <c r="X1437" s="8" t="s">
        <v>38</v>
      </c>
      <c r="Y1437" s="15">
        <v>0.12</v>
      </c>
      <c r="Z1437">
        <v>3</v>
      </c>
      <c r="AA1437">
        <v>3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 t="str">
        <f t="shared" si="112"/>
        <v>0-3</v>
      </c>
      <c r="AI1437">
        <v>1</v>
      </c>
      <c r="AJ1437" t="str">
        <f t="shared" si="113"/>
        <v>0-2</v>
      </c>
      <c r="AK1437">
        <v>2</v>
      </c>
    </row>
    <row r="1438" spans="1:37" x14ac:dyDescent="0.25">
      <c r="A1438" s="8">
        <v>1437</v>
      </c>
      <c r="B1438" t="s">
        <v>44</v>
      </c>
      <c r="C1438" t="s">
        <v>37</v>
      </c>
      <c r="D1438" s="8">
        <v>21</v>
      </c>
      <c r="E1438" t="str">
        <f t="shared" si="114"/>
        <v>18-25</v>
      </c>
      <c r="F1438" t="s">
        <v>46</v>
      </c>
      <c r="G1438" t="s">
        <v>39</v>
      </c>
      <c r="H1438" s="8" t="s">
        <v>40</v>
      </c>
      <c r="I1438" s="10">
        <v>5</v>
      </c>
      <c r="J1438" t="str">
        <f t="shared" si="110"/>
        <v>Near</v>
      </c>
      <c r="K1438">
        <v>1</v>
      </c>
      <c r="L1438" t="s">
        <v>53</v>
      </c>
      <c r="M1438">
        <v>3</v>
      </c>
      <c r="N1438">
        <v>3</v>
      </c>
      <c r="O1438">
        <v>1</v>
      </c>
      <c r="P1438" t="s">
        <v>60</v>
      </c>
      <c r="Q1438">
        <v>1</v>
      </c>
      <c r="R1438" s="11">
        <v>501</v>
      </c>
      <c r="S1438" s="14">
        <v>58</v>
      </c>
      <c r="T1438" s="13">
        <v>2380</v>
      </c>
      <c r="U1438" s="13">
        <f t="shared" si="111"/>
        <v>28560</v>
      </c>
      <c r="V1438" s="14">
        <v>25479</v>
      </c>
      <c r="W1438">
        <v>1</v>
      </c>
      <c r="X1438" s="8" t="s">
        <v>38</v>
      </c>
      <c r="Y1438" s="15">
        <v>0.11</v>
      </c>
      <c r="Z1438">
        <v>3</v>
      </c>
      <c r="AA1438">
        <v>4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 t="str">
        <f t="shared" si="112"/>
        <v>0-3</v>
      </c>
      <c r="AI1438">
        <v>1</v>
      </c>
      <c r="AJ1438" t="str">
        <f t="shared" si="113"/>
        <v>0-2</v>
      </c>
      <c r="AK1438">
        <v>2</v>
      </c>
    </row>
    <row r="1439" spans="1:37" x14ac:dyDescent="0.25">
      <c r="A1439" s="8">
        <v>1438</v>
      </c>
      <c r="B1439" t="s">
        <v>44</v>
      </c>
      <c r="C1439" t="s">
        <v>37</v>
      </c>
      <c r="D1439" s="8">
        <v>39</v>
      </c>
      <c r="E1439" t="str">
        <f t="shared" si="114"/>
        <v>36-45</v>
      </c>
      <c r="F1439" t="s">
        <v>46</v>
      </c>
      <c r="G1439" t="s">
        <v>58</v>
      </c>
      <c r="H1439" s="8" t="s">
        <v>48</v>
      </c>
      <c r="I1439" s="10">
        <v>9</v>
      </c>
      <c r="J1439" t="str">
        <f t="shared" si="110"/>
        <v>Moderate</v>
      </c>
      <c r="K1439">
        <v>3</v>
      </c>
      <c r="L1439" t="s">
        <v>41</v>
      </c>
      <c r="M1439">
        <v>4</v>
      </c>
      <c r="N1439">
        <v>3</v>
      </c>
      <c r="O1439">
        <v>5</v>
      </c>
      <c r="P1439" t="s">
        <v>59</v>
      </c>
      <c r="Q1439">
        <v>4</v>
      </c>
      <c r="R1439" s="11">
        <v>105</v>
      </c>
      <c r="S1439" s="14">
        <v>87</v>
      </c>
      <c r="T1439" s="13">
        <v>19431</v>
      </c>
      <c r="U1439" s="13">
        <f t="shared" si="111"/>
        <v>233172</v>
      </c>
      <c r="V1439" s="14">
        <v>15302</v>
      </c>
      <c r="W1439">
        <v>2</v>
      </c>
      <c r="X1439" s="8" t="s">
        <v>46</v>
      </c>
      <c r="Y1439" s="15">
        <v>0.13</v>
      </c>
      <c r="Z1439">
        <v>3</v>
      </c>
      <c r="AA1439">
        <v>3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 t="str">
        <f t="shared" si="112"/>
        <v>0-3</v>
      </c>
      <c r="AI1439">
        <v>1</v>
      </c>
      <c r="AJ1439" t="str">
        <f t="shared" si="113"/>
        <v>0-2</v>
      </c>
      <c r="AK1439">
        <v>3</v>
      </c>
    </row>
    <row r="1440" spans="1:37" x14ac:dyDescent="0.25">
      <c r="A1440" s="8">
        <v>1439</v>
      </c>
      <c r="B1440" t="s">
        <v>44</v>
      </c>
      <c r="C1440" t="s">
        <v>45</v>
      </c>
      <c r="D1440" s="8">
        <v>23</v>
      </c>
      <c r="E1440" t="str">
        <f t="shared" si="114"/>
        <v>18-25</v>
      </c>
      <c r="F1440" t="s">
        <v>38</v>
      </c>
      <c r="G1440" t="s">
        <v>47</v>
      </c>
      <c r="H1440" s="8" t="s">
        <v>40</v>
      </c>
      <c r="I1440" s="10">
        <v>9</v>
      </c>
      <c r="J1440" t="str">
        <f t="shared" si="110"/>
        <v>Moderate</v>
      </c>
      <c r="K1440">
        <v>3</v>
      </c>
      <c r="L1440" t="s">
        <v>62</v>
      </c>
      <c r="M1440">
        <v>4</v>
      </c>
      <c r="N1440">
        <v>3</v>
      </c>
      <c r="O1440">
        <v>1</v>
      </c>
      <c r="P1440" t="s">
        <v>60</v>
      </c>
      <c r="Q1440">
        <v>1</v>
      </c>
      <c r="R1440" s="11">
        <v>638</v>
      </c>
      <c r="S1440" s="14">
        <v>33</v>
      </c>
      <c r="T1440" s="13">
        <v>1790</v>
      </c>
      <c r="U1440" s="13">
        <f t="shared" si="111"/>
        <v>21480</v>
      </c>
      <c r="V1440" s="14">
        <v>26956</v>
      </c>
      <c r="W1440">
        <v>1</v>
      </c>
      <c r="X1440" s="8" t="s">
        <v>46</v>
      </c>
      <c r="Y1440" s="15">
        <v>0.19</v>
      </c>
      <c r="Z1440">
        <v>3</v>
      </c>
      <c r="AA1440">
        <v>1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 t="str">
        <f t="shared" si="112"/>
        <v>0-3</v>
      </c>
      <c r="AI1440">
        <v>1</v>
      </c>
      <c r="AJ1440" t="str">
        <f t="shared" si="113"/>
        <v>0-2</v>
      </c>
      <c r="AK1440">
        <v>0</v>
      </c>
    </row>
    <row r="1441" spans="1:37" x14ac:dyDescent="0.25">
      <c r="A1441" s="8">
        <v>1440</v>
      </c>
      <c r="B1441" t="s">
        <v>52</v>
      </c>
      <c r="C1441" t="s">
        <v>45</v>
      </c>
      <c r="D1441" s="8">
        <v>36</v>
      </c>
      <c r="E1441" t="str">
        <f t="shared" si="114"/>
        <v>36-45</v>
      </c>
      <c r="F1441" t="s">
        <v>46</v>
      </c>
      <c r="G1441" t="s">
        <v>39</v>
      </c>
      <c r="H1441" s="8" t="s">
        <v>40</v>
      </c>
      <c r="I1441" s="10">
        <v>3</v>
      </c>
      <c r="J1441" t="str">
        <f t="shared" si="110"/>
        <v>Near</v>
      </c>
      <c r="K1441">
        <v>3</v>
      </c>
      <c r="L1441" t="s">
        <v>53</v>
      </c>
      <c r="M1441">
        <v>1</v>
      </c>
      <c r="N1441">
        <v>2</v>
      </c>
      <c r="O1441">
        <v>3</v>
      </c>
      <c r="P1441" t="s">
        <v>42</v>
      </c>
      <c r="Q1441">
        <v>4</v>
      </c>
      <c r="R1441" s="11">
        <v>557</v>
      </c>
      <c r="S1441" s="14">
        <v>94</v>
      </c>
      <c r="T1441" s="13">
        <v>7644</v>
      </c>
      <c r="U1441" s="13">
        <f t="shared" si="111"/>
        <v>91728</v>
      </c>
      <c r="V1441" s="14">
        <v>12695</v>
      </c>
      <c r="W1441">
        <v>0</v>
      </c>
      <c r="X1441" s="8" t="s">
        <v>46</v>
      </c>
      <c r="Y1441" s="15">
        <v>0.19</v>
      </c>
      <c r="Z1441">
        <v>3</v>
      </c>
      <c r="AA1441">
        <v>3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 t="str">
        <f t="shared" si="112"/>
        <v>4-7</v>
      </c>
      <c r="AI1441">
        <v>3</v>
      </c>
      <c r="AJ1441" t="str">
        <f t="shared" si="113"/>
        <v>3-5</v>
      </c>
      <c r="AK1441">
        <v>4</v>
      </c>
    </row>
    <row r="1442" spans="1:37" x14ac:dyDescent="0.25">
      <c r="A1442" s="8">
        <v>1441</v>
      </c>
      <c r="B1442" t="s">
        <v>52</v>
      </c>
      <c r="C1442" t="s">
        <v>54</v>
      </c>
      <c r="D1442" s="8">
        <v>36</v>
      </c>
      <c r="E1442" t="str">
        <f t="shared" si="114"/>
        <v>36-45</v>
      </c>
      <c r="F1442" t="s">
        <v>46</v>
      </c>
      <c r="G1442" t="s">
        <v>47</v>
      </c>
      <c r="H1442" s="8" t="s">
        <v>48</v>
      </c>
      <c r="I1442" s="10">
        <v>4</v>
      </c>
      <c r="J1442" t="str">
        <f t="shared" si="110"/>
        <v>Near</v>
      </c>
      <c r="K1442">
        <v>2</v>
      </c>
      <c r="L1442" t="s">
        <v>41</v>
      </c>
      <c r="M1442">
        <v>4</v>
      </c>
      <c r="N1442">
        <v>3</v>
      </c>
      <c r="O1442">
        <v>2</v>
      </c>
      <c r="P1442" t="s">
        <v>55</v>
      </c>
      <c r="Q1442">
        <v>2</v>
      </c>
      <c r="R1442" s="11">
        <v>688</v>
      </c>
      <c r="S1442" s="14">
        <v>97</v>
      </c>
      <c r="T1442" s="13">
        <v>5131</v>
      </c>
      <c r="U1442" s="13">
        <f t="shared" si="111"/>
        <v>61572</v>
      </c>
      <c r="V1442" s="14">
        <v>9192</v>
      </c>
      <c r="W1442">
        <v>7</v>
      </c>
      <c r="X1442" s="8" t="s">
        <v>46</v>
      </c>
      <c r="Y1442" s="15">
        <v>0.13</v>
      </c>
      <c r="Z1442">
        <v>3</v>
      </c>
      <c r="AA1442">
        <v>2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 t="str">
        <f t="shared" si="112"/>
        <v>0-3</v>
      </c>
      <c r="AI1442">
        <v>0</v>
      </c>
      <c r="AJ1442" t="str">
        <f t="shared" si="113"/>
        <v>0-2</v>
      </c>
      <c r="AK1442">
        <v>2</v>
      </c>
    </row>
    <row r="1443" spans="1:37" x14ac:dyDescent="0.25">
      <c r="A1443" s="8">
        <v>1442</v>
      </c>
      <c r="B1443" t="s">
        <v>44</v>
      </c>
      <c r="C1443" t="s">
        <v>54</v>
      </c>
      <c r="D1443" s="8">
        <v>56</v>
      </c>
      <c r="E1443" t="str">
        <f t="shared" si="114"/>
        <v>55+</v>
      </c>
      <c r="F1443" t="s">
        <v>46</v>
      </c>
      <c r="G1443" t="s">
        <v>58</v>
      </c>
      <c r="H1443" s="8" t="s">
        <v>48</v>
      </c>
      <c r="I1443" s="10">
        <v>1</v>
      </c>
      <c r="J1443" t="str">
        <f t="shared" si="110"/>
        <v>Near</v>
      </c>
      <c r="K1443">
        <v>4</v>
      </c>
      <c r="L1443" t="s">
        <v>41</v>
      </c>
      <c r="M1443">
        <v>3</v>
      </c>
      <c r="N1443">
        <v>3</v>
      </c>
      <c r="O1443">
        <v>2</v>
      </c>
      <c r="P1443" t="s">
        <v>56</v>
      </c>
      <c r="Q1443">
        <v>3</v>
      </c>
      <c r="R1443" s="11">
        <v>667</v>
      </c>
      <c r="S1443" s="14">
        <v>57</v>
      </c>
      <c r="T1443" s="13">
        <v>6306</v>
      </c>
      <c r="U1443" s="13">
        <f t="shared" si="111"/>
        <v>75672</v>
      </c>
      <c r="V1443" s="14">
        <v>26236</v>
      </c>
      <c r="W1443">
        <v>1</v>
      </c>
      <c r="X1443" s="8" t="s">
        <v>46</v>
      </c>
      <c r="Y1443" s="15">
        <v>0.21</v>
      </c>
      <c r="Z1443">
        <v>4</v>
      </c>
      <c r="AA1443">
        <v>1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 t="str">
        <f t="shared" si="112"/>
        <v>12-15</v>
      </c>
      <c r="AI1443">
        <v>1</v>
      </c>
      <c r="AJ1443" t="str">
        <f t="shared" si="113"/>
        <v>0-2</v>
      </c>
      <c r="AK1443">
        <v>9</v>
      </c>
    </row>
    <row r="1444" spans="1:37" x14ac:dyDescent="0.25">
      <c r="A1444" s="8">
        <v>1443</v>
      </c>
      <c r="B1444" t="s">
        <v>44</v>
      </c>
      <c r="C1444" t="s">
        <v>45</v>
      </c>
      <c r="D1444" s="8">
        <v>29</v>
      </c>
      <c r="E1444" t="str">
        <f t="shared" si="114"/>
        <v>26-35</v>
      </c>
      <c r="F1444" t="s">
        <v>38</v>
      </c>
      <c r="G1444" t="s">
        <v>39</v>
      </c>
      <c r="H1444" s="8" t="s">
        <v>48</v>
      </c>
      <c r="I1444" s="10">
        <v>1</v>
      </c>
      <c r="J1444" t="str">
        <f t="shared" si="110"/>
        <v>Near</v>
      </c>
      <c r="K1444">
        <v>4</v>
      </c>
      <c r="L1444" t="s">
        <v>53</v>
      </c>
      <c r="M1444">
        <v>1</v>
      </c>
      <c r="N1444">
        <v>3</v>
      </c>
      <c r="O1444">
        <v>1</v>
      </c>
      <c r="P1444" t="s">
        <v>49</v>
      </c>
      <c r="Q1444">
        <v>4</v>
      </c>
      <c r="R1444" s="11">
        <v>1092</v>
      </c>
      <c r="S1444" s="14">
        <v>36</v>
      </c>
      <c r="T1444" s="13">
        <v>4787</v>
      </c>
      <c r="U1444" s="13">
        <f t="shared" si="111"/>
        <v>57444</v>
      </c>
      <c r="V1444" s="14">
        <v>26124</v>
      </c>
      <c r="W1444">
        <v>9</v>
      </c>
      <c r="X1444" s="8" t="s">
        <v>38</v>
      </c>
      <c r="Y1444" s="15">
        <v>0.14000000000000001</v>
      </c>
      <c r="Z1444">
        <v>3</v>
      </c>
      <c r="AA1444">
        <v>2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 t="str">
        <f t="shared" si="112"/>
        <v>0-3</v>
      </c>
      <c r="AI1444">
        <v>2</v>
      </c>
      <c r="AJ1444" t="str">
        <f t="shared" si="113"/>
        <v>0-2</v>
      </c>
      <c r="AK1444">
        <v>2</v>
      </c>
    </row>
    <row r="1445" spans="1:37" x14ac:dyDescent="0.25">
      <c r="A1445" s="8">
        <v>1444</v>
      </c>
      <c r="B1445" t="s">
        <v>44</v>
      </c>
      <c r="C1445" t="s">
        <v>45</v>
      </c>
      <c r="D1445" s="8">
        <v>42</v>
      </c>
      <c r="E1445" t="str">
        <f t="shared" si="114"/>
        <v>36-45</v>
      </c>
      <c r="F1445" t="s">
        <v>46</v>
      </c>
      <c r="G1445" t="s">
        <v>39</v>
      </c>
      <c r="H1445" s="8" t="s">
        <v>48</v>
      </c>
      <c r="I1445" s="10">
        <v>2</v>
      </c>
      <c r="J1445" t="str">
        <f t="shared" si="110"/>
        <v>Near</v>
      </c>
      <c r="K1445">
        <v>3</v>
      </c>
      <c r="L1445" t="s">
        <v>41</v>
      </c>
      <c r="M1445">
        <v>1</v>
      </c>
      <c r="N1445">
        <v>3</v>
      </c>
      <c r="O1445">
        <v>5</v>
      </c>
      <c r="P1445" t="s">
        <v>59</v>
      </c>
      <c r="Q1445">
        <v>3</v>
      </c>
      <c r="R1445" s="11">
        <v>300</v>
      </c>
      <c r="S1445" s="14">
        <v>56</v>
      </c>
      <c r="T1445" s="13">
        <v>18880</v>
      </c>
      <c r="U1445" s="13">
        <f t="shared" si="111"/>
        <v>226560</v>
      </c>
      <c r="V1445" s="14">
        <v>17312</v>
      </c>
      <c r="W1445">
        <v>5</v>
      </c>
      <c r="X1445" s="8" t="s">
        <v>46</v>
      </c>
      <c r="Y1445" s="15">
        <v>0.11</v>
      </c>
      <c r="Z1445">
        <v>3</v>
      </c>
      <c r="AA1445">
        <v>1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 t="str">
        <f t="shared" si="112"/>
        <v>4-7</v>
      </c>
      <c r="AI1445">
        <v>4</v>
      </c>
      <c r="AJ1445" t="str">
        <f t="shared" si="113"/>
        <v>3-5</v>
      </c>
      <c r="AK1445">
        <v>14</v>
      </c>
    </row>
    <row r="1446" spans="1:37" x14ac:dyDescent="0.25">
      <c r="A1446" s="8">
        <v>1445</v>
      </c>
      <c r="B1446" t="s">
        <v>44</v>
      </c>
      <c r="C1446" t="s">
        <v>45</v>
      </c>
      <c r="D1446" s="8">
        <v>56</v>
      </c>
      <c r="E1446" t="str">
        <f t="shared" si="114"/>
        <v>55+</v>
      </c>
      <c r="F1446" t="s">
        <v>38</v>
      </c>
      <c r="G1446" t="s">
        <v>39</v>
      </c>
      <c r="H1446" s="8" t="s">
        <v>48</v>
      </c>
      <c r="I1446" s="10">
        <v>7</v>
      </c>
      <c r="J1446" t="str">
        <f t="shared" si="110"/>
        <v>Moderate</v>
      </c>
      <c r="K1446">
        <v>2</v>
      </c>
      <c r="L1446" t="s">
        <v>63</v>
      </c>
      <c r="M1446">
        <v>4</v>
      </c>
      <c r="N1446">
        <v>3</v>
      </c>
      <c r="O1446">
        <v>1</v>
      </c>
      <c r="P1446" t="s">
        <v>51</v>
      </c>
      <c r="Q1446">
        <v>3</v>
      </c>
      <c r="R1446" s="11">
        <v>310</v>
      </c>
      <c r="S1446" s="14">
        <v>72</v>
      </c>
      <c r="T1446" s="13">
        <v>2339</v>
      </c>
      <c r="U1446" s="13">
        <f t="shared" si="111"/>
        <v>28068</v>
      </c>
      <c r="V1446" s="14">
        <v>3666</v>
      </c>
      <c r="W1446">
        <v>8</v>
      </c>
      <c r="X1446" s="8" t="s">
        <v>46</v>
      </c>
      <c r="Y1446" s="15">
        <v>0.11</v>
      </c>
      <c r="Z1446">
        <v>3</v>
      </c>
      <c r="AA1446">
        <v>4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 t="str">
        <f t="shared" si="112"/>
        <v>8-11</v>
      </c>
      <c r="AI1446">
        <v>9</v>
      </c>
      <c r="AJ1446" t="str">
        <f t="shared" si="113"/>
        <v>9-11</v>
      </c>
      <c r="AK1446">
        <v>8</v>
      </c>
    </row>
    <row r="1447" spans="1:37" x14ac:dyDescent="0.25">
      <c r="A1447" s="8">
        <v>1446</v>
      </c>
      <c r="B1447" t="s">
        <v>52</v>
      </c>
      <c r="C1447" t="s">
        <v>45</v>
      </c>
      <c r="D1447" s="8">
        <v>41</v>
      </c>
      <c r="E1447" t="str">
        <f t="shared" si="114"/>
        <v>36-45</v>
      </c>
      <c r="F1447" t="s">
        <v>46</v>
      </c>
      <c r="G1447" t="s">
        <v>39</v>
      </c>
      <c r="H1447" s="8" t="s">
        <v>48</v>
      </c>
      <c r="I1447" s="10">
        <v>28</v>
      </c>
      <c r="J1447" t="str">
        <f t="shared" si="110"/>
        <v>Far</v>
      </c>
      <c r="K1447">
        <v>4</v>
      </c>
      <c r="L1447" t="s">
        <v>41</v>
      </c>
      <c r="M1447">
        <v>1</v>
      </c>
      <c r="N1447">
        <v>2</v>
      </c>
      <c r="O1447">
        <v>4</v>
      </c>
      <c r="P1447" t="s">
        <v>55</v>
      </c>
      <c r="Q1447">
        <v>2</v>
      </c>
      <c r="R1447" s="11">
        <v>582</v>
      </c>
      <c r="S1447" s="14">
        <v>60</v>
      </c>
      <c r="T1447" s="13">
        <v>13570</v>
      </c>
      <c r="U1447" s="13">
        <f t="shared" si="111"/>
        <v>162840</v>
      </c>
      <c r="V1447" s="14">
        <v>5640</v>
      </c>
      <c r="W1447">
        <v>0</v>
      </c>
      <c r="X1447" s="8" t="s">
        <v>46</v>
      </c>
      <c r="Y1447" s="15">
        <v>0.23</v>
      </c>
      <c r="Z1447">
        <v>4</v>
      </c>
      <c r="AA1447">
        <v>3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 t="str">
        <f t="shared" si="112"/>
        <v>4-7</v>
      </c>
      <c r="AI1447">
        <v>0</v>
      </c>
      <c r="AJ1447" t="str">
        <f t="shared" si="113"/>
        <v>0-2</v>
      </c>
      <c r="AK1447">
        <v>10</v>
      </c>
    </row>
    <row r="1448" spans="1:37" x14ac:dyDescent="0.25">
      <c r="A1448" s="8">
        <v>1447</v>
      </c>
      <c r="B1448" t="s">
        <v>52</v>
      </c>
      <c r="C1448" t="s">
        <v>45</v>
      </c>
      <c r="D1448" s="8">
        <v>34</v>
      </c>
      <c r="E1448" t="str">
        <f t="shared" si="114"/>
        <v>26-35</v>
      </c>
      <c r="F1448" t="s">
        <v>46</v>
      </c>
      <c r="G1448" t="s">
        <v>39</v>
      </c>
      <c r="H1448" s="8" t="s">
        <v>40</v>
      </c>
      <c r="I1448" s="10">
        <v>28</v>
      </c>
      <c r="J1448" t="str">
        <f t="shared" si="110"/>
        <v>Far</v>
      </c>
      <c r="K1448">
        <v>3</v>
      </c>
      <c r="L1448" t="s">
        <v>62</v>
      </c>
      <c r="M1448">
        <v>4</v>
      </c>
      <c r="N1448">
        <v>2</v>
      </c>
      <c r="O1448">
        <v>2</v>
      </c>
      <c r="P1448" t="s">
        <v>42</v>
      </c>
      <c r="Q1448">
        <v>3</v>
      </c>
      <c r="R1448" s="11">
        <v>704</v>
      </c>
      <c r="S1448" s="14">
        <v>95</v>
      </c>
      <c r="T1448" s="13">
        <v>6712</v>
      </c>
      <c r="U1448" s="13">
        <f t="shared" si="111"/>
        <v>80544</v>
      </c>
      <c r="V1448" s="14">
        <v>8978</v>
      </c>
      <c r="W1448">
        <v>1</v>
      </c>
      <c r="X1448" s="8" t="s">
        <v>46</v>
      </c>
      <c r="Y1448" s="15">
        <v>0.21</v>
      </c>
      <c r="Z1448">
        <v>4</v>
      </c>
      <c r="AA1448">
        <v>4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 t="str">
        <f t="shared" si="112"/>
        <v>4-7</v>
      </c>
      <c r="AI1448">
        <v>1</v>
      </c>
      <c r="AJ1448" t="str">
        <f t="shared" si="113"/>
        <v>0-2</v>
      </c>
      <c r="AK1448">
        <v>7</v>
      </c>
    </row>
    <row r="1449" spans="1:37" x14ac:dyDescent="0.25">
      <c r="A1449" s="8">
        <v>1448</v>
      </c>
      <c r="B1449" t="s">
        <v>44</v>
      </c>
      <c r="C1449" t="s">
        <v>54</v>
      </c>
      <c r="D1449" s="8">
        <v>36</v>
      </c>
      <c r="E1449" t="str">
        <f t="shared" si="114"/>
        <v>36-45</v>
      </c>
      <c r="F1449" t="s">
        <v>46</v>
      </c>
      <c r="G1449" t="s">
        <v>58</v>
      </c>
      <c r="H1449" s="8" t="s">
        <v>40</v>
      </c>
      <c r="I1449" s="10">
        <v>15</v>
      </c>
      <c r="J1449" t="str">
        <f t="shared" si="110"/>
        <v>Moderate</v>
      </c>
      <c r="K1449">
        <v>4</v>
      </c>
      <c r="L1449" t="s">
        <v>62</v>
      </c>
      <c r="M1449">
        <v>4</v>
      </c>
      <c r="N1449">
        <v>1</v>
      </c>
      <c r="O1449">
        <v>2</v>
      </c>
      <c r="P1449" t="s">
        <v>42</v>
      </c>
      <c r="Q1449">
        <v>4</v>
      </c>
      <c r="R1449" s="11">
        <v>301</v>
      </c>
      <c r="S1449" s="14">
        <v>88</v>
      </c>
      <c r="T1449" s="13">
        <v>5406</v>
      </c>
      <c r="U1449" s="13">
        <f t="shared" si="111"/>
        <v>64872</v>
      </c>
      <c r="V1449" s="14">
        <v>10436</v>
      </c>
      <c r="W1449">
        <v>1</v>
      </c>
      <c r="X1449" s="8" t="s">
        <v>46</v>
      </c>
      <c r="Y1449" s="15">
        <v>0.24</v>
      </c>
      <c r="Z1449">
        <v>4</v>
      </c>
      <c r="AA1449">
        <v>1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 t="str">
        <f t="shared" si="112"/>
        <v>12-15</v>
      </c>
      <c r="AI1449">
        <v>11</v>
      </c>
      <c r="AJ1449" t="str">
        <f t="shared" si="113"/>
        <v>9-11</v>
      </c>
      <c r="AK1449">
        <v>11</v>
      </c>
    </row>
    <row r="1450" spans="1:37" x14ac:dyDescent="0.25">
      <c r="A1450" s="8">
        <v>1449</v>
      </c>
      <c r="B1450" t="s">
        <v>44</v>
      </c>
      <c r="C1450" t="s">
        <v>54</v>
      </c>
      <c r="D1450" s="8">
        <v>41</v>
      </c>
      <c r="E1450" t="str">
        <f t="shared" si="114"/>
        <v>36-45</v>
      </c>
      <c r="F1450" t="s">
        <v>46</v>
      </c>
      <c r="G1450" t="s">
        <v>39</v>
      </c>
      <c r="H1450" s="8" t="s">
        <v>40</v>
      </c>
      <c r="I1450" s="10">
        <v>3</v>
      </c>
      <c r="J1450" t="str">
        <f t="shared" si="110"/>
        <v>Near</v>
      </c>
      <c r="K1450">
        <v>3</v>
      </c>
      <c r="L1450" t="s">
        <v>41</v>
      </c>
      <c r="M1450">
        <v>3</v>
      </c>
      <c r="N1450">
        <v>2</v>
      </c>
      <c r="O1450">
        <v>2</v>
      </c>
      <c r="P1450" t="s">
        <v>42</v>
      </c>
      <c r="Q1450">
        <v>2</v>
      </c>
      <c r="R1450" s="11">
        <v>930</v>
      </c>
      <c r="S1450" s="14">
        <v>57</v>
      </c>
      <c r="T1450" s="13">
        <v>8938</v>
      </c>
      <c r="U1450" s="13">
        <f t="shared" si="111"/>
        <v>107256</v>
      </c>
      <c r="V1450" s="14">
        <v>12227</v>
      </c>
      <c r="W1450">
        <v>2</v>
      </c>
      <c r="X1450" s="8" t="s">
        <v>46</v>
      </c>
      <c r="Y1450" s="15">
        <v>0.11</v>
      </c>
      <c r="Z1450">
        <v>3</v>
      </c>
      <c r="AA1450">
        <v>3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 t="str">
        <f t="shared" si="112"/>
        <v>4-7</v>
      </c>
      <c r="AI1450">
        <v>0</v>
      </c>
      <c r="AJ1450" t="str">
        <f t="shared" si="113"/>
        <v>0-2</v>
      </c>
      <c r="AK1450">
        <v>4</v>
      </c>
    </row>
    <row r="1451" spans="1:37" x14ac:dyDescent="0.25">
      <c r="A1451" s="8">
        <v>1450</v>
      </c>
      <c r="B1451" t="s">
        <v>44</v>
      </c>
      <c r="C1451" t="s">
        <v>37</v>
      </c>
      <c r="D1451" s="8">
        <v>32</v>
      </c>
      <c r="E1451" t="str">
        <f t="shared" si="114"/>
        <v>26-35</v>
      </c>
      <c r="F1451" t="s">
        <v>46</v>
      </c>
      <c r="G1451" t="s">
        <v>39</v>
      </c>
      <c r="H1451" s="8" t="s">
        <v>48</v>
      </c>
      <c r="I1451" s="10">
        <v>2</v>
      </c>
      <c r="J1451" t="str">
        <f t="shared" si="110"/>
        <v>Near</v>
      </c>
      <c r="K1451">
        <v>3</v>
      </c>
      <c r="L1451" t="s">
        <v>63</v>
      </c>
      <c r="M1451">
        <v>4</v>
      </c>
      <c r="N1451">
        <v>3</v>
      </c>
      <c r="O1451">
        <v>1</v>
      </c>
      <c r="P1451" t="s">
        <v>49</v>
      </c>
      <c r="Q1451">
        <v>1</v>
      </c>
      <c r="R1451" s="11">
        <v>529</v>
      </c>
      <c r="S1451" s="14">
        <v>78</v>
      </c>
      <c r="T1451" s="13">
        <v>2439</v>
      </c>
      <c r="U1451" s="13">
        <f t="shared" si="111"/>
        <v>29268</v>
      </c>
      <c r="V1451" s="14">
        <v>11288</v>
      </c>
      <c r="W1451">
        <v>1</v>
      </c>
      <c r="X1451" s="8" t="s">
        <v>46</v>
      </c>
      <c r="Y1451" s="15">
        <v>0.14000000000000001</v>
      </c>
      <c r="Z1451">
        <v>3</v>
      </c>
      <c r="AA1451">
        <v>4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 t="str">
        <f t="shared" si="112"/>
        <v>0-3</v>
      </c>
      <c r="AI1451">
        <v>1</v>
      </c>
      <c r="AJ1451" t="str">
        <f t="shared" si="113"/>
        <v>0-2</v>
      </c>
      <c r="AK1451">
        <v>2</v>
      </c>
    </row>
    <row r="1452" spans="1:37" x14ac:dyDescent="0.25">
      <c r="A1452" s="8">
        <v>1451</v>
      </c>
      <c r="B1452" t="s">
        <v>52</v>
      </c>
      <c r="C1452" t="s">
        <v>37</v>
      </c>
      <c r="D1452" s="8">
        <v>35</v>
      </c>
      <c r="E1452" t="str">
        <f t="shared" si="114"/>
        <v>26-35</v>
      </c>
      <c r="F1452" t="s">
        <v>46</v>
      </c>
      <c r="G1452" t="s">
        <v>39</v>
      </c>
      <c r="H1452" s="8" t="s">
        <v>64</v>
      </c>
      <c r="I1452" s="10">
        <v>26</v>
      </c>
      <c r="J1452" t="str">
        <f t="shared" si="110"/>
        <v>Far</v>
      </c>
      <c r="K1452">
        <v>4</v>
      </c>
      <c r="L1452" t="s">
        <v>41</v>
      </c>
      <c r="M1452">
        <v>3</v>
      </c>
      <c r="N1452">
        <v>3</v>
      </c>
      <c r="O1452">
        <v>3</v>
      </c>
      <c r="P1452" t="s">
        <v>64</v>
      </c>
      <c r="Q1452">
        <v>4</v>
      </c>
      <c r="R1452" s="11">
        <v>1146</v>
      </c>
      <c r="S1452" s="14">
        <v>31</v>
      </c>
      <c r="T1452" s="13">
        <v>8837</v>
      </c>
      <c r="U1452" s="13">
        <f t="shared" si="111"/>
        <v>106044</v>
      </c>
      <c r="V1452" s="14">
        <v>16642</v>
      </c>
      <c r="W1452">
        <v>1</v>
      </c>
      <c r="X1452" s="8" t="s">
        <v>38</v>
      </c>
      <c r="Y1452" s="15">
        <v>0.16</v>
      </c>
      <c r="Z1452">
        <v>3</v>
      </c>
      <c r="AA1452">
        <v>3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 t="str">
        <f t="shared" si="112"/>
        <v>0-3</v>
      </c>
      <c r="AI1452">
        <v>1</v>
      </c>
      <c r="AJ1452" t="str">
        <f t="shared" si="113"/>
        <v>0-2</v>
      </c>
      <c r="AK1452">
        <v>7</v>
      </c>
    </row>
    <row r="1453" spans="1:37" x14ac:dyDescent="0.25">
      <c r="A1453" s="8">
        <v>1452</v>
      </c>
      <c r="B1453" t="s">
        <v>52</v>
      </c>
      <c r="C1453" t="s">
        <v>45</v>
      </c>
      <c r="D1453" s="8">
        <v>38</v>
      </c>
      <c r="E1453" t="str">
        <f t="shared" si="114"/>
        <v>36-45</v>
      </c>
      <c r="F1453" t="s">
        <v>46</v>
      </c>
      <c r="G1453" t="s">
        <v>39</v>
      </c>
      <c r="H1453" s="8" t="s">
        <v>40</v>
      </c>
      <c r="I1453" s="10">
        <v>10</v>
      </c>
      <c r="J1453" t="str">
        <f t="shared" si="110"/>
        <v>Moderate</v>
      </c>
      <c r="K1453">
        <v>2</v>
      </c>
      <c r="L1453" t="s">
        <v>41</v>
      </c>
      <c r="M1453">
        <v>1</v>
      </c>
      <c r="N1453">
        <v>3</v>
      </c>
      <c r="O1453">
        <v>2</v>
      </c>
      <c r="P1453" t="s">
        <v>42</v>
      </c>
      <c r="Q1453">
        <v>4</v>
      </c>
      <c r="R1453" s="11">
        <v>345</v>
      </c>
      <c r="S1453" s="14">
        <v>100</v>
      </c>
      <c r="T1453" s="13">
        <v>5343</v>
      </c>
      <c r="U1453" s="13">
        <f t="shared" si="111"/>
        <v>64116</v>
      </c>
      <c r="V1453" s="14">
        <v>5982</v>
      </c>
      <c r="W1453">
        <v>1</v>
      </c>
      <c r="X1453" s="8" t="s">
        <v>46</v>
      </c>
      <c r="Y1453" s="15">
        <v>0.11</v>
      </c>
      <c r="Z1453">
        <v>3</v>
      </c>
      <c r="AA1453">
        <v>3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 t="str">
        <f t="shared" si="112"/>
        <v>4-7</v>
      </c>
      <c r="AI1453">
        <v>1</v>
      </c>
      <c r="AJ1453" t="str">
        <f t="shared" si="113"/>
        <v>0-2</v>
      </c>
      <c r="AK1453">
        <v>9</v>
      </c>
    </row>
    <row r="1454" spans="1:37" x14ac:dyDescent="0.25">
      <c r="A1454" s="8">
        <v>1453</v>
      </c>
      <c r="B1454" t="s">
        <v>44</v>
      </c>
      <c r="C1454" t="s">
        <v>54</v>
      </c>
      <c r="D1454" s="8">
        <v>50</v>
      </c>
      <c r="E1454" t="str">
        <f t="shared" si="114"/>
        <v>46-55</v>
      </c>
      <c r="F1454" t="s">
        <v>38</v>
      </c>
      <c r="G1454" t="s">
        <v>47</v>
      </c>
      <c r="H1454" s="8" t="s">
        <v>40</v>
      </c>
      <c r="I1454" s="10">
        <v>1</v>
      </c>
      <c r="J1454" t="str">
        <f t="shared" si="110"/>
        <v>Near</v>
      </c>
      <c r="K1454">
        <v>4</v>
      </c>
      <c r="L1454" t="s">
        <v>41</v>
      </c>
      <c r="M1454">
        <v>2</v>
      </c>
      <c r="N1454">
        <v>3</v>
      </c>
      <c r="O1454">
        <v>2</v>
      </c>
      <c r="P1454" t="s">
        <v>42</v>
      </c>
      <c r="Q1454">
        <v>3</v>
      </c>
      <c r="R1454" s="11">
        <v>878</v>
      </c>
      <c r="S1454" s="14">
        <v>94</v>
      </c>
      <c r="T1454" s="13">
        <v>6728</v>
      </c>
      <c r="U1454" s="13">
        <f t="shared" si="111"/>
        <v>80736</v>
      </c>
      <c r="V1454" s="14">
        <v>14255</v>
      </c>
      <c r="W1454">
        <v>7</v>
      </c>
      <c r="X1454" s="8" t="s">
        <v>46</v>
      </c>
      <c r="Y1454" s="15">
        <v>0.12</v>
      </c>
      <c r="Z1454">
        <v>3</v>
      </c>
      <c r="AA1454">
        <v>4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 t="str">
        <f t="shared" si="112"/>
        <v>0-3</v>
      </c>
      <c r="AI1454">
        <v>0</v>
      </c>
      <c r="AJ1454" t="str">
        <f t="shared" si="113"/>
        <v>0-2</v>
      </c>
      <c r="AK1454">
        <v>1</v>
      </c>
    </row>
    <row r="1455" spans="1:37" x14ac:dyDescent="0.25">
      <c r="A1455" s="8">
        <v>1454</v>
      </c>
      <c r="B1455" t="s">
        <v>52</v>
      </c>
      <c r="C1455" t="s">
        <v>45</v>
      </c>
      <c r="D1455" s="8">
        <v>36</v>
      </c>
      <c r="E1455" t="str">
        <f t="shared" si="114"/>
        <v>36-45</v>
      </c>
      <c r="F1455" t="s">
        <v>46</v>
      </c>
      <c r="G1455" t="s">
        <v>39</v>
      </c>
      <c r="H1455" s="8" t="s">
        <v>40</v>
      </c>
      <c r="I1455" s="10">
        <v>11</v>
      </c>
      <c r="J1455" t="str">
        <f t="shared" si="110"/>
        <v>Moderate</v>
      </c>
      <c r="K1455">
        <v>4</v>
      </c>
      <c r="L1455" t="s">
        <v>62</v>
      </c>
      <c r="M1455">
        <v>2</v>
      </c>
      <c r="N1455">
        <v>2</v>
      </c>
      <c r="O1455">
        <v>2</v>
      </c>
      <c r="P1455" t="s">
        <v>42</v>
      </c>
      <c r="Q1455">
        <v>4</v>
      </c>
      <c r="R1455" s="11">
        <v>1120</v>
      </c>
      <c r="S1455" s="14">
        <v>100</v>
      </c>
      <c r="T1455" s="13">
        <v>6652</v>
      </c>
      <c r="U1455" s="13">
        <f t="shared" si="111"/>
        <v>79824</v>
      </c>
      <c r="V1455" s="14">
        <v>14369</v>
      </c>
      <c r="W1455">
        <v>4</v>
      </c>
      <c r="X1455" s="8" t="s">
        <v>46</v>
      </c>
      <c r="Y1455" s="15">
        <v>0.13</v>
      </c>
      <c r="Z1455">
        <v>3</v>
      </c>
      <c r="AA1455">
        <v>1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 t="str">
        <f t="shared" si="112"/>
        <v>0-3</v>
      </c>
      <c r="AI1455">
        <v>0</v>
      </c>
      <c r="AJ1455" t="str">
        <f t="shared" si="113"/>
        <v>0-2</v>
      </c>
      <c r="AK1455">
        <v>0</v>
      </c>
    </row>
    <row r="1456" spans="1:37" x14ac:dyDescent="0.25">
      <c r="A1456" s="8">
        <v>1455</v>
      </c>
      <c r="B1456" t="s">
        <v>52</v>
      </c>
      <c r="C1456" t="s">
        <v>37</v>
      </c>
      <c r="D1456" s="8">
        <v>45</v>
      </c>
      <c r="E1456" t="str">
        <f t="shared" si="114"/>
        <v>36-45</v>
      </c>
      <c r="F1456" t="s">
        <v>46</v>
      </c>
      <c r="G1456" t="s">
        <v>39</v>
      </c>
      <c r="H1456" s="8" t="s">
        <v>40</v>
      </c>
      <c r="I1456" s="10">
        <v>20</v>
      </c>
      <c r="J1456" t="str">
        <f t="shared" si="110"/>
        <v>Far</v>
      </c>
      <c r="K1456">
        <v>3</v>
      </c>
      <c r="L1456" t="s">
        <v>41</v>
      </c>
      <c r="M1456">
        <v>4</v>
      </c>
      <c r="N1456">
        <v>3</v>
      </c>
      <c r="O1456">
        <v>2</v>
      </c>
      <c r="P1456" t="s">
        <v>42</v>
      </c>
      <c r="Q1456">
        <v>3</v>
      </c>
      <c r="R1456" s="11">
        <v>374</v>
      </c>
      <c r="S1456" s="14">
        <v>50</v>
      </c>
      <c r="T1456" s="13">
        <v>4850</v>
      </c>
      <c r="U1456" s="13">
        <f t="shared" si="111"/>
        <v>58200</v>
      </c>
      <c r="V1456" s="14">
        <v>23333</v>
      </c>
      <c r="W1456">
        <v>8</v>
      </c>
      <c r="X1456" s="8" t="s">
        <v>46</v>
      </c>
      <c r="Y1456" s="15">
        <v>0.15</v>
      </c>
      <c r="Z1456">
        <v>3</v>
      </c>
      <c r="AA1456">
        <v>3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 t="str">
        <f t="shared" si="112"/>
        <v>0-3</v>
      </c>
      <c r="AI1456">
        <v>0</v>
      </c>
      <c r="AJ1456" t="str">
        <f t="shared" si="113"/>
        <v>0-2</v>
      </c>
      <c r="AK1456">
        <v>1</v>
      </c>
    </row>
    <row r="1457" spans="1:37" x14ac:dyDescent="0.25">
      <c r="A1457" s="8">
        <v>1456</v>
      </c>
      <c r="B1457" t="s">
        <v>44</v>
      </c>
      <c r="C1457" t="s">
        <v>37</v>
      </c>
      <c r="D1457" s="8">
        <v>40</v>
      </c>
      <c r="E1457" t="str">
        <f t="shared" si="114"/>
        <v>36-45</v>
      </c>
      <c r="F1457" t="s">
        <v>46</v>
      </c>
      <c r="G1457" t="s">
        <v>39</v>
      </c>
      <c r="H1457" s="8" t="s">
        <v>48</v>
      </c>
      <c r="I1457" s="10">
        <v>2</v>
      </c>
      <c r="J1457" t="str">
        <f t="shared" si="110"/>
        <v>Near</v>
      </c>
      <c r="K1457">
        <v>4</v>
      </c>
      <c r="L1457" t="s">
        <v>41</v>
      </c>
      <c r="M1457">
        <v>3</v>
      </c>
      <c r="N1457">
        <v>2</v>
      </c>
      <c r="O1457">
        <v>1</v>
      </c>
      <c r="P1457" t="s">
        <v>49</v>
      </c>
      <c r="Q1457">
        <v>3</v>
      </c>
      <c r="R1457" s="11">
        <v>1322</v>
      </c>
      <c r="S1457" s="14">
        <v>52</v>
      </c>
      <c r="T1457" s="13">
        <v>2809</v>
      </c>
      <c r="U1457" s="13">
        <f t="shared" si="111"/>
        <v>33708</v>
      </c>
      <c r="V1457" s="14">
        <v>2725</v>
      </c>
      <c r="W1457">
        <v>2</v>
      </c>
      <c r="X1457" s="8" t="s">
        <v>46</v>
      </c>
      <c r="Y1457" s="15">
        <v>0.14000000000000001</v>
      </c>
      <c r="Z1457">
        <v>3</v>
      </c>
      <c r="AA1457">
        <v>4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 t="str">
        <f t="shared" si="112"/>
        <v>0-3</v>
      </c>
      <c r="AI1457">
        <v>2</v>
      </c>
      <c r="AJ1457" t="str">
        <f t="shared" si="113"/>
        <v>0-2</v>
      </c>
      <c r="AK1457">
        <v>2</v>
      </c>
    </row>
    <row r="1458" spans="1:37" x14ac:dyDescent="0.25">
      <c r="A1458" s="8">
        <v>1457</v>
      </c>
      <c r="B1458" t="s">
        <v>44</v>
      </c>
      <c r="C1458" t="s">
        <v>45</v>
      </c>
      <c r="D1458" s="8">
        <v>35</v>
      </c>
      <c r="E1458" t="str">
        <f t="shared" si="114"/>
        <v>26-35</v>
      </c>
      <c r="F1458" t="s">
        <v>46</v>
      </c>
      <c r="G1458" t="s">
        <v>47</v>
      </c>
      <c r="H1458" s="8" t="s">
        <v>48</v>
      </c>
      <c r="I1458" s="10">
        <v>18</v>
      </c>
      <c r="J1458" t="str">
        <f t="shared" si="110"/>
        <v>Far</v>
      </c>
      <c r="K1458">
        <v>4</v>
      </c>
      <c r="L1458" t="s">
        <v>41</v>
      </c>
      <c r="M1458">
        <v>3</v>
      </c>
      <c r="N1458">
        <v>3</v>
      </c>
      <c r="O1458">
        <v>2</v>
      </c>
      <c r="P1458" t="s">
        <v>56</v>
      </c>
      <c r="Q1458">
        <v>3</v>
      </c>
      <c r="R1458" s="11">
        <v>1199</v>
      </c>
      <c r="S1458" s="14">
        <v>80</v>
      </c>
      <c r="T1458" s="13">
        <v>5689</v>
      </c>
      <c r="U1458" s="13">
        <f t="shared" si="111"/>
        <v>68268</v>
      </c>
      <c r="V1458" s="14">
        <v>24594</v>
      </c>
      <c r="W1458">
        <v>1</v>
      </c>
      <c r="X1458" s="8" t="s">
        <v>38</v>
      </c>
      <c r="Y1458" s="15">
        <v>0.14000000000000001</v>
      </c>
      <c r="Z1458">
        <v>3</v>
      </c>
      <c r="AA1458">
        <v>4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 t="str">
        <f t="shared" si="112"/>
        <v>0-3</v>
      </c>
      <c r="AI1458">
        <v>0</v>
      </c>
      <c r="AJ1458" t="str">
        <f t="shared" si="113"/>
        <v>0-2</v>
      </c>
      <c r="AK1458">
        <v>2</v>
      </c>
    </row>
    <row r="1459" spans="1:37" x14ac:dyDescent="0.25">
      <c r="A1459" s="8">
        <v>1458</v>
      </c>
      <c r="B1459" t="s">
        <v>52</v>
      </c>
      <c r="C1459" t="s">
        <v>45</v>
      </c>
      <c r="D1459" s="8">
        <v>40</v>
      </c>
      <c r="E1459" t="str">
        <f t="shared" si="114"/>
        <v>36-45</v>
      </c>
      <c r="F1459" t="s">
        <v>46</v>
      </c>
      <c r="G1459" t="s">
        <v>39</v>
      </c>
      <c r="H1459" s="8" t="s">
        <v>48</v>
      </c>
      <c r="I1459" s="10">
        <v>2</v>
      </c>
      <c r="J1459" t="str">
        <f t="shared" si="110"/>
        <v>Near</v>
      </c>
      <c r="K1459">
        <v>4</v>
      </c>
      <c r="L1459" t="s">
        <v>53</v>
      </c>
      <c r="M1459">
        <v>3</v>
      </c>
      <c r="N1459">
        <v>3</v>
      </c>
      <c r="O1459">
        <v>1</v>
      </c>
      <c r="P1459" t="s">
        <v>49</v>
      </c>
      <c r="Q1459">
        <v>3</v>
      </c>
      <c r="R1459" s="11">
        <v>1194</v>
      </c>
      <c r="S1459" s="14">
        <v>98</v>
      </c>
      <c r="T1459" s="13">
        <v>2001</v>
      </c>
      <c r="U1459" s="13">
        <f t="shared" si="111"/>
        <v>24012</v>
      </c>
      <c r="V1459" s="14">
        <v>12549</v>
      </c>
      <c r="W1459">
        <v>2</v>
      </c>
      <c r="X1459" s="8" t="s">
        <v>46</v>
      </c>
      <c r="Y1459" s="15">
        <v>0.14000000000000001</v>
      </c>
      <c r="Z1459">
        <v>3</v>
      </c>
      <c r="AA1459">
        <v>2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 t="str">
        <f t="shared" si="112"/>
        <v>0-3</v>
      </c>
      <c r="AI1459">
        <v>0</v>
      </c>
      <c r="AJ1459" t="str">
        <f t="shared" si="113"/>
        <v>0-2</v>
      </c>
      <c r="AK1459">
        <v>2</v>
      </c>
    </row>
    <row r="1460" spans="1:37" x14ac:dyDescent="0.25">
      <c r="A1460" s="8">
        <v>1459</v>
      </c>
      <c r="B1460" t="s">
        <v>52</v>
      </c>
      <c r="C1460" t="s">
        <v>45</v>
      </c>
      <c r="D1460" s="8">
        <v>35</v>
      </c>
      <c r="E1460" t="str">
        <f t="shared" si="114"/>
        <v>26-35</v>
      </c>
      <c r="F1460" t="s">
        <v>46</v>
      </c>
      <c r="G1460" t="s">
        <v>39</v>
      </c>
      <c r="H1460" s="8" t="s">
        <v>48</v>
      </c>
      <c r="I1460" s="10">
        <v>1</v>
      </c>
      <c r="J1460" t="str">
        <f t="shared" si="110"/>
        <v>Near</v>
      </c>
      <c r="K1460">
        <v>4</v>
      </c>
      <c r="L1460" t="s">
        <v>41</v>
      </c>
      <c r="M1460">
        <v>3</v>
      </c>
      <c r="N1460">
        <v>1</v>
      </c>
      <c r="O1460">
        <v>1</v>
      </c>
      <c r="P1460" t="s">
        <v>49</v>
      </c>
      <c r="Q1460">
        <v>4</v>
      </c>
      <c r="R1460" s="11">
        <v>287</v>
      </c>
      <c r="S1460" s="14">
        <v>62</v>
      </c>
      <c r="T1460" s="13">
        <v>2977</v>
      </c>
      <c r="U1460" s="13">
        <f t="shared" si="111"/>
        <v>35724</v>
      </c>
      <c r="V1460" s="14">
        <v>8952</v>
      </c>
      <c r="W1460">
        <v>1</v>
      </c>
      <c r="X1460" s="8" t="s">
        <v>46</v>
      </c>
      <c r="Y1460" s="15">
        <v>0.12</v>
      </c>
      <c r="Z1460">
        <v>3</v>
      </c>
      <c r="AA1460">
        <v>4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 t="str">
        <f t="shared" si="112"/>
        <v>0-3</v>
      </c>
      <c r="AI1460">
        <v>1</v>
      </c>
      <c r="AJ1460" t="str">
        <f t="shared" si="113"/>
        <v>0-2</v>
      </c>
      <c r="AK1460">
        <v>1</v>
      </c>
    </row>
    <row r="1461" spans="1:37" x14ac:dyDescent="0.25">
      <c r="A1461" s="8">
        <v>1460</v>
      </c>
      <c r="B1461" t="s">
        <v>44</v>
      </c>
      <c r="C1461" t="s">
        <v>45</v>
      </c>
      <c r="D1461" s="8">
        <v>29</v>
      </c>
      <c r="E1461" t="str">
        <f t="shared" si="114"/>
        <v>26-35</v>
      </c>
      <c r="F1461" t="s">
        <v>46</v>
      </c>
      <c r="G1461" t="s">
        <v>39</v>
      </c>
      <c r="H1461" s="8" t="s">
        <v>48</v>
      </c>
      <c r="I1461" s="10">
        <v>13</v>
      </c>
      <c r="J1461" t="str">
        <f t="shared" si="110"/>
        <v>Moderate</v>
      </c>
      <c r="K1461">
        <v>2</v>
      </c>
      <c r="L1461" t="s">
        <v>50</v>
      </c>
      <c r="M1461">
        <v>4</v>
      </c>
      <c r="N1461">
        <v>2</v>
      </c>
      <c r="O1461">
        <v>2</v>
      </c>
      <c r="P1461" t="s">
        <v>51</v>
      </c>
      <c r="Q1461">
        <v>2</v>
      </c>
      <c r="R1461" s="11">
        <v>1378</v>
      </c>
      <c r="S1461" s="14">
        <v>46</v>
      </c>
      <c r="T1461" s="13">
        <v>4025</v>
      </c>
      <c r="U1461" s="13">
        <f t="shared" si="111"/>
        <v>48300</v>
      </c>
      <c r="V1461" s="14">
        <v>23679</v>
      </c>
      <c r="W1461">
        <v>4</v>
      </c>
      <c r="X1461" s="8" t="s">
        <v>38</v>
      </c>
      <c r="Y1461" s="15">
        <v>0.13</v>
      </c>
      <c r="Z1461">
        <v>3</v>
      </c>
      <c r="AA1461">
        <v>1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 t="str">
        <f t="shared" si="112"/>
        <v>0-3</v>
      </c>
      <c r="AI1461">
        <v>0</v>
      </c>
      <c r="AJ1461" t="str">
        <f t="shared" si="113"/>
        <v>0-2</v>
      </c>
      <c r="AK1461">
        <v>3</v>
      </c>
    </row>
    <row r="1462" spans="1:37" x14ac:dyDescent="0.25">
      <c r="A1462" s="8">
        <v>1461</v>
      </c>
      <c r="B1462" t="s">
        <v>52</v>
      </c>
      <c r="C1462" t="s">
        <v>37</v>
      </c>
      <c r="D1462" s="8">
        <v>29</v>
      </c>
      <c r="E1462" t="str">
        <f t="shared" si="114"/>
        <v>26-35</v>
      </c>
      <c r="F1462" t="s">
        <v>46</v>
      </c>
      <c r="G1462" t="s">
        <v>39</v>
      </c>
      <c r="H1462" s="8" t="s">
        <v>48</v>
      </c>
      <c r="I1462" s="10">
        <v>28</v>
      </c>
      <c r="J1462" t="str">
        <f t="shared" si="110"/>
        <v>Far</v>
      </c>
      <c r="K1462">
        <v>4</v>
      </c>
      <c r="L1462" t="s">
        <v>53</v>
      </c>
      <c r="M1462">
        <v>4</v>
      </c>
      <c r="N1462">
        <v>2</v>
      </c>
      <c r="O1462">
        <v>1</v>
      </c>
      <c r="P1462" t="s">
        <v>49</v>
      </c>
      <c r="Q1462">
        <v>1</v>
      </c>
      <c r="R1462" s="11">
        <v>468</v>
      </c>
      <c r="S1462" s="14">
        <v>73</v>
      </c>
      <c r="T1462" s="13">
        <v>3785</v>
      </c>
      <c r="U1462" s="13">
        <f t="shared" si="111"/>
        <v>45420</v>
      </c>
      <c r="V1462" s="14">
        <v>8489</v>
      </c>
      <c r="W1462">
        <v>1</v>
      </c>
      <c r="X1462" s="8" t="s">
        <v>46</v>
      </c>
      <c r="Y1462" s="15">
        <v>0.14000000000000001</v>
      </c>
      <c r="Z1462">
        <v>3</v>
      </c>
      <c r="AA1462">
        <v>2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 t="str">
        <f t="shared" si="112"/>
        <v>4-7</v>
      </c>
      <c r="AI1462">
        <v>0</v>
      </c>
      <c r="AJ1462" t="str">
        <f t="shared" si="113"/>
        <v>0-2</v>
      </c>
      <c r="AK1462">
        <v>4</v>
      </c>
    </row>
    <row r="1463" spans="1:37" x14ac:dyDescent="0.25">
      <c r="A1463" s="8">
        <v>1462</v>
      </c>
      <c r="B1463" t="s">
        <v>44</v>
      </c>
      <c r="C1463" t="s">
        <v>54</v>
      </c>
      <c r="D1463" s="8">
        <v>50</v>
      </c>
      <c r="E1463" t="str">
        <f t="shared" si="114"/>
        <v>46-55</v>
      </c>
      <c r="F1463" t="s">
        <v>38</v>
      </c>
      <c r="G1463" t="s">
        <v>39</v>
      </c>
      <c r="H1463" s="8" t="s">
        <v>40</v>
      </c>
      <c r="I1463" s="10">
        <v>28</v>
      </c>
      <c r="J1463" t="str">
        <f t="shared" si="110"/>
        <v>Far</v>
      </c>
      <c r="K1463">
        <v>3</v>
      </c>
      <c r="L1463" t="s">
        <v>62</v>
      </c>
      <c r="M1463">
        <v>4</v>
      </c>
      <c r="N1463">
        <v>2</v>
      </c>
      <c r="O1463">
        <v>3</v>
      </c>
      <c r="P1463" t="s">
        <v>42</v>
      </c>
      <c r="Q1463">
        <v>1</v>
      </c>
      <c r="R1463" s="11">
        <v>410</v>
      </c>
      <c r="S1463" s="14">
        <v>39</v>
      </c>
      <c r="T1463" s="13">
        <v>10854</v>
      </c>
      <c r="U1463" s="13">
        <f t="shared" si="111"/>
        <v>130248</v>
      </c>
      <c r="V1463" s="14">
        <v>16586</v>
      </c>
      <c r="W1463">
        <v>4</v>
      </c>
      <c r="X1463" s="8" t="s">
        <v>38</v>
      </c>
      <c r="Y1463" s="15">
        <v>0.13</v>
      </c>
      <c r="Z1463">
        <v>3</v>
      </c>
      <c r="AA1463">
        <v>2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 t="str">
        <f t="shared" si="112"/>
        <v>0-3</v>
      </c>
      <c r="AI1463">
        <v>2</v>
      </c>
      <c r="AJ1463" t="str">
        <f t="shared" si="113"/>
        <v>0-2</v>
      </c>
      <c r="AK1463">
        <v>0</v>
      </c>
    </row>
    <row r="1464" spans="1:37" x14ac:dyDescent="0.25">
      <c r="A1464" s="8">
        <v>1463</v>
      </c>
      <c r="B1464" t="s">
        <v>52</v>
      </c>
      <c r="C1464" t="s">
        <v>45</v>
      </c>
      <c r="D1464" s="8">
        <v>39</v>
      </c>
      <c r="E1464" t="str">
        <f t="shared" si="114"/>
        <v>36-45</v>
      </c>
      <c r="F1464" t="s">
        <v>46</v>
      </c>
      <c r="G1464" t="s">
        <v>39</v>
      </c>
      <c r="H1464" s="8" t="s">
        <v>40</v>
      </c>
      <c r="I1464" s="10">
        <v>24</v>
      </c>
      <c r="J1464" t="str">
        <f t="shared" si="110"/>
        <v>Far</v>
      </c>
      <c r="K1464">
        <v>1</v>
      </c>
      <c r="L1464" t="s">
        <v>62</v>
      </c>
      <c r="M1464">
        <v>2</v>
      </c>
      <c r="N1464">
        <v>2</v>
      </c>
      <c r="O1464">
        <v>4</v>
      </c>
      <c r="P1464" t="s">
        <v>42</v>
      </c>
      <c r="Q1464">
        <v>4</v>
      </c>
      <c r="R1464" s="11">
        <v>722</v>
      </c>
      <c r="S1464" s="14">
        <v>60</v>
      </c>
      <c r="T1464" s="13">
        <v>12031</v>
      </c>
      <c r="U1464" s="13">
        <f t="shared" si="111"/>
        <v>144372</v>
      </c>
      <c r="V1464" s="14">
        <v>8828</v>
      </c>
      <c r="W1464">
        <v>0</v>
      </c>
      <c r="X1464" s="8" t="s">
        <v>46</v>
      </c>
      <c r="Y1464" s="15">
        <v>0.11</v>
      </c>
      <c r="Z1464">
        <v>3</v>
      </c>
      <c r="AA1464">
        <v>1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 t="str">
        <f t="shared" si="112"/>
        <v>8-11</v>
      </c>
      <c r="AI1464">
        <v>9</v>
      </c>
      <c r="AJ1464" t="str">
        <f t="shared" si="113"/>
        <v>9-11</v>
      </c>
      <c r="AK1464">
        <v>6</v>
      </c>
    </row>
    <row r="1465" spans="1:37" x14ac:dyDescent="0.25">
      <c r="A1465" s="8">
        <v>1464</v>
      </c>
      <c r="B1465" t="s">
        <v>44</v>
      </c>
      <c r="C1465" t="s">
        <v>37</v>
      </c>
      <c r="D1465" s="8">
        <v>31</v>
      </c>
      <c r="E1465" t="str">
        <f t="shared" si="114"/>
        <v>26-35</v>
      </c>
      <c r="F1465" t="s">
        <v>46</v>
      </c>
      <c r="G1465" t="s">
        <v>58</v>
      </c>
      <c r="H1465" s="8" t="s">
        <v>48</v>
      </c>
      <c r="I1465" s="10">
        <v>5</v>
      </c>
      <c r="J1465" t="str">
        <f t="shared" si="110"/>
        <v>Near</v>
      </c>
      <c r="K1465">
        <v>3</v>
      </c>
      <c r="L1465" t="s">
        <v>53</v>
      </c>
      <c r="M1465">
        <v>2</v>
      </c>
      <c r="N1465">
        <v>3</v>
      </c>
      <c r="O1465">
        <v>2</v>
      </c>
      <c r="P1465" t="s">
        <v>55</v>
      </c>
      <c r="Q1465">
        <v>1</v>
      </c>
      <c r="R1465" s="11">
        <v>325</v>
      </c>
      <c r="S1465" s="14">
        <v>74</v>
      </c>
      <c r="T1465" s="13">
        <v>9936</v>
      </c>
      <c r="U1465" s="13">
        <f t="shared" si="111"/>
        <v>119232</v>
      </c>
      <c r="V1465" s="14">
        <v>3787</v>
      </c>
      <c r="W1465">
        <v>0</v>
      </c>
      <c r="X1465" s="8" t="s">
        <v>46</v>
      </c>
      <c r="Y1465" s="15">
        <v>0.19</v>
      </c>
      <c r="Z1465">
        <v>3</v>
      </c>
      <c r="AA1465">
        <v>2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 t="str">
        <f t="shared" si="112"/>
        <v>4-7</v>
      </c>
      <c r="AI1465">
        <v>1</v>
      </c>
      <c r="AJ1465" t="str">
        <f t="shared" si="113"/>
        <v>0-2</v>
      </c>
      <c r="AK1465">
        <v>7</v>
      </c>
    </row>
    <row r="1466" spans="1:37" x14ac:dyDescent="0.25">
      <c r="A1466" s="8">
        <v>1465</v>
      </c>
      <c r="B1466" t="s">
        <v>52</v>
      </c>
      <c r="C1466" t="s">
        <v>37</v>
      </c>
      <c r="D1466" s="8">
        <v>26</v>
      </c>
      <c r="E1466" t="str">
        <f t="shared" si="114"/>
        <v>26-35</v>
      </c>
      <c r="F1466" t="s">
        <v>46</v>
      </c>
      <c r="G1466" t="s">
        <v>39</v>
      </c>
      <c r="H1466" s="8" t="s">
        <v>40</v>
      </c>
      <c r="I1466" s="10">
        <v>5</v>
      </c>
      <c r="J1466" t="str">
        <f t="shared" si="110"/>
        <v>Near</v>
      </c>
      <c r="K1466">
        <v>3</v>
      </c>
      <c r="L1466" t="s">
        <v>50</v>
      </c>
      <c r="M1466">
        <v>4</v>
      </c>
      <c r="N1466">
        <v>2</v>
      </c>
      <c r="O1466">
        <v>1</v>
      </c>
      <c r="P1466" t="s">
        <v>60</v>
      </c>
      <c r="Q1466">
        <v>3</v>
      </c>
      <c r="R1466" s="11">
        <v>1167</v>
      </c>
      <c r="S1466" s="14">
        <v>30</v>
      </c>
      <c r="T1466" s="13">
        <v>2966</v>
      </c>
      <c r="U1466" s="13">
        <f t="shared" si="111"/>
        <v>35592</v>
      </c>
      <c r="V1466" s="14">
        <v>21378</v>
      </c>
      <c r="W1466">
        <v>0</v>
      </c>
      <c r="X1466" s="8" t="s">
        <v>46</v>
      </c>
      <c r="Y1466" s="15">
        <v>0.18</v>
      </c>
      <c r="Z1466">
        <v>3</v>
      </c>
      <c r="AA1466">
        <v>4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 t="str">
        <f t="shared" si="112"/>
        <v>0-3</v>
      </c>
      <c r="AI1466">
        <v>0</v>
      </c>
      <c r="AJ1466" t="str">
        <f t="shared" si="113"/>
        <v>0-2</v>
      </c>
      <c r="AK1466">
        <v>0</v>
      </c>
    </row>
    <row r="1467" spans="1:37" x14ac:dyDescent="0.25">
      <c r="A1467" s="8">
        <v>1466</v>
      </c>
      <c r="B1467" t="s">
        <v>44</v>
      </c>
      <c r="C1467" t="s">
        <v>45</v>
      </c>
      <c r="D1467" s="8">
        <v>36</v>
      </c>
      <c r="E1467" t="str">
        <f t="shared" si="114"/>
        <v>36-45</v>
      </c>
      <c r="F1467" t="s">
        <v>46</v>
      </c>
      <c r="G1467" t="s">
        <v>47</v>
      </c>
      <c r="H1467" s="8" t="s">
        <v>48</v>
      </c>
      <c r="I1467" s="10">
        <v>23</v>
      </c>
      <c r="J1467" t="str">
        <f t="shared" si="110"/>
        <v>Far</v>
      </c>
      <c r="K1467">
        <v>2</v>
      </c>
      <c r="L1467" t="s">
        <v>53</v>
      </c>
      <c r="M1467">
        <v>3</v>
      </c>
      <c r="N1467">
        <v>4</v>
      </c>
      <c r="O1467">
        <v>2</v>
      </c>
      <c r="P1467" t="s">
        <v>51</v>
      </c>
      <c r="Q1467">
        <v>4</v>
      </c>
      <c r="R1467" s="11">
        <v>884</v>
      </c>
      <c r="S1467" s="14">
        <v>41</v>
      </c>
      <c r="T1467" s="13">
        <v>2571</v>
      </c>
      <c r="U1467" s="13">
        <f t="shared" si="111"/>
        <v>30852</v>
      </c>
      <c r="V1467" s="14">
        <v>12290</v>
      </c>
      <c r="W1467">
        <v>4</v>
      </c>
      <c r="X1467" s="8" t="s">
        <v>46</v>
      </c>
      <c r="Y1467" s="15">
        <v>0.17</v>
      </c>
      <c r="Z1467">
        <v>3</v>
      </c>
      <c r="AA1467">
        <v>3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 t="str">
        <f t="shared" si="112"/>
        <v>0-3</v>
      </c>
      <c r="AI1467">
        <v>0</v>
      </c>
      <c r="AJ1467" t="str">
        <f t="shared" si="113"/>
        <v>0-2</v>
      </c>
      <c r="AK1467">
        <v>3</v>
      </c>
    </row>
    <row r="1468" spans="1:37" x14ac:dyDescent="0.25">
      <c r="A1468" s="8">
        <v>1467</v>
      </c>
      <c r="B1468" t="s">
        <v>44</v>
      </c>
      <c r="C1468" t="s">
        <v>45</v>
      </c>
      <c r="D1468" s="8">
        <v>39</v>
      </c>
      <c r="E1468" t="str">
        <f t="shared" si="114"/>
        <v>36-45</v>
      </c>
      <c r="F1468" t="s">
        <v>46</v>
      </c>
      <c r="G1468" t="s">
        <v>39</v>
      </c>
      <c r="H1468" s="8" t="s">
        <v>48</v>
      </c>
      <c r="I1468" s="10">
        <v>6</v>
      </c>
      <c r="J1468" t="str">
        <f t="shared" si="110"/>
        <v>Moderate</v>
      </c>
      <c r="K1468">
        <v>1</v>
      </c>
      <c r="L1468" t="s">
        <v>53</v>
      </c>
      <c r="M1468">
        <v>4</v>
      </c>
      <c r="N1468">
        <v>2</v>
      </c>
      <c r="O1468">
        <v>3</v>
      </c>
      <c r="P1468" t="s">
        <v>56</v>
      </c>
      <c r="Q1468">
        <v>1</v>
      </c>
      <c r="R1468" s="11">
        <v>613</v>
      </c>
      <c r="S1468" s="14">
        <v>42</v>
      </c>
      <c r="T1468" s="13">
        <v>9991</v>
      </c>
      <c r="U1468" s="13">
        <f t="shared" si="111"/>
        <v>119892</v>
      </c>
      <c r="V1468" s="14">
        <v>21457</v>
      </c>
      <c r="W1468">
        <v>4</v>
      </c>
      <c r="X1468" s="8" t="s">
        <v>46</v>
      </c>
      <c r="Y1468" s="15">
        <v>0.15</v>
      </c>
      <c r="Z1468">
        <v>3</v>
      </c>
      <c r="AA1468">
        <v>1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 t="str">
        <f t="shared" si="112"/>
        <v>4-7</v>
      </c>
      <c r="AI1468">
        <v>1</v>
      </c>
      <c r="AJ1468" t="str">
        <f t="shared" si="113"/>
        <v>0-2</v>
      </c>
      <c r="AK1468">
        <v>7</v>
      </c>
    </row>
    <row r="1469" spans="1:37" x14ac:dyDescent="0.25">
      <c r="A1469" s="8">
        <v>1468</v>
      </c>
      <c r="B1469" t="s">
        <v>44</v>
      </c>
      <c r="C1469" t="s">
        <v>45</v>
      </c>
      <c r="D1469" s="8">
        <v>27</v>
      </c>
      <c r="E1469" t="str">
        <f t="shared" si="114"/>
        <v>26-35</v>
      </c>
      <c r="F1469" t="s">
        <v>46</v>
      </c>
      <c r="G1469" t="s">
        <v>39</v>
      </c>
      <c r="H1469" s="8" t="s">
        <v>48</v>
      </c>
      <c r="I1469" s="10">
        <v>4</v>
      </c>
      <c r="J1469" t="str">
        <f t="shared" si="110"/>
        <v>Near</v>
      </c>
      <c r="K1469">
        <v>3</v>
      </c>
      <c r="L1469" t="s">
        <v>41</v>
      </c>
      <c r="M1469">
        <v>2</v>
      </c>
      <c r="N1469">
        <v>4</v>
      </c>
      <c r="O1469">
        <v>2</v>
      </c>
      <c r="P1469" t="s">
        <v>55</v>
      </c>
      <c r="Q1469">
        <v>2</v>
      </c>
      <c r="R1469" s="11">
        <v>155</v>
      </c>
      <c r="S1469" s="14">
        <v>87</v>
      </c>
      <c r="T1469" s="13">
        <v>6142</v>
      </c>
      <c r="U1469" s="13">
        <f t="shared" si="111"/>
        <v>73704</v>
      </c>
      <c r="V1469" s="14">
        <v>5174</v>
      </c>
      <c r="W1469">
        <v>1</v>
      </c>
      <c r="X1469" s="8" t="s">
        <v>38</v>
      </c>
      <c r="Y1469" s="15">
        <v>0.2</v>
      </c>
      <c r="Z1469">
        <v>4</v>
      </c>
      <c r="AA1469">
        <v>2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 t="str">
        <f t="shared" si="112"/>
        <v>0-3</v>
      </c>
      <c r="AI1469">
        <v>0</v>
      </c>
      <c r="AJ1469" t="str">
        <f t="shared" si="113"/>
        <v>0-2</v>
      </c>
      <c r="AK1469">
        <v>3</v>
      </c>
    </row>
    <row r="1470" spans="1:37" x14ac:dyDescent="0.25">
      <c r="A1470" s="8">
        <v>1469</v>
      </c>
      <c r="B1470" t="s">
        <v>44</v>
      </c>
      <c r="C1470" t="s">
        <v>45</v>
      </c>
      <c r="D1470" s="8">
        <v>49</v>
      </c>
      <c r="E1470" t="str">
        <f t="shared" si="114"/>
        <v>46-55</v>
      </c>
      <c r="F1470" t="s">
        <v>46</v>
      </c>
      <c r="G1470" t="s">
        <v>47</v>
      </c>
      <c r="H1470" s="8" t="s">
        <v>40</v>
      </c>
      <c r="I1470" s="10">
        <v>2</v>
      </c>
      <c r="J1470" t="str">
        <f t="shared" si="110"/>
        <v>Near</v>
      </c>
      <c r="K1470">
        <v>3</v>
      </c>
      <c r="L1470" t="s">
        <v>53</v>
      </c>
      <c r="M1470">
        <v>4</v>
      </c>
      <c r="N1470">
        <v>2</v>
      </c>
      <c r="O1470">
        <v>2</v>
      </c>
      <c r="P1470" t="s">
        <v>42</v>
      </c>
      <c r="Q1470">
        <v>2</v>
      </c>
      <c r="R1470" s="11">
        <v>1023</v>
      </c>
      <c r="S1470" s="14">
        <v>63</v>
      </c>
      <c r="T1470" s="13">
        <v>5390</v>
      </c>
      <c r="U1470" s="13">
        <f t="shared" si="111"/>
        <v>64680</v>
      </c>
      <c r="V1470" s="14">
        <v>13243</v>
      </c>
      <c r="W1470">
        <v>2</v>
      </c>
      <c r="X1470" s="8" t="s">
        <v>46</v>
      </c>
      <c r="Y1470" s="15">
        <v>0.14000000000000001</v>
      </c>
      <c r="Z1470">
        <v>3</v>
      </c>
      <c r="AA1470">
        <v>4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 t="str">
        <f t="shared" si="112"/>
        <v>4-7</v>
      </c>
      <c r="AI1470">
        <v>0</v>
      </c>
      <c r="AJ1470" t="str">
        <f t="shared" si="113"/>
        <v>0-2</v>
      </c>
      <c r="AK1470">
        <v>8</v>
      </c>
    </row>
    <row r="1471" spans="1:37" x14ac:dyDescent="0.25">
      <c r="A1471" s="8">
        <v>1470</v>
      </c>
      <c r="B1471" t="s">
        <v>44</v>
      </c>
      <c r="C1471" t="s">
        <v>45</v>
      </c>
      <c r="D1471" s="8">
        <v>34</v>
      </c>
      <c r="E1471" t="str">
        <f t="shared" si="114"/>
        <v>26-35</v>
      </c>
      <c r="F1471" t="s">
        <v>46</v>
      </c>
      <c r="G1471" t="s">
        <v>39</v>
      </c>
      <c r="H1471" s="8" t="s">
        <v>48</v>
      </c>
      <c r="I1471" s="10">
        <v>8</v>
      </c>
      <c r="J1471" t="str">
        <f t="shared" si="110"/>
        <v>Moderate</v>
      </c>
      <c r="K1471">
        <v>3</v>
      </c>
      <c r="L1471" t="s">
        <v>53</v>
      </c>
      <c r="M1471">
        <v>2</v>
      </c>
      <c r="N1471">
        <v>4</v>
      </c>
      <c r="O1471">
        <v>2</v>
      </c>
      <c r="P1471" t="s">
        <v>51</v>
      </c>
      <c r="Q1471">
        <v>3</v>
      </c>
      <c r="R1471" s="11">
        <v>628</v>
      </c>
      <c r="S1471" s="14">
        <v>82</v>
      </c>
      <c r="T1471" s="13">
        <v>4404</v>
      </c>
      <c r="U1471" s="13">
        <f t="shared" si="111"/>
        <v>52848</v>
      </c>
      <c r="V1471" s="14">
        <v>10228</v>
      </c>
      <c r="W1471">
        <v>2</v>
      </c>
      <c r="X1471" s="8" t="s">
        <v>46</v>
      </c>
      <c r="Y1471" s="15">
        <v>0.12</v>
      </c>
      <c r="Z1471">
        <v>3</v>
      </c>
      <c r="AA1471">
        <v>1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 t="str">
        <f t="shared" si="112"/>
        <v>0-3</v>
      </c>
      <c r="AI1471">
        <v>1</v>
      </c>
      <c r="AJ1471" t="str">
        <f t="shared" si="113"/>
        <v>0-2</v>
      </c>
      <c r="AK1471">
        <v>2</v>
      </c>
    </row>
  </sheetData>
  <conditionalFormatting sqref="F2:F1471">
    <cfRule type="containsText" dxfId="5" priority="2" operator="containsText" text="no">
      <formula>NOT(ISERROR(SEARCH("no",F2)))</formula>
    </cfRule>
    <cfRule type="containsText" dxfId="4" priority="3" operator="containsText" text="Yes">
      <formula>NOT(ISERROR(SEARCH("Yes",F2)))</formula>
    </cfRule>
  </conditionalFormatting>
  <conditionalFormatting sqref="J2:J1471">
    <cfRule type="containsText" dxfId="3" priority="4" operator="containsText" text="moderat">
      <formula>NOT(ISERROR(SEARCH("moderat",J2)))</formula>
    </cfRule>
    <cfRule type="containsText" dxfId="2" priority="5" operator="containsText" text="near">
      <formula>NOT(ISERROR(SEARCH("near",J2)))</formula>
    </cfRule>
    <cfRule type="containsText" dxfId="1" priority="6" operator="containsText" text="far">
      <formula>NOT(ISERROR(SEARCH("far",J2)))</formula>
    </cfRule>
  </conditionalFormatting>
  <conditionalFormatting sqref="F1:F1471">
    <cfRule type="containsText" dxfId="0" priority="1" operator="containsText" text="Yes">
      <formula>NOT(ISERROR(SEARCH("Yes",F1)))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2026-07-05T15:45:58Z</dcterms:created>
  <dcterms:modified xsi:type="dcterms:W3CDTF">2026-07-05T15:48:15Z</dcterms:modified>
</cp:coreProperties>
</file>